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План100\04 Апрель\2403\"/>
    </mc:Choice>
  </mc:AlternateContent>
  <xr:revisionPtr revIDLastSave="0" documentId="13_ncr:1_{6BA39E21-AB0C-4782-A291-54959BA2E8B5}" xr6:coauthVersionLast="47" xr6:coauthVersionMax="47" xr10:uidLastSave="{00000000-0000-0000-0000-000000000000}"/>
  <bookViews>
    <workbookView xWindow="-120" yWindow="-120" windowWidth="29040" windowHeight="15840" tabRatio="580" firstSheet="1" activeTab="18" xr2:uid="{00000000-000D-0000-FFFF-FFFF00000000}"/>
  </bookViews>
  <sheets>
    <sheet name="Timing0" sheetId="149" state="hidden" r:id="rId1"/>
    <sheet name="Timing" sheetId="1066" r:id="rId2"/>
    <sheet name="Session" sheetId="478" state="hidden" r:id="rId3"/>
    <sheet name="printingDates" sheetId="882" state="hidden" r:id="rId4"/>
    <sheet name="knb0" sheetId="400" state="hidden" r:id="rId5"/>
    <sheet name="Plan0" sheetId="209" state="hidden" r:id="rId6"/>
    <sheet name="Plan" sheetId="1067" r:id="rId7"/>
    <sheet name="knb" sheetId="1064" r:id="rId8"/>
    <sheet name="Statistics0" sheetId="885" state="hidden" r:id="rId9"/>
    <sheet name="Statistics" sheetId="1054" r:id="rId10"/>
    <sheet name="knb_storage" sheetId="1063" state="hidden" r:id="rId11"/>
    <sheet name="knb_4390" sheetId="544" state="hidden" r:id="rId12"/>
    <sheet name="orderStatus" sheetId="908" state="hidden" r:id="rId13"/>
    <sheet name="salaryDepartment" sheetId="1003" state="hidden" r:id="rId14"/>
    <sheet name="4105" sheetId="1058" state="hidden" r:id="rId15"/>
    <sheet name="4082" sheetId="1059" state="hidden" r:id="rId16"/>
    <sheet name="4385" sheetId="1060" state="hidden" r:id="rId17"/>
    <sheet name="tasks" sheetId="1061" state="hidden" r:id="rId18"/>
    <sheet name="Config" sheetId="21" r:id="rId19"/>
    <sheet name="Данные" sheetId="3" state="hidden" r:id="rId20"/>
    <sheet name="knb_products" sheetId="405" state="hidden" r:id="rId21"/>
  </sheets>
  <functionGroups builtInGroupCount="19"/>
  <definedNames>
    <definedName name="_xlnm._FilterDatabase" localSheetId="6" hidden="1">Plan!#REF!</definedName>
    <definedName name="_xlnm._FilterDatabase" localSheetId="5" hidden="1">Plan0!#REF!</definedName>
    <definedName name="_xlnm._FilterDatabase" localSheetId="9" hidden="1">Statistics!#REF!</definedName>
    <definedName name="_xlnm._FilterDatabase" localSheetId="8" hidden="1">Statistics0!#REF!</definedName>
    <definedName name="_xlnm._FilterDatabase" localSheetId="1" hidden="1">Timing!$A$6:$AE$23</definedName>
    <definedName name="_xlnm._FilterDatabase" localSheetId="0" hidden="1">Timing0!$A$6:$AE$11</definedName>
    <definedName name="_xlnm.Print_Titles" localSheetId="1">Timing!$5:$6</definedName>
    <definedName name="_xlnm.Print_Titles" localSheetId="0">Timing0!$5:$6</definedName>
    <definedName name="_xlnm.Print_Area" localSheetId="6">Plan!$A$1:$N$125</definedName>
    <definedName name="_xlnm.Print_Area" localSheetId="5">Plan0!$A$1:$N$22</definedName>
    <definedName name="_xlnm.Print_Area" localSheetId="9">Statistics!$A$1:$O$118</definedName>
    <definedName name="_xlnm.Print_Area" localSheetId="8">Statistics0!$A$1:$O$17</definedName>
    <definedName name="_xlnm.Print_Area" localSheetId="1">Timing!$A$1:$AE$124</definedName>
    <definedName name="_xlnm.Print_Area" localSheetId="0">Timing0!$A$1:$AE$21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8" i="1067" l="1"/>
  <c r="K122" i="1067" s="1"/>
  <c r="I28" i="1067"/>
  <c r="I122" i="1067" s="1"/>
  <c r="G28" i="1067"/>
  <c r="D10" i="1067"/>
  <c r="AE123" i="1066"/>
  <c r="AD123" i="1066"/>
  <c r="AC123" i="1066"/>
  <c r="AB123" i="1066"/>
  <c r="AA123" i="1066"/>
  <c r="Z123" i="1066"/>
  <c r="Y123" i="1066"/>
  <c r="X123" i="1066"/>
  <c r="W123" i="1066"/>
  <c r="V123" i="1066"/>
  <c r="U123" i="1066"/>
  <c r="T123" i="1066"/>
  <c r="S123" i="1066"/>
  <c r="R123" i="1066"/>
  <c r="Q123" i="1066"/>
  <c r="P123" i="1066"/>
  <c r="O123" i="1066"/>
  <c r="N123" i="1066"/>
  <c r="M123" i="1066"/>
  <c r="L123" i="1066"/>
  <c r="K123" i="1066"/>
  <c r="J123" i="1066"/>
  <c r="I123" i="1066"/>
  <c r="H123" i="1066"/>
  <c r="G123" i="1066"/>
  <c r="F123" i="1066"/>
  <c r="AE121" i="1066"/>
  <c r="AD121" i="1066"/>
  <c r="AC121" i="1066"/>
  <c r="AB121" i="1066"/>
  <c r="AA121" i="1066"/>
  <c r="Z121" i="1066"/>
  <c r="Y121" i="1066"/>
  <c r="X121" i="1066"/>
  <c r="W121" i="1066"/>
  <c r="V121" i="1066"/>
  <c r="U121" i="1066"/>
  <c r="T121" i="1066"/>
  <c r="S121" i="1066"/>
  <c r="R121" i="1066"/>
  <c r="Q121" i="1066"/>
  <c r="P121" i="1066"/>
  <c r="O121" i="1066"/>
  <c r="N121" i="1066"/>
  <c r="M121" i="1066"/>
  <c r="L121" i="1066"/>
  <c r="K121" i="1066"/>
  <c r="J121" i="1066"/>
  <c r="I121" i="1066"/>
  <c r="H121" i="1066"/>
  <c r="G121" i="1066"/>
  <c r="F121" i="1066"/>
  <c r="E22" i="1066"/>
  <c r="AE21" i="1066"/>
  <c r="AE23" i="1066" s="1"/>
  <c r="AD21" i="1066"/>
  <c r="AD23" i="1066" s="1"/>
  <c r="AC21" i="1066"/>
  <c r="AC23" i="1066" s="1"/>
  <c r="AB21" i="1066"/>
  <c r="AB23" i="1066" s="1"/>
  <c r="AA21" i="1066"/>
  <c r="Z21" i="1066"/>
  <c r="Z23" i="1066" s="1"/>
  <c r="Y21" i="1066"/>
  <c r="Y23" i="1066" s="1"/>
  <c r="X21" i="1066"/>
  <c r="X23" i="1066" s="1"/>
  <c r="W21" i="1066"/>
  <c r="V21" i="1066"/>
  <c r="V23" i="1066" s="1"/>
  <c r="U21" i="1066"/>
  <c r="U23" i="1066" s="1"/>
  <c r="T21" i="1066"/>
  <c r="T23" i="1066" s="1"/>
  <c r="S21" i="1066"/>
  <c r="R21" i="1066"/>
  <c r="R23" i="1066" s="1"/>
  <c r="Q21" i="1066"/>
  <c r="Q23" i="1066" s="1"/>
  <c r="P21" i="1066"/>
  <c r="P23" i="1066" s="1"/>
  <c r="O21" i="1066"/>
  <c r="N21" i="1066"/>
  <c r="N23" i="1066" s="1"/>
  <c r="M21" i="1066"/>
  <c r="M23" i="1066" s="1"/>
  <c r="L21" i="1066"/>
  <c r="L23" i="1066" s="1"/>
  <c r="K21" i="1066"/>
  <c r="J21" i="1066"/>
  <c r="J23" i="1066" s="1"/>
  <c r="I21" i="1066"/>
  <c r="I23" i="1066" s="1"/>
  <c r="H21" i="1066"/>
  <c r="H23" i="1066" s="1"/>
  <c r="G21" i="1066"/>
  <c r="F21" i="1066"/>
  <c r="F23" i="1066" s="1"/>
  <c r="AH241" i="1064"/>
  <c r="AG241" i="1064"/>
  <c r="AF241" i="1064"/>
  <c r="AE241" i="1064"/>
  <c r="AD241" i="1064"/>
  <c r="AC241" i="1064"/>
  <c r="AB241" i="1064"/>
  <c r="AA241" i="1064"/>
  <c r="Z241" i="1064"/>
  <c r="Y241" i="1064"/>
  <c r="X241" i="1064"/>
  <c r="W241" i="1064"/>
  <c r="V241" i="1064"/>
  <c r="U241" i="1064"/>
  <c r="T241" i="1064"/>
  <c r="S241" i="1064"/>
  <c r="R241" i="1064"/>
  <c r="Q241" i="1064"/>
  <c r="P241" i="1064"/>
  <c r="O241" i="1064"/>
  <c r="N241" i="1064"/>
  <c r="M241" i="1064"/>
  <c r="L241" i="1064"/>
  <c r="K241" i="1064"/>
  <c r="J241" i="1064"/>
  <c r="I241" i="1064"/>
  <c r="H241" i="1064"/>
  <c r="AH92" i="1064"/>
  <c r="AG92" i="1064"/>
  <c r="AF92" i="1064"/>
  <c r="AE92" i="1064"/>
  <c r="AD92" i="1064"/>
  <c r="AC92" i="1064"/>
  <c r="AB92" i="1064"/>
  <c r="AA92" i="1064"/>
  <c r="Z92" i="1064"/>
  <c r="Y92" i="1064"/>
  <c r="X92" i="1064"/>
  <c r="W92" i="1064"/>
  <c r="V92" i="1064"/>
  <c r="U92" i="1064"/>
  <c r="T92" i="1064"/>
  <c r="S92" i="1064"/>
  <c r="R92" i="1064"/>
  <c r="Q92" i="1064"/>
  <c r="P92" i="1064"/>
  <c r="O92" i="1064"/>
  <c r="N92" i="1064"/>
  <c r="M92" i="1064"/>
  <c r="L92" i="1064"/>
  <c r="K92" i="1064"/>
  <c r="J92" i="1064"/>
  <c r="I92" i="1064"/>
  <c r="H92" i="1064"/>
  <c r="D5" i="1054"/>
  <c r="AA122" i="1066" l="1"/>
  <c r="AA124" i="1066" s="1"/>
  <c r="W122" i="1066"/>
  <c r="W124" i="1066" s="1"/>
  <c r="S122" i="1066"/>
  <c r="S124" i="1066" s="1"/>
  <c r="O122" i="1066"/>
  <c r="O124" i="1066" s="1"/>
  <c r="K122" i="1066"/>
  <c r="K124" i="1066" s="1"/>
  <c r="G122" i="1066"/>
  <c r="G124" i="1066" s="1"/>
  <c r="E21" i="1066"/>
  <c r="E23" i="1066" s="1"/>
  <c r="F122" i="1066"/>
  <c r="F124" i="1066" s="1"/>
  <c r="H122" i="1066"/>
  <c r="H124" i="1066" s="1"/>
  <c r="J122" i="1066"/>
  <c r="J124" i="1066" s="1"/>
  <c r="L122" i="1066"/>
  <c r="L124" i="1066" s="1"/>
  <c r="N122" i="1066"/>
  <c r="N124" i="1066" s="1"/>
  <c r="P122" i="1066"/>
  <c r="P124" i="1066" s="1"/>
  <c r="R122" i="1066"/>
  <c r="R124" i="1066" s="1"/>
  <c r="T122" i="1066"/>
  <c r="T124" i="1066" s="1"/>
  <c r="V122" i="1066"/>
  <c r="V124" i="1066" s="1"/>
  <c r="X122" i="1066"/>
  <c r="X124" i="1066" s="1"/>
  <c r="Z122" i="1066"/>
  <c r="Z124" i="1066" s="1"/>
  <c r="AB122" i="1066"/>
  <c r="AB124" i="1066" s="1"/>
  <c r="AD122" i="1066"/>
  <c r="AD124" i="1066" s="1"/>
  <c r="G23" i="1066"/>
  <c r="K23" i="1066"/>
  <c r="O23" i="1066"/>
  <c r="S23" i="1066"/>
  <c r="AA23" i="1066"/>
  <c r="I122" i="1066"/>
  <c r="I124" i="1066" s="1"/>
  <c r="M122" i="1066"/>
  <c r="M124" i="1066" s="1"/>
  <c r="Q122" i="1066"/>
  <c r="Q124" i="1066" s="1"/>
  <c r="U122" i="1066"/>
  <c r="U124" i="1066" s="1"/>
  <c r="Y122" i="1066"/>
  <c r="Y124" i="1066" s="1"/>
  <c r="AC122" i="1066"/>
  <c r="AC124" i="1066" s="1"/>
  <c r="AE122" i="1066"/>
  <c r="AE124" i="1066" s="1"/>
  <c r="W23" i="1066"/>
  <c r="E121" i="1066"/>
  <c r="E123" i="1066"/>
  <c r="H242" i="1064"/>
  <c r="J242" i="1064"/>
  <c r="L242" i="1064"/>
  <c r="N242" i="1064"/>
  <c r="P242" i="1064"/>
  <c r="R242" i="1064"/>
  <c r="T242" i="1064"/>
  <c r="V242" i="1064"/>
  <c r="X242" i="1064"/>
  <c r="Z242" i="1064"/>
  <c r="AB242" i="1064"/>
  <c r="AD242" i="1064"/>
  <c r="AF242" i="1064"/>
  <c r="AH242" i="1064"/>
  <c r="I242" i="1064"/>
  <c r="K242" i="1064"/>
  <c r="M242" i="1064"/>
  <c r="O242" i="1064"/>
  <c r="Q242" i="1064"/>
  <c r="S242" i="1064"/>
  <c r="U242" i="1064"/>
  <c r="W242" i="1064"/>
  <c r="Y242" i="1064"/>
  <c r="AA242" i="1064"/>
  <c r="AC242" i="1064"/>
  <c r="AE242" i="1064"/>
  <c r="AG242" i="1064"/>
  <c r="E122" i="1066" l="1"/>
  <c r="E124" i="1066" s="1"/>
  <c r="G94" i="1003"/>
  <c r="F94" i="1003"/>
  <c r="E94" i="1003"/>
  <c r="H91" i="1003"/>
  <c r="C91" i="1003"/>
  <c r="H88" i="1003"/>
  <c r="C88" i="1003"/>
  <c r="H85" i="1003"/>
  <c r="C85" i="1003"/>
  <c r="H82" i="1003"/>
  <c r="C82" i="1003"/>
  <c r="H79" i="1003"/>
  <c r="C79" i="1003"/>
  <c r="H76" i="1003"/>
  <c r="C76" i="1003"/>
  <c r="H73" i="1003"/>
  <c r="C73" i="1003"/>
  <c r="H70" i="1003"/>
  <c r="C70" i="1003"/>
  <c r="H67" i="1003"/>
  <c r="C67" i="1003"/>
  <c r="H64" i="1003"/>
  <c r="C64" i="1003"/>
  <c r="H61" i="1003"/>
  <c r="C61" i="1003"/>
  <c r="H58" i="1003"/>
  <c r="C58" i="1003"/>
  <c r="H55" i="1003"/>
  <c r="C55" i="1003"/>
  <c r="H52" i="1003"/>
  <c r="C52" i="1003"/>
  <c r="H49" i="1003"/>
  <c r="C49" i="1003"/>
  <c r="H46" i="1003"/>
  <c r="C46" i="1003"/>
  <c r="H43" i="1003"/>
  <c r="C43" i="1003"/>
  <c r="H40" i="1003"/>
  <c r="C40" i="1003"/>
  <c r="H37" i="1003"/>
  <c r="C37" i="1003"/>
  <c r="H34" i="1003"/>
  <c r="C34" i="1003"/>
  <c r="H31" i="1003"/>
  <c r="C31" i="1003"/>
  <c r="H28" i="1003"/>
  <c r="C28" i="1003"/>
  <c r="C17" i="1003" s="1"/>
  <c r="H25" i="1003"/>
  <c r="C25" i="1003"/>
  <c r="H22" i="1003"/>
  <c r="C22" i="1003"/>
  <c r="C19" i="1003"/>
  <c r="C18" i="1003"/>
  <c r="C13" i="1003"/>
  <c r="C94" i="1003" l="1"/>
  <c r="H94" i="1003"/>
  <c r="I94" i="1003"/>
  <c r="D5" i="885" l="1"/>
  <c r="AH13" i="400" l="1"/>
  <c r="AG13" i="400"/>
  <c r="AF13" i="400"/>
  <c r="AE13" i="400"/>
  <c r="AD13" i="400"/>
  <c r="AC13" i="400"/>
  <c r="AB13" i="400"/>
  <c r="AA13" i="400"/>
  <c r="Z13" i="400"/>
  <c r="Y13" i="400"/>
  <c r="Y14" i="400" s="1"/>
  <c r="X13" i="400"/>
  <c r="W13" i="400"/>
  <c r="V13" i="400"/>
  <c r="U13" i="400"/>
  <c r="T13" i="400"/>
  <c r="S13" i="400"/>
  <c r="R13" i="400"/>
  <c r="Q13" i="400"/>
  <c r="P13" i="400"/>
  <c r="O13" i="400"/>
  <c r="N13" i="400"/>
  <c r="M13" i="400"/>
  <c r="M14" i="400" s="1"/>
  <c r="L13" i="400"/>
  <c r="K13" i="400"/>
  <c r="J13" i="400"/>
  <c r="I13" i="400"/>
  <c r="H13" i="400"/>
  <c r="AH6" i="400"/>
  <c r="AG6" i="400"/>
  <c r="AF6" i="400"/>
  <c r="AF14" i="400" s="1"/>
  <c r="AE6" i="400"/>
  <c r="AD6" i="400"/>
  <c r="AC6" i="400"/>
  <c r="AB6" i="400"/>
  <c r="AA6" i="400"/>
  <c r="Z6" i="400"/>
  <c r="Y6" i="400"/>
  <c r="X6" i="400"/>
  <c r="W6" i="400"/>
  <c r="V6" i="400"/>
  <c r="U6" i="400"/>
  <c r="T6" i="400"/>
  <c r="T14" i="400" s="1"/>
  <c r="S6" i="400"/>
  <c r="R6" i="400"/>
  <c r="Q6" i="400"/>
  <c r="P6" i="400"/>
  <c r="O6" i="400"/>
  <c r="N6" i="400"/>
  <c r="M6" i="400"/>
  <c r="L6" i="400"/>
  <c r="K6" i="400"/>
  <c r="J6" i="400"/>
  <c r="I6" i="400"/>
  <c r="H6" i="400"/>
  <c r="H14" i="400" s="1"/>
  <c r="K14" i="400" l="1"/>
  <c r="W14" i="400"/>
  <c r="S14" i="400"/>
  <c r="L14" i="400"/>
  <c r="X14" i="400"/>
  <c r="N14" i="400"/>
  <c r="O14" i="400"/>
  <c r="Z14" i="400"/>
  <c r="AA14" i="400"/>
  <c r="J14" i="400"/>
  <c r="P14" i="400"/>
  <c r="AB14" i="400"/>
  <c r="Q14" i="400"/>
  <c r="AC14" i="400"/>
  <c r="R14" i="400"/>
  <c r="AD14" i="400"/>
  <c r="AE14" i="400"/>
  <c r="U14" i="400"/>
  <c r="AG14" i="400"/>
  <c r="AH14" i="400"/>
  <c r="V14" i="400"/>
  <c r="I14" i="400"/>
  <c r="D10" i="3" l="1"/>
  <c r="D9" i="3"/>
  <c r="G16" i="209" l="1"/>
  <c r="D10" i="209" l="1"/>
  <c r="I16" i="209" l="1"/>
  <c r="I19" i="209" s="1"/>
  <c r="K16" i="209"/>
  <c r="K19" i="209" s="1"/>
  <c r="G18" i="149" l="1"/>
  <c r="H18" i="149"/>
  <c r="I18" i="149"/>
  <c r="J18" i="149"/>
  <c r="K18" i="149"/>
  <c r="L18" i="149"/>
  <c r="M18" i="149"/>
  <c r="N18" i="149"/>
  <c r="O18" i="149"/>
  <c r="P18" i="149"/>
  <c r="Q18" i="149"/>
  <c r="R18" i="149"/>
  <c r="S18" i="149"/>
  <c r="T18" i="149"/>
  <c r="U18" i="149"/>
  <c r="V18" i="149"/>
  <c r="W18" i="149"/>
  <c r="X18" i="149"/>
  <c r="Y18" i="149"/>
  <c r="Z18" i="149"/>
  <c r="AA18" i="149"/>
  <c r="AB18" i="149"/>
  <c r="AC18" i="149"/>
  <c r="AD18" i="149"/>
  <c r="AE18" i="149"/>
  <c r="F18" i="149"/>
  <c r="G9" i="149"/>
  <c r="H9" i="149"/>
  <c r="I9" i="149"/>
  <c r="J9" i="149"/>
  <c r="K9" i="149"/>
  <c r="L9" i="149"/>
  <c r="M9" i="149"/>
  <c r="N9" i="149"/>
  <c r="O9" i="149"/>
  <c r="P9" i="149"/>
  <c r="Q9" i="149"/>
  <c r="R9" i="149"/>
  <c r="S9" i="149"/>
  <c r="T9" i="149"/>
  <c r="U9" i="149"/>
  <c r="V9" i="149"/>
  <c r="W9" i="149"/>
  <c r="X9" i="149"/>
  <c r="Y9" i="149"/>
  <c r="Z9" i="149"/>
  <c r="AA9" i="149"/>
  <c r="AB9" i="149"/>
  <c r="AC9" i="149"/>
  <c r="AD9" i="149"/>
  <c r="AE9" i="149"/>
  <c r="F9" i="149"/>
  <c r="E9" i="149" l="1"/>
  <c r="E18" i="149"/>
  <c r="AE20" i="149"/>
  <c r="AD20" i="149"/>
  <c r="AC20" i="149"/>
  <c r="AB20" i="149"/>
  <c r="AA20" i="149"/>
  <c r="Z20" i="149"/>
  <c r="Y20" i="149"/>
  <c r="X20" i="149"/>
  <c r="W20" i="149"/>
  <c r="V20" i="149"/>
  <c r="U20" i="149"/>
  <c r="T20" i="149"/>
  <c r="S20" i="149"/>
  <c r="R20" i="149"/>
  <c r="Q20" i="149"/>
  <c r="P20" i="149"/>
  <c r="O20" i="149"/>
  <c r="N20" i="149"/>
  <c r="M20" i="149"/>
  <c r="L20" i="149"/>
  <c r="K20" i="149"/>
  <c r="J20" i="149"/>
  <c r="I20" i="149"/>
  <c r="H20" i="149"/>
  <c r="G20" i="149"/>
  <c r="F20" i="149"/>
  <c r="N19" i="149"/>
  <c r="S19" i="149"/>
  <c r="I19" i="149"/>
  <c r="J11" i="149"/>
  <c r="I11" i="149"/>
  <c r="H11" i="149"/>
  <c r="E10" i="149"/>
  <c r="AH3" i="3" s="1"/>
  <c r="AH17" i="3" s="1"/>
  <c r="AE11" i="149"/>
  <c r="AD11" i="149"/>
  <c r="AC11" i="149"/>
  <c r="AB11" i="149"/>
  <c r="AA11" i="149"/>
  <c r="Z11" i="149"/>
  <c r="Y11" i="149"/>
  <c r="X11" i="149"/>
  <c r="W11" i="149"/>
  <c r="V11" i="149"/>
  <c r="U11" i="149"/>
  <c r="T11" i="149"/>
  <c r="S11" i="149"/>
  <c r="R11" i="149"/>
  <c r="Q11" i="149"/>
  <c r="P11" i="149"/>
  <c r="O11" i="149"/>
  <c r="N11" i="149"/>
  <c r="M11" i="149"/>
  <c r="L11" i="149"/>
  <c r="K11" i="149"/>
  <c r="G11" i="149"/>
  <c r="F11" i="149"/>
  <c r="I21" i="149" l="1"/>
  <c r="E11" i="149"/>
  <c r="W19" i="149"/>
  <c r="W21" i="149" s="1"/>
  <c r="V19" i="149"/>
  <c r="V21" i="149" s="1"/>
  <c r="U19" i="149"/>
  <c r="U21" i="149" s="1"/>
  <c r="Z19" i="149"/>
  <c r="Z21" i="149" s="1"/>
  <c r="T19" i="149"/>
  <c r="T21" i="149" s="1"/>
  <c r="AE19" i="149"/>
  <c r="AE21" i="149" s="1"/>
  <c r="K19" i="149"/>
  <c r="K21" i="149" s="1"/>
  <c r="J19" i="149"/>
  <c r="J21" i="149" s="1"/>
  <c r="H19" i="149"/>
  <c r="H21" i="149" s="1"/>
  <c r="F19" i="149"/>
  <c r="F21" i="149" s="1"/>
  <c r="R19" i="149"/>
  <c r="R21" i="149" s="1"/>
  <c r="AD19" i="149"/>
  <c r="AD21" i="149" s="1"/>
  <c r="N21" i="149"/>
  <c r="E19" i="149"/>
  <c r="Q19" i="149"/>
  <c r="Q21" i="149" s="1"/>
  <c r="AC19" i="149"/>
  <c r="AC21" i="149" s="1"/>
  <c r="G19" i="149"/>
  <c r="G21" i="149" s="1"/>
  <c r="M19" i="149"/>
  <c r="M21" i="149" s="1"/>
  <c r="Y19" i="149"/>
  <c r="Y21" i="149" s="1"/>
  <c r="L19" i="149"/>
  <c r="L21" i="149" s="1"/>
  <c r="X19" i="149"/>
  <c r="X21" i="149" s="1"/>
  <c r="S21" i="149"/>
  <c r="O19" i="149"/>
  <c r="O21" i="149" s="1"/>
  <c r="AA19" i="149"/>
  <c r="AA21" i="149" s="1"/>
  <c r="P19" i="149"/>
  <c r="P21" i="149" s="1"/>
  <c r="AB19" i="149"/>
  <c r="AB21" i="149" s="1"/>
  <c r="E20" i="149"/>
  <c r="E21" i="149" l="1"/>
  <c r="D4" i="3" l="1"/>
  <c r="AH4" i="3" s="1"/>
  <c r="AH11" i="3" l="1"/>
  <c r="AH10" i="3" l="1"/>
  <c r="AH9" i="3" l="1"/>
  <c r="AH12" i="3" l="1"/>
</calcChain>
</file>

<file path=xl/sharedStrings.xml><?xml version="1.0" encoding="utf-8"?>
<sst xmlns="http://schemas.openxmlformats.org/spreadsheetml/2006/main" count="18120" uniqueCount="6203">
  <si>
    <t>среднесуточный выпуск</t>
  </si>
  <si>
    <t>Среднесуточный выпуск (н/ч)</t>
  </si>
  <si>
    <t>Плановая трудоемкость (н/ч)</t>
  </si>
  <si>
    <t>Норматив по цеху</t>
  </si>
  <si>
    <t>Критический предел</t>
  </si>
  <si>
    <t>Очередь</t>
  </si>
  <si>
    <t>УТВЕРЖДАЮ:</t>
  </si>
  <si>
    <t>Трудоемкость (Выпуск, н/ч)</t>
  </si>
  <si>
    <t xml:space="preserve">выпуск план </t>
  </si>
  <si>
    <t>№ п.п.</t>
  </si>
  <si>
    <t>Плановый фонд рабочего времени</t>
  </si>
  <si>
    <t>Факт рабочего времени</t>
  </si>
  <si>
    <t>План</t>
  </si>
  <si>
    <t>Факт</t>
  </si>
  <si>
    <t>Фактическая трудоемкость (н/ч)</t>
  </si>
  <si>
    <t>Фактический выпуск</t>
  </si>
  <si>
    <t>Фактический запуск</t>
  </si>
  <si>
    <t>Служебные записки</t>
  </si>
  <si>
    <t>Брак</t>
  </si>
  <si>
    <t>СК
(Запуск, шт)</t>
  </si>
  <si>
    <t>СК
(Выпуск, шт)</t>
  </si>
  <si>
    <t>Наименование очереди</t>
  </si>
  <si>
    <t>Канбан</t>
  </si>
  <si>
    <t>Д. И. Александров____________________________________</t>
  </si>
  <si>
    <t>Поток</t>
  </si>
  <si>
    <t>МКСТ</t>
  </si>
  <si>
    <t>среднесуточный запуск</t>
  </si>
  <si>
    <t xml:space="preserve">запуск план </t>
  </si>
  <si>
    <t>СЛУЖ.</t>
  </si>
  <si>
    <t>Дата запуска</t>
  </si>
  <si>
    <t>Дата выпуска</t>
  </si>
  <si>
    <t xml:space="preserve"> </t>
  </si>
  <si>
    <t>Всего :</t>
  </si>
  <si>
    <t>Ошибки конструкторов</t>
  </si>
  <si>
    <t>Прочее</t>
  </si>
  <si>
    <t>Рабочих дней/месяц:</t>
  </si>
  <si>
    <t>ИТОГО (ЗАПУСК):</t>
  </si>
  <si>
    <t>ИТОГО (ВЫПУСК):</t>
  </si>
  <si>
    <t>К625</t>
  </si>
  <si>
    <t>ОРХ</t>
  </si>
  <si>
    <t>УСП</t>
  </si>
  <si>
    <t>МРМ</t>
  </si>
  <si>
    <t>Заместитель генерального директора по производству АО "НПО Завод "Волна"</t>
  </si>
  <si>
    <r>
      <t xml:space="preserve">Примечание: </t>
    </r>
    <r>
      <rPr>
        <b/>
        <sz val="25"/>
        <color indexed="8"/>
        <rFont val="Arial Narrow"/>
        <family val="2"/>
        <charset val="204"/>
      </rPr>
      <t>дата выпуска</t>
    </r>
    <r>
      <rPr>
        <sz val="25"/>
        <color indexed="8"/>
        <rFont val="Arial Narrow"/>
        <family val="2"/>
        <charset val="204"/>
      </rPr>
      <t xml:space="preserve"> является датой закрытия очереди. Плановая длительность цикла нанесения гальванического покрытия - 5 рабочих дней, соответственно ДСЕ, для которых РЦ18201 является последним/предпоследним цехозаходом должны поступать на РЦ 18201 не позднее чем за 5 рабочих дней до плановой даты закрытия очереди.                                                                      </t>
    </r>
  </si>
  <si>
    <t>РПДМ</t>
  </si>
  <si>
    <t>К674</t>
  </si>
  <si>
    <t>К676</t>
  </si>
  <si>
    <t>4082</t>
  </si>
  <si>
    <t>Отчет сформирован с ограничениями:</t>
  </si>
  <si>
    <t>Страница 1 из 1</t>
  </si>
  <si>
    <t>№</t>
  </si>
  <si>
    <t>Группа</t>
  </si>
  <si>
    <t>в ПДБ</t>
  </si>
  <si>
    <t xml:space="preserve">В </t>
  </si>
  <si>
    <t>работе</t>
  </si>
  <si>
    <t xml:space="preserve">В  </t>
  </si>
  <si>
    <t>компл.</t>
  </si>
  <si>
    <t xml:space="preserve">Дата </t>
  </si>
  <si>
    <t>Всего</t>
  </si>
  <si>
    <t>Запуск</t>
  </si>
  <si>
    <t>Выпуск</t>
  </si>
  <si>
    <t>К зап.</t>
  </si>
  <si>
    <t xml:space="preserve">К зап. </t>
  </si>
  <si>
    <t>К вып.</t>
  </si>
  <si>
    <t>ТЕ</t>
  </si>
  <si>
    <t>0</t>
  </si>
  <si>
    <t>100</t>
  </si>
  <si>
    <t>200</t>
  </si>
  <si>
    <t>300</t>
  </si>
  <si>
    <t>400</t>
  </si>
  <si>
    <t>500</t>
  </si>
  <si>
    <t xml:space="preserve">(дет.) </t>
  </si>
  <si>
    <t>оч.</t>
  </si>
  <si>
    <t>запуска</t>
  </si>
  <si>
    <t>оконч.</t>
  </si>
  <si>
    <t>всего</t>
  </si>
  <si>
    <t>к зап.</t>
  </si>
  <si>
    <t>к вып.</t>
  </si>
  <si>
    <t>Покраска тары</t>
  </si>
  <si>
    <t>Ю627</t>
  </si>
  <si>
    <t>- есть нераспечатанные СК</t>
  </si>
  <si>
    <t>Легенда</t>
  </si>
  <si>
    <t>Выдано в ПДБ :</t>
  </si>
  <si>
    <t>- все СК очереди распечатаны</t>
  </si>
  <si>
    <t>В работе :</t>
  </si>
  <si>
    <t>- хотя бы одна СК очереди запущена в производство</t>
  </si>
  <si>
    <t>- нет СК запущенных в производство</t>
  </si>
  <si>
    <t>Дата запуска: 1 - &lt;=тек.месяцу (по умолч.); 2 - &lt;=тслед.месяцу; 3 - любая равно [3] и сортировка: 1 - по дате зап. (по умолч.); 2 - по дате оконч. равно [1] и групп-ка по группе очередей: 0 - нет (по умолч.); 1 - да равно [0]</t>
  </si>
  <si>
    <t xml:space="preserve">Примеча- </t>
  </si>
  <si>
    <t>ние</t>
  </si>
  <si>
    <t>к зап. (дет.)</t>
  </si>
  <si>
    <t>В компл. :</t>
  </si>
  <si>
    <t>- есть нескомплектованные позиции</t>
  </si>
  <si>
    <t>- нет КВ или все позиции скомплектованы</t>
  </si>
  <si>
    <t>Выдано</t>
  </si>
  <si>
    <t>Заявка</t>
  </si>
  <si>
    <t>Ю628</t>
  </si>
  <si>
    <t>Эквивалент нагрузки (зак 77-42-7...77-42-8)</t>
  </si>
  <si>
    <t>АРПС остальное (зак 77-42-7...77-42-8)</t>
  </si>
  <si>
    <t>БУМ (зак 77-42-9...77-42-10)</t>
  </si>
  <si>
    <t>МИП (зак 77-42-9...77-42-10)</t>
  </si>
  <si>
    <t>ДСЕ для БФ (зак 77-42-9...77-42-10)</t>
  </si>
  <si>
    <t>МУМ остальное (зак 77-42-9)</t>
  </si>
  <si>
    <t>МУМ остальное (зак 77-42-10)</t>
  </si>
  <si>
    <t>СУТ (зак 77-42-9...77-42-10)</t>
  </si>
  <si>
    <t>Блоки ФВТ (зак 77-42-9...77-42-10)</t>
  </si>
  <si>
    <t>Разъемы ВЧ, ФВТ остальное (зак 77-42-9...77-42-10)</t>
  </si>
  <si>
    <t>Эквивалент нагрузки (зак 77-42-9...77-42-10)</t>
  </si>
  <si>
    <t>Коммутатор КВТ (зак 77-42-9...77-42-10)</t>
  </si>
  <si>
    <t>УСС (зак 77-42-9...77-42-10)</t>
  </si>
  <si>
    <t>АРПС остальное (зак 77-42-9...77-42-10)</t>
  </si>
  <si>
    <t>Начальник ПДО</t>
  </si>
  <si>
    <t>Начальник цеха 100</t>
  </si>
  <si>
    <t xml:space="preserve"> И.о. начальника ОТиЗ</t>
  </si>
  <si>
    <t>Начальник ПДБ цеха 100</t>
  </si>
  <si>
    <t>МАСИ</t>
  </si>
  <si>
    <t>МАСИ_антенны АПВ,АИВ,АВН-УКВ (51-65-1)</t>
  </si>
  <si>
    <t>УСП-28/120 ЛТИЯ.565321.001-03 (96-53-1)</t>
  </si>
  <si>
    <t>УСП-28/120 ЛТИЯ.565321.001-03 (96-53-2)</t>
  </si>
  <si>
    <t>Заявка :</t>
  </si>
  <si>
    <t>- по очереди есть только неакцептованные заявки</t>
  </si>
  <si>
    <t>- по очереди нет ни одной заявки</t>
  </si>
  <si>
    <t>- по очереди есть акцептованные заявки</t>
  </si>
  <si>
    <t>ПКЗ-200/24 ЛТИЯ.565321.003-02 (96-59)</t>
  </si>
  <si>
    <t>5 компл.</t>
  </si>
  <si>
    <t>Р-170П</t>
  </si>
  <si>
    <t>2 партия</t>
  </si>
  <si>
    <t>74-03-1_Р-170П_Корпус_044_(50 шт) р.ц. 11403</t>
  </si>
  <si>
    <t>3 партия</t>
  </si>
  <si>
    <t>74-03-1_Р-170П_Корпус_044_(64 шт) р.ц. 11403</t>
  </si>
  <si>
    <t>4 партия</t>
  </si>
  <si>
    <t>74-03-1_Р-170П_Блок Б3-206 (50 шт.)р.ц. 11403</t>
  </si>
  <si>
    <t>74-03-1_Р-170П_Блок Б3-206 (64 шт.)р.ц. 11403</t>
  </si>
  <si>
    <t>74-03-1_Р-170П_Блок Б1-108 (107 шт)</t>
  </si>
  <si>
    <t>74-03-1_Р-170П_Корпус_044_(50 шт)р.ц. 11403</t>
  </si>
  <si>
    <t>74-03-1_Р-170П_Блок Б2-285 (50 шт.)</t>
  </si>
  <si>
    <t>74-03-1_Р-170П_Блок Б2-285 (64 шт.)</t>
  </si>
  <si>
    <t>74-03-1_Р-170П_Блок Б9-310, Б1-107.3, Б2-287 (107 шт.)</t>
  </si>
  <si>
    <t>74-03-1_Р-170П_Блок Б10-291, Б10-304.2, Б1-106 (107 шт.)</t>
  </si>
  <si>
    <t>МАСИ (51-65-1)</t>
  </si>
  <si>
    <t>К-676-2 Антенны -07,-09исп.(96-25-5,96-55-3,96-56-2,96-56-3,96-62-3,96-62-8,96-65)</t>
  </si>
  <si>
    <t>Ю-627 Прибор К6-33 (96-62-4,96-62-9)</t>
  </si>
  <si>
    <t>Р-673</t>
  </si>
  <si>
    <t>К-676-2 Корпус_022,-09исп.(96-62-3,96-62-8,96-65)</t>
  </si>
  <si>
    <t>К-676-2 СУ,-09исп.(96-62-3,96-62-8,96-65)</t>
  </si>
  <si>
    <t>К-676-2 Корпус_022,-07,-09исп.(96-55-3,96-56-2,96-56-3)</t>
  </si>
  <si>
    <t>РПДУ+ЭН (зак 79-22-1)</t>
  </si>
  <si>
    <t>Неман</t>
  </si>
  <si>
    <t>Р673 (зак 79-22-1)</t>
  </si>
  <si>
    <t>РПДУ+ЭН (зак 79-22-2)</t>
  </si>
  <si>
    <t>Р673 (зак 79-22-2)</t>
  </si>
  <si>
    <t>Р-673 (96-70)</t>
  </si>
  <si>
    <t>К-676-2 Под намотку,-09исп.(79-22-1,2)</t>
  </si>
  <si>
    <t>К-676-2 Корпус_022,-09исп.(79-22-1,2)</t>
  </si>
  <si>
    <t>К-676-2 Плата_419,-09исп.(79-22-1,2)</t>
  </si>
  <si>
    <t>К-676-2 СУ,-09исп.(79-22-1,2)</t>
  </si>
  <si>
    <t>К-676-2 Прибор БУ,-09исп.(79-22-1,2)</t>
  </si>
  <si>
    <t>К-676-2 Штырь_071,-09исп.(79-22-1,2)</t>
  </si>
  <si>
    <t>К-676-2 Антенна,-09исп.(79-22-1,2)</t>
  </si>
  <si>
    <t>К-676-2 Остальное,-09исп.(79-22-1,2)</t>
  </si>
  <si>
    <t>ДСЕ для блоков МУМ (зак 77-42-9...77-42-10)</t>
  </si>
  <si>
    <t>"УТВЕРЖДАЮ"</t>
  </si>
  <si>
    <t>Исполнительный директор АО "НПО  Завод "Волна"</t>
  </si>
  <si>
    <t>Заместитель генерального директора по производству АО "НПО  Завод "Волна"</t>
  </si>
  <si>
    <t>Д.И. Александров ___________________________</t>
  </si>
  <si>
    <t>А.А. Павлов ___________________________</t>
  </si>
  <si>
    <t>4105</t>
  </si>
  <si>
    <t>Поток / группа</t>
  </si>
  <si>
    <t>Наименование номенклатуры</t>
  </si>
  <si>
    <t>кол-во</t>
  </si>
  <si>
    <t>стоимость</t>
  </si>
  <si>
    <t>118</t>
  </si>
  <si>
    <t>106</t>
  </si>
  <si>
    <t xml:space="preserve">Заказ </t>
  </si>
  <si>
    <t>ПЭО</t>
  </si>
  <si>
    <t>сбыт.</t>
  </si>
  <si>
    <t>К</t>
  </si>
  <si>
    <t>П</t>
  </si>
  <si>
    <t>ПКЗ</t>
  </si>
  <si>
    <t>Примечание. Единицы измерения реквизитов: Кол-во - штук; Стоимость, товарный выпуск - тыс. руб. без НДС; Трудоемкость - тыс. часов.</t>
  </si>
  <si>
    <t>СОГЛАСОВАНО :</t>
  </si>
  <si>
    <t>_______________</t>
  </si>
  <si>
    <t>Главный конструктор</t>
  </si>
  <si>
    <t>Начальник цеха 118</t>
  </si>
  <si>
    <t>Главный инженер</t>
  </si>
  <si>
    <t>Начальник цеха 106</t>
  </si>
  <si>
    <t>Коммерческий директор</t>
  </si>
  <si>
    <t>Начальник цеха 138</t>
  </si>
  <si>
    <t>Зам. генерального директора по экономике и финансам</t>
  </si>
  <si>
    <t>Начальник отдела договоров</t>
  </si>
  <si>
    <t>77-42-10,77-42-9,</t>
  </si>
  <si>
    <t>77-42-7,77-42-8,</t>
  </si>
  <si>
    <t>77-42-9,</t>
  </si>
  <si>
    <t>77-42-10,</t>
  </si>
  <si>
    <t>96-53-1,</t>
  </si>
  <si>
    <t>96-53-2,</t>
  </si>
  <si>
    <t>79-21-1_ЦРПУ,79-21-2_ЦРПУ,79-21-3_ЦРПУ,79-21-4_ЦРПУ,79-21-5_ЦРПУ,</t>
  </si>
  <si>
    <t>96-59,</t>
  </si>
  <si>
    <t>51-65-1_АПВ,</t>
  </si>
  <si>
    <t>51-65-1_АИВ,</t>
  </si>
  <si>
    <t>51-65-1_АВН,</t>
  </si>
  <si>
    <t>74-03-1,</t>
  </si>
  <si>
    <t>96-62-4,96-62-9,</t>
  </si>
  <si>
    <t>51-65-1,</t>
  </si>
  <si>
    <t>79221К-676-2,79222К-676-2,</t>
  </si>
  <si>
    <t>96692К625_16,</t>
  </si>
  <si>
    <t>96692Подств,</t>
  </si>
  <si>
    <t>96692К676-2,</t>
  </si>
  <si>
    <t>96-69-2_РПДУ,</t>
  </si>
  <si>
    <t>96-69-2_ЭН,</t>
  </si>
  <si>
    <t>79221К625_16,79222К625_16,96-71,</t>
  </si>
  <si>
    <t>96-71,</t>
  </si>
  <si>
    <t>79221_Подств,79222_Подств,96-71,</t>
  </si>
  <si>
    <t>79221_Подств,79222_Подств,</t>
  </si>
  <si>
    <t>79221К625_16,79222К625_16,</t>
  </si>
  <si>
    <t>96-69-2_Р673,</t>
  </si>
  <si>
    <t>96-55-3,96-56-2,96-56-3,</t>
  </si>
  <si>
    <t>96-62-3,96-62-8,96-65,</t>
  </si>
  <si>
    <t>79-22-1_РПДУ,</t>
  </si>
  <si>
    <t>79-22-1_ЭН,</t>
  </si>
  <si>
    <t>79-22-1_Р673,</t>
  </si>
  <si>
    <t>79-22-2_РПДУ,</t>
  </si>
  <si>
    <t>79-22-2_ЭН,</t>
  </si>
  <si>
    <t>79-22-2_Р673,</t>
  </si>
  <si>
    <t>96-69-1,</t>
  </si>
  <si>
    <t>96-70,</t>
  </si>
  <si>
    <t>96-68,</t>
  </si>
  <si>
    <t>96-57-4,</t>
  </si>
  <si>
    <t>96692К625_12,</t>
  </si>
  <si>
    <t>96-69-2_РПДУ,96-69-2_ЭН,</t>
  </si>
  <si>
    <t>79-22-1_РПДУ,79-22-1_ЭН,</t>
  </si>
  <si>
    <t>79-22-2_РПДУ,79-22-2_ЭН,</t>
  </si>
  <si>
    <t>96692К625_12,96692К625_16,</t>
  </si>
  <si>
    <t>96692К625_12,96692К625_16,96692Подств,</t>
  </si>
  <si>
    <t>ЩК ЛТИЯ.566122.011-01 (96-57-4)</t>
  </si>
  <si>
    <t>Приложение к плану производства</t>
  </si>
  <si>
    <t>Очереди на выпуск</t>
  </si>
  <si>
    <t>№ п/п</t>
  </si>
  <si>
    <t>Номер оч.</t>
  </si>
  <si>
    <t>Наименование очреди</t>
  </si>
  <si>
    <t>Трудоемкость по РЦ, н/ч</t>
  </si>
  <si>
    <t>Итого ТЕ по РЦ (ВЫПУСК),  н/ч</t>
  </si>
  <si>
    <t>Плановый ФРВ, н/ч</t>
  </si>
  <si>
    <t>Разница ТЕ по РЦ и Плановый ФРВ, н/ч</t>
  </si>
  <si>
    <t>Очереди для запуска</t>
  </si>
  <si>
    <t>Итого ТЕ по РЦ (ЗАПУСК), н/ч</t>
  </si>
  <si>
    <t>Итого ТЕ по РЦ (ВСЕГО), н/ч</t>
  </si>
  <si>
    <t xml:space="preserve">Расшифровка Трудоемкости по РЦ цеха 100 (МЗП) </t>
  </si>
  <si>
    <t>4385</t>
  </si>
  <si>
    <t>Очереди в разрезе РЦ. Нормочасы</t>
  </si>
  <si>
    <t>Выд.в ПДБ</t>
  </si>
  <si>
    <t>10101</t>
  </si>
  <si>
    <t>10102</t>
  </si>
  <si>
    <t>10103</t>
  </si>
  <si>
    <t>10104</t>
  </si>
  <si>
    <t>10105</t>
  </si>
  <si>
    <t>10106</t>
  </si>
  <si>
    <t>10109</t>
  </si>
  <si>
    <t>10201</t>
  </si>
  <si>
    <t>10202</t>
  </si>
  <si>
    <t>10203</t>
  </si>
  <si>
    <t>10204</t>
  </si>
  <si>
    <t>10205</t>
  </si>
  <si>
    <t>10206</t>
  </si>
  <si>
    <t>10801</t>
  </si>
  <si>
    <t>10802</t>
  </si>
  <si>
    <t>10803</t>
  </si>
  <si>
    <t>10804</t>
  </si>
  <si>
    <t>11101</t>
  </si>
  <si>
    <t>11102</t>
  </si>
  <si>
    <t>11103</t>
  </si>
  <si>
    <t>11401</t>
  </si>
  <si>
    <t>11402</t>
  </si>
  <si>
    <t>11403</t>
  </si>
  <si>
    <t>11404</t>
  </si>
  <si>
    <t>11405</t>
  </si>
  <si>
    <t>11406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</si>
  <si>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</si>
  <si>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</si>
  <si>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</si>
  <si>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</si>
  <si>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</si>
  <si>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</si>
  <si>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</si>
  <si>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</si>
  <si>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</si>
  <si>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</si>
  <si>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</si>
  <si>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</si>
  <si>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</si>
  <si>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</si>
  <si>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</si>
  <si>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</si>
  <si>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</si>
  <si>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</si>
  <si>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</si>
  <si>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</si>
  <si>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</si>
  <si>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</si>
  <si>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</si>
  <si>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</si>
  <si>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</si>
  <si>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</si>
  <si>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</si>
  <si>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</si>
  <si>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</si>
  <si>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</si>
  <si>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</si>
  <si>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</si>
  <si>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</si>
  <si>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</si>
  <si>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</si>
  <si>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</si>
  <si>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</si>
  <si>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</si>
  <si>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</si>
  <si>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</si>
  <si>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</si>
  <si>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</si>
  <si>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выдано</t>
  </si>
  <si>
    <t>Итого</t>
  </si>
  <si>
    <t>43</t>
  </si>
  <si>
    <t>3 001</t>
  </si>
  <si>
    <t>44</t>
  </si>
  <si>
    <t>3 004</t>
  </si>
  <si>
    <t>45</t>
  </si>
  <si>
    <t>3 005</t>
  </si>
  <si>
    <t>46</t>
  </si>
  <si>
    <t>3 006</t>
  </si>
  <si>
    <t>47</t>
  </si>
  <si>
    <t>3 007</t>
  </si>
  <si>
    <t>48</t>
  </si>
  <si>
    <t>3 008</t>
  </si>
  <si>
    <t>49</t>
  </si>
  <si>
    <t>3 009</t>
  </si>
  <si>
    <t>50</t>
  </si>
  <si>
    <t>3 010</t>
  </si>
  <si>
    <t>51</t>
  </si>
  <si>
    <t>3 011</t>
  </si>
  <si>
    <t>52</t>
  </si>
  <si>
    <t>3 012</t>
  </si>
  <si>
    <t>53</t>
  </si>
  <si>
    <t>3 013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</si>
  <si>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</si>
  <si>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</si>
  <si>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</si>
  <si>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</si>
  <si>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</si>
  <si>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</si>
  <si>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</si>
  <si>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</si>
  <si>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</si>
  <si>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</si>
  <si>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</si>
  <si>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</si>
  <si>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</si>
  <si>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3 254</t>
  </si>
  <si>
    <t>67</t>
  </si>
  <si>
    <t>68</t>
  </si>
  <si>
    <t>69</t>
  </si>
  <si>
    <t>70</t>
  </si>
  <si>
    <t>71</t>
  </si>
  <si>
    <t>3 259</t>
  </si>
  <si>
    <t>72</t>
  </si>
  <si>
    <t>3 263</t>
  </si>
  <si>
    <t>73</t>
  </si>
  <si>
    <t>3 264</t>
  </si>
  <si>
    <t>74</t>
  </si>
  <si>
    <t>3 266</t>
  </si>
  <si>
    <t>75</t>
  </si>
  <si>
    <t>3 267</t>
  </si>
  <si>
    <t>76</t>
  </si>
  <si>
    <t>3 268</t>
  </si>
  <si>
    <t>77</t>
  </si>
  <si>
    <t>3 269</t>
  </si>
  <si>
    <t>78</t>
  </si>
  <si>
    <t>3 270</t>
  </si>
  <si>
    <t>79</t>
  </si>
  <si>
    <t>3 271</t>
  </si>
  <si>
    <t>80</t>
  </si>
  <si>
    <t>3 272</t>
  </si>
  <si>
    <t>81</t>
  </si>
  <si>
    <t>3 273</t>
  </si>
  <si>
    <t>82</t>
  </si>
  <si>
    <t>3 274</t>
  </si>
  <si>
    <t>83</t>
  </si>
  <si>
    <t>84</t>
  </si>
  <si>
    <t>85</t>
  </si>
  <si>
    <t>3 277</t>
  </si>
  <si>
    <t>86</t>
  </si>
  <si>
    <t>3 278</t>
  </si>
  <si>
    <t>87</t>
  </si>
  <si>
    <t>88</t>
  </si>
  <si>
    <t>3 282</t>
  </si>
  <si>
    <t>89</t>
  </si>
  <si>
    <t>90</t>
  </si>
  <si>
    <t>3 284</t>
  </si>
  <si>
    <t>91</t>
  </si>
  <si>
    <t>3 286</t>
  </si>
  <si>
    <t>92</t>
  </si>
  <si>
    <t>93</t>
  </si>
  <si>
    <t>94</t>
  </si>
  <si>
    <t>95</t>
  </si>
  <si>
    <t>96</t>
  </si>
  <si>
    <t>97</t>
  </si>
  <si>
    <t>98</t>
  </si>
  <si>
    <t>99</t>
  </si>
  <si>
    <t>3 299</t>
  </si>
  <si>
    <t>101</t>
  </si>
  <si>
    <t>102</t>
  </si>
  <si>
    <t>103</t>
  </si>
  <si>
    <t>104</t>
  </si>
  <si>
    <t>105</t>
  </si>
  <si>
    <t>3 304</t>
  </si>
  <si>
    <t>107</t>
  </si>
  <si>
    <t>108</t>
  </si>
  <si>
    <t>3 311</t>
  </si>
  <si>
    <t>109</t>
  </si>
  <si>
    <t>3 316</t>
  </si>
  <si>
    <t>110</t>
  </si>
  <si>
    <t>111</t>
  </si>
  <si>
    <t>3 325</t>
  </si>
  <si>
    <t>112</t>
  </si>
  <si>
    <t>3 326</t>
  </si>
  <si>
    <t>113</t>
  </si>
  <si>
    <t>3 327</t>
  </si>
  <si>
    <t>114</t>
  </si>
  <si>
    <t>3 329</t>
  </si>
  <si>
    <t>115</t>
  </si>
  <si>
    <t>3 330</t>
  </si>
  <si>
    <t>116</t>
  </si>
  <si>
    <t>3 331</t>
  </si>
  <si>
    <t>117</t>
  </si>
  <si>
    <t>3 334</t>
  </si>
  <si>
    <t>119</t>
  </si>
  <si>
    <t>3 339</t>
  </si>
  <si>
    <t>120</t>
  </si>
  <si>
    <t>3 340</t>
  </si>
  <si>
    <t>121</t>
  </si>
  <si>
    <t>3 342</t>
  </si>
  <si>
    <t>122</t>
  </si>
  <si>
    <t>3 344</t>
  </si>
  <si>
    <t>123</t>
  </si>
  <si>
    <t>124</t>
  </si>
  <si>
    <t>125</t>
  </si>
  <si>
    <t>3 351</t>
  </si>
  <si>
    <t>126</t>
  </si>
  <si>
    <t>127</t>
  </si>
  <si>
    <t>128</t>
  </si>
  <si>
    <t>129</t>
  </si>
  <si>
    <t>130</t>
  </si>
  <si>
    <t>3 358</t>
  </si>
  <si>
    <t>131</t>
  </si>
  <si>
    <t>3 359</t>
  </si>
  <si>
    <t>132</t>
  </si>
  <si>
    <t>3 360</t>
  </si>
  <si>
    <t>133</t>
  </si>
  <si>
    <t>3 361</t>
  </si>
  <si>
    <t>134</t>
  </si>
  <si>
    <t>3 362</t>
  </si>
  <si>
    <t>135</t>
  </si>
  <si>
    <t>3 363</t>
  </si>
  <si>
    <t>136</t>
  </si>
  <si>
    <t>3 364</t>
  </si>
  <si>
    <t>137</t>
  </si>
  <si>
    <t>3 366</t>
  </si>
  <si>
    <t>138</t>
  </si>
  <si>
    <t>3 367</t>
  </si>
  <si>
    <t>139</t>
  </si>
  <si>
    <t>3 368</t>
  </si>
  <si>
    <t>140</t>
  </si>
  <si>
    <t>3 369</t>
  </si>
  <si>
    <t>141</t>
  </si>
  <si>
    <t>3 371</t>
  </si>
  <si>
    <t>142</t>
  </si>
  <si>
    <t>3 372</t>
  </si>
  <si>
    <t>143</t>
  </si>
  <si>
    <t>3 373</t>
  </si>
  <si>
    <t>144</t>
  </si>
  <si>
    <t>3 374</t>
  </si>
  <si>
    <t>145</t>
  </si>
  <si>
    <t>3 375</t>
  </si>
  <si>
    <t>146</t>
  </si>
  <si>
    <t>3 376</t>
  </si>
  <si>
    <t>147</t>
  </si>
  <si>
    <t>148</t>
  </si>
  <si>
    <t>149</t>
  </si>
  <si>
    <t>3 379</t>
  </si>
  <si>
    <t>150</t>
  </si>
  <si>
    <t>3 380</t>
  </si>
  <si>
    <t>151</t>
  </si>
  <si>
    <t>3 383</t>
  </si>
  <si>
    <t>152</t>
  </si>
  <si>
    <t>153</t>
  </si>
  <si>
    <t>154</t>
  </si>
  <si>
    <t>в запуск</t>
  </si>
  <si>
    <t>task</t>
  </si>
  <si>
    <t>status</t>
  </si>
  <si>
    <t>startingDate</t>
  </si>
  <si>
    <t>finishingDate</t>
  </si>
  <si>
    <t>Карты КНБ в НЗП</t>
  </si>
  <si>
    <t>№ п.п</t>
  </si>
  <si>
    <t>Изделие</t>
  </si>
  <si>
    <t>СК</t>
  </si>
  <si>
    <t>Краткий текст</t>
  </si>
  <si>
    <t>Кол-во, шт</t>
  </si>
  <si>
    <t>РЦ запуска</t>
  </si>
  <si>
    <t>РЦ получ.</t>
  </si>
  <si>
    <t>ТЕ, н/ч.</t>
  </si>
  <si>
    <t>11801</t>
  </si>
  <si>
    <t>ЛТИЯ.711211.001-01 Заглушка</t>
  </si>
  <si>
    <t>15001</t>
  </si>
  <si>
    <t>ЛТИЯ.711211.001 Заглушка</t>
  </si>
  <si>
    <t>327</t>
  </si>
  <si>
    <t>ЖЯ8.036.542 Корпус</t>
  </si>
  <si>
    <t>ПБИН.745500.083 Угольник</t>
  </si>
  <si>
    <t>284</t>
  </si>
  <si>
    <t>ПБИН.741500.017 Планка</t>
  </si>
  <si>
    <t>13801</t>
  </si>
  <si>
    <t>ЕР8.262.089 Защелка</t>
  </si>
  <si>
    <t>10601</t>
  </si>
  <si>
    <t>ЖЯ9.288.701 БОБЫШКА</t>
  </si>
  <si>
    <t>ЛТИЯ.723312.001 Накладка</t>
  </si>
  <si>
    <t>11803</t>
  </si>
  <si>
    <t>ПБИН.723200.028 Цанга</t>
  </si>
  <si>
    <t>Итого в выпуске НЗП, н/ч:</t>
  </si>
  <si>
    <t>Карты КНБ в запуск.</t>
  </si>
  <si>
    <t>Орх ТН26</t>
  </si>
  <si>
    <t>ЛТИЯ.754342.053 Шильдик</t>
  </si>
  <si>
    <t>Орх</t>
  </si>
  <si>
    <t>ЛТИЯ.715111.024 СТЕРЖЕНЬ</t>
  </si>
  <si>
    <t>11804</t>
  </si>
  <si>
    <t>ЛТИЯ.715111.022-01 СТЕРЖЕНЬ</t>
  </si>
  <si>
    <t>ЛТИЯ.715111.023 СТЕРЖЕНЬ</t>
  </si>
  <si>
    <t>ПБИН.764400.002 Головка</t>
  </si>
  <si>
    <t>ЕР8.660.290 Створка</t>
  </si>
  <si>
    <t>ЕР8.692.345 Скоба</t>
  </si>
  <si>
    <t>Итого в выпуске ЗПСК, н/ч:</t>
  </si>
  <si>
    <t>ВСЕГО, н/ч:</t>
  </si>
  <si>
    <t xml:space="preserve">Начальник ПДО   </t>
  </si>
  <si>
    <t xml:space="preserve">Начальник ПДБ цеха 100   </t>
  </si>
  <si>
    <t xml:space="preserve">Начальник цеха 100   </t>
  </si>
  <si>
    <t>Разбивка трудоемкости СК по РЦ для очереди 1</t>
  </si>
  <si>
    <t>4390</t>
  </si>
  <si>
    <t>Номер очереди (через;) равно [1] и Номера СК (через;) равно [all] и тип отбора: 1 - в НЗП; 2 - не в запуске; 3 - все (по умолч.) равно [3]</t>
  </si>
  <si>
    <t>СК в НЗП</t>
  </si>
  <si>
    <t>№ п.п.   СК                  ДСЕ                                     Кол-во      РЦ        РЦ</t>
  </si>
  <si>
    <t>495645</t>
  </si>
  <si>
    <t>495647</t>
  </si>
  <si>
    <t>495655</t>
  </si>
  <si>
    <t>250</t>
  </si>
  <si>
    <t>514484</t>
  </si>
  <si>
    <t>Незапущенные СК</t>
  </si>
  <si>
    <t>НЕР.860018.200 ПЛАНКА</t>
  </si>
  <si>
    <t>ЕР9.047.705 Угольник</t>
  </si>
  <si>
    <t>ЛТИЯ.716361.001 ГАЙКА НАКИДНАЯ</t>
  </si>
  <si>
    <t>320</t>
  </si>
  <si>
    <t>168</t>
  </si>
  <si>
    <t>000Н88002670000000000</t>
  </si>
  <si>
    <t>000Н88002680000000000</t>
  </si>
  <si>
    <t>000Н88002720000000004</t>
  </si>
  <si>
    <t>000Н88002730000000000</t>
  </si>
  <si>
    <t>000Н88002760000000000</t>
  </si>
  <si>
    <t>000Н88002780000000003</t>
  </si>
  <si>
    <t>000Н88003000000000000</t>
  </si>
  <si>
    <t>000Н88003570000000000</t>
  </si>
  <si>
    <t>000Н88003570000000001</t>
  </si>
  <si>
    <t>000Н88003580000000000</t>
  </si>
  <si>
    <t>000Н88003610000000004</t>
  </si>
  <si>
    <t>000Н88004000000000000</t>
  </si>
  <si>
    <t>000Н88004950000000001</t>
  </si>
  <si>
    <t>000Н88005000000000000</t>
  </si>
  <si>
    <t>000Н89021680000000000</t>
  </si>
  <si>
    <t>000Н89205170000000000</t>
  </si>
  <si>
    <t>000Н89343170000000000</t>
  </si>
  <si>
    <t>000Н89553080000000000</t>
  </si>
  <si>
    <t>000Н89584320000000000</t>
  </si>
  <si>
    <t>000Н89585530000000000</t>
  </si>
  <si>
    <t>000Н94612770000000000</t>
  </si>
  <si>
    <t>00АЭ77500860000000000</t>
  </si>
  <si>
    <t>00БА82263170000000012</t>
  </si>
  <si>
    <t>00ЕР22430800000000000</t>
  </si>
  <si>
    <t>00ЕР27440010000000001</t>
  </si>
  <si>
    <t>00ЕР41713280000000011</t>
  </si>
  <si>
    <t>00ЕР61215280000000000</t>
  </si>
  <si>
    <t>00ЕР61215290000000000</t>
  </si>
  <si>
    <t>00ЕР61336190000000000</t>
  </si>
  <si>
    <t>00ЕР61487370000000001</t>
  </si>
  <si>
    <t>00ЕР62060050000000000</t>
  </si>
  <si>
    <t>00ЕР64200400000000000</t>
  </si>
  <si>
    <t>00ЕР64203770000000000</t>
  </si>
  <si>
    <t>00ЕР66140220000000003</t>
  </si>
  <si>
    <t>00ЕР66221320000000000</t>
  </si>
  <si>
    <t>00ЕР66270350000000000</t>
  </si>
  <si>
    <t>00ЕР66270360000000000</t>
  </si>
  <si>
    <t>00ЕР77220800000000000</t>
  </si>
  <si>
    <t>00ЕР77301740000000000</t>
  </si>
  <si>
    <t>00ЕР77301900000000001</t>
  </si>
  <si>
    <t>00ЕР77301900000000009</t>
  </si>
  <si>
    <t>00ЕР77302060000000001</t>
  </si>
  <si>
    <t>00ЕР77340700000000000</t>
  </si>
  <si>
    <t>00ЕР77340760000000000</t>
  </si>
  <si>
    <t>00ЕР77340780000000000</t>
  </si>
  <si>
    <t>00ЕР77401000000000000</t>
  </si>
  <si>
    <t>00ЕР77460490000000000</t>
  </si>
  <si>
    <t>00ЕР77501580000000000</t>
  </si>
  <si>
    <t>00ЕР77501650000000001</t>
  </si>
  <si>
    <t>00ЕР77501780000000000</t>
  </si>
  <si>
    <t>00ЕР77501800000000000</t>
  </si>
  <si>
    <t>00ЕР77561080000000000</t>
  </si>
  <si>
    <t>00ЕР77561180000000000</t>
  </si>
  <si>
    <t>00ЕР77600060000000000</t>
  </si>
  <si>
    <t>00ЕР78100740000000000</t>
  </si>
  <si>
    <t>00ЕР78100750000000000</t>
  </si>
  <si>
    <t>00ЕР78100760000000000</t>
  </si>
  <si>
    <t>00ЕР78162400000000000</t>
  </si>
  <si>
    <t>00ЕР78170260000000000</t>
  </si>
  <si>
    <t>00ЕР78352170000000000</t>
  </si>
  <si>
    <t>00ЕР78410170000000000</t>
  </si>
  <si>
    <t>00ЕР78521190000000001</t>
  </si>
  <si>
    <t>00ЕР78541760000000001</t>
  </si>
  <si>
    <t>00ЕР78541760000000004</t>
  </si>
  <si>
    <t>00ЕР78542050000000000</t>
  </si>
  <si>
    <t>00ЕР78603410000000000</t>
  </si>
  <si>
    <t>00ЕР79301860000000000</t>
  </si>
  <si>
    <t>00ЕР79301950000000000</t>
  </si>
  <si>
    <t>00ЕР79309010000000000</t>
  </si>
  <si>
    <t>00ЕР79309180000000015</t>
  </si>
  <si>
    <t>00ЕР79309180000000033</t>
  </si>
  <si>
    <t>00ЕР79309230000000000</t>
  </si>
  <si>
    <t>00ЕР79309340000000000</t>
  </si>
  <si>
    <t>00ЕР80050590000000000</t>
  </si>
  <si>
    <t>00ЕР80050600000000000</t>
  </si>
  <si>
    <t>00ЕР80050610000000000</t>
  </si>
  <si>
    <t>00ЕР80050640000000000</t>
  </si>
  <si>
    <t>00ЕР80050660000000000</t>
  </si>
  <si>
    <t>00ЕР80050670000000000</t>
  </si>
  <si>
    <t>00ЕР80586550000000000</t>
  </si>
  <si>
    <t>00ЕР80602240000000000</t>
  </si>
  <si>
    <t>00ЕР80602250000000000</t>
  </si>
  <si>
    <t>00ЕР80602260000000000</t>
  </si>
  <si>
    <t>00ЕР80602290000000000</t>
  </si>
  <si>
    <t>00ЕР80749250000000000</t>
  </si>
  <si>
    <t>00ЕР80749690000000000</t>
  </si>
  <si>
    <t>00ЕР80803320000000000</t>
  </si>
  <si>
    <t>00ЕР80942040000000000</t>
  </si>
  <si>
    <t>00ЕР81204790000000000</t>
  </si>
  <si>
    <t>00ЕР81204980000000000</t>
  </si>
  <si>
    <t>00ЕР81205020000000000</t>
  </si>
  <si>
    <t>00ЕР81205040000000000</t>
  </si>
  <si>
    <t>00ЕР81205090000000000</t>
  </si>
  <si>
    <t>00ЕР81205090000000001</t>
  </si>
  <si>
    <t>00ЕР81261000000000000</t>
  </si>
  <si>
    <t>00ЕР81303530000000002</t>
  </si>
  <si>
    <t>00ЕР81303530000000003</t>
  </si>
  <si>
    <t>00ЕР81304170000000000</t>
  </si>
  <si>
    <t>00ЕР81305430000000000</t>
  </si>
  <si>
    <t>00ЕР81305440000000000</t>
  </si>
  <si>
    <t>00ЕР82037180000000000</t>
  </si>
  <si>
    <t>00ЕР82101980000000000</t>
  </si>
  <si>
    <t>00ЕР82102470000000000</t>
  </si>
  <si>
    <t>00ЕР82141170000000000</t>
  </si>
  <si>
    <t>00ЕР82201270000000000</t>
  </si>
  <si>
    <t>00ЕР82201280000000000</t>
  </si>
  <si>
    <t>00ЕР82203630000000000</t>
  </si>
  <si>
    <t>00ЕР82204620000000000</t>
  </si>
  <si>
    <t>00ЕР82204630000000000</t>
  </si>
  <si>
    <t>00ЕР82205190000000000</t>
  </si>
  <si>
    <t>00ЕР82205200000000000</t>
  </si>
  <si>
    <t>00ЕР82205200000000001</t>
  </si>
  <si>
    <t>00ЕР82273580000000001</t>
  </si>
  <si>
    <t>00ЕР82301210000000000</t>
  </si>
  <si>
    <t>00ЕР82412880000000000</t>
  </si>
  <si>
    <t>00ЕР82620890000000000</t>
  </si>
  <si>
    <t>00ЕР83000620000000000</t>
  </si>
  <si>
    <t>00ЕР83003010000000000</t>
  </si>
  <si>
    <t>00ЕР83004340000000000</t>
  </si>
  <si>
    <t>00ЕР83004440000000000</t>
  </si>
  <si>
    <t>00ЕР83106110000000000</t>
  </si>
  <si>
    <t>00ЕР83106180000000000</t>
  </si>
  <si>
    <t>00ЕР83106680000000000</t>
  </si>
  <si>
    <t>00ЕР83107480000000000</t>
  </si>
  <si>
    <t>00ЕР83181070000000000</t>
  </si>
  <si>
    <t>00ЕР83181480000000000</t>
  </si>
  <si>
    <t>00ЕР83521580000000000</t>
  </si>
  <si>
    <t>00ЕР83521660000000000</t>
  </si>
  <si>
    <t>00ЕР83664410000000000</t>
  </si>
  <si>
    <t>00ЕР86010020000000000</t>
  </si>
  <si>
    <t>00ЕР86035960000000001</t>
  </si>
  <si>
    <t>00ЕР86048330000000000</t>
  </si>
  <si>
    <t>00ЕР86048340000000000</t>
  </si>
  <si>
    <t>00ЕР86093260000000000</t>
  </si>
  <si>
    <t>00ЕР86108400000000000</t>
  </si>
  <si>
    <t>00ЕР86108430000000000</t>
  </si>
  <si>
    <t>00ЕР86150730000000000</t>
  </si>
  <si>
    <t>00ЕР86326340000000000</t>
  </si>
  <si>
    <t>00ЕР86600920000000000</t>
  </si>
  <si>
    <t>00ЕР86600930000000000</t>
  </si>
  <si>
    <t>00ЕР86602890000000001</t>
  </si>
  <si>
    <t>00ЕР86602900000000000</t>
  </si>
  <si>
    <t>00ЕР86603500000000000</t>
  </si>
  <si>
    <t>00ЕР86604750000000000</t>
  </si>
  <si>
    <t>00ЕР86604780000000000</t>
  </si>
  <si>
    <t>00ЕР86604910000000000</t>
  </si>
  <si>
    <t>00ЕР86631710000000000</t>
  </si>
  <si>
    <t>00ЕР86632080000000000</t>
  </si>
  <si>
    <t>00ЕР86656370000000000</t>
  </si>
  <si>
    <t>00ЕР86656420000000000</t>
  </si>
  <si>
    <t>00ЕР86677910000000001</t>
  </si>
  <si>
    <t>00ЕР86693860000000000</t>
  </si>
  <si>
    <t>00ЕР86693870000000000</t>
  </si>
  <si>
    <t>00ЕР86712070000000000</t>
  </si>
  <si>
    <t>00ЕР86770050000000000</t>
  </si>
  <si>
    <t>00ЕР86801520000000000</t>
  </si>
  <si>
    <t>00ЕР86847080000000000</t>
  </si>
  <si>
    <t>00ЕР86919670000000000</t>
  </si>
  <si>
    <t>00ЕР86923450000000000</t>
  </si>
  <si>
    <t>00ЕР88050520000000000</t>
  </si>
  <si>
    <t>00ЕР88050520000000001</t>
  </si>
  <si>
    <t>00ЕР88050530000000000</t>
  </si>
  <si>
    <t>00ЕР88051890000000000</t>
  </si>
  <si>
    <t>00ЕР88160330000000000</t>
  </si>
  <si>
    <t>00ЕР88160330000000001</t>
  </si>
  <si>
    <t>00ЕР88160330000000002</t>
  </si>
  <si>
    <t>00ЕР88160330000000003</t>
  </si>
  <si>
    <t>00ЕР88160330000000004</t>
  </si>
  <si>
    <t>00ЕР89001610000000000</t>
  </si>
  <si>
    <t>00ЕР89020400000000000</t>
  </si>
  <si>
    <t>00ЕР89050070000000000</t>
  </si>
  <si>
    <t>00ЕР89201040000000001</t>
  </si>
  <si>
    <t>00ЕР89260540000000000</t>
  </si>
  <si>
    <t>00ЕР89260600000000000</t>
  </si>
  <si>
    <t>00ЕР89300970000000000</t>
  </si>
  <si>
    <t>00ЕР89300990000000000</t>
  </si>
  <si>
    <t>00ЕР89330180000000000</t>
  </si>
  <si>
    <t>00ЕР89460770000000000</t>
  </si>
  <si>
    <t>00ЕР89470250000000000</t>
  </si>
  <si>
    <t>00ЕР89780110000000000</t>
  </si>
  <si>
    <t>00ЕР90486640000000000</t>
  </si>
  <si>
    <t>00ЕР90486650000000000</t>
  </si>
  <si>
    <t>00ЕР90486650000000001</t>
  </si>
  <si>
    <t>00ЕР90486650000000002</t>
  </si>
  <si>
    <t>00ЕР90486650000000003</t>
  </si>
  <si>
    <t>00ЕР90486670000000000</t>
  </si>
  <si>
    <t>00ЕР90488270000000000</t>
  </si>
  <si>
    <t>00ЕР90488280000000000</t>
  </si>
  <si>
    <t>00ЕР90488400000000000</t>
  </si>
  <si>
    <t>00ЕР90488490000000000</t>
  </si>
  <si>
    <t>00ЕР90488630000000000</t>
  </si>
  <si>
    <t>00ЕР90488630000000001</t>
  </si>
  <si>
    <t>00ЕР90488650000000001</t>
  </si>
  <si>
    <t>00ЕР90488710000000000</t>
  </si>
  <si>
    <t>00ЕР92400180000000000</t>
  </si>
  <si>
    <t>00ЕР92501920000000000</t>
  </si>
  <si>
    <t>00ЕР92501930000000000</t>
  </si>
  <si>
    <t>00ЕР92502810000000000</t>
  </si>
  <si>
    <t>00ЕР92507820000000000</t>
  </si>
  <si>
    <t>00ЕР92507820000000001</t>
  </si>
  <si>
    <t>00ЕР92507820000000002</t>
  </si>
  <si>
    <t>00ЕР92507820000000003</t>
  </si>
  <si>
    <t>00ЕР92790520000000000</t>
  </si>
  <si>
    <t>00ЕР92802780000000000</t>
  </si>
  <si>
    <t>00ЕР92876010000000000</t>
  </si>
  <si>
    <t>00ЖЯ22041970000000000</t>
  </si>
  <si>
    <t>00ЖЯ22435500000000000</t>
  </si>
  <si>
    <t>00ЖЯ22435770000000000</t>
  </si>
  <si>
    <t>00ЖЯ36403340000000000</t>
  </si>
  <si>
    <t>00ЖЯ36403370000000000</t>
  </si>
  <si>
    <t>00ЖЯ48506120000000000</t>
  </si>
  <si>
    <t>00ЖЯ50684920000000001</t>
  </si>
  <si>
    <t>00ЖЯ61152170000000000</t>
  </si>
  <si>
    <t>00ЖЯ61656510000000000</t>
  </si>
  <si>
    <t>00ЖЯ61661080000000000</t>
  </si>
  <si>
    <t>00ЖЯ61720000000000000</t>
  </si>
  <si>
    <t>00ЖЯ64210340000000000</t>
  </si>
  <si>
    <t>00ЖЯ66876610000000000</t>
  </si>
  <si>
    <t>00ЖЯ67595500000000000</t>
  </si>
  <si>
    <t>00ЖЯ71104990000000000</t>
  </si>
  <si>
    <t>00ЖЯ77233690000000000</t>
  </si>
  <si>
    <t>00ЖЯ77240240000000000</t>
  </si>
  <si>
    <t>00ЖЯ77330990000000000</t>
  </si>
  <si>
    <t>00ЖЯ77387650000000000</t>
  </si>
  <si>
    <t>00ЖЯ77387700000000000</t>
  </si>
  <si>
    <t>00ЖЯ77406170000000000</t>
  </si>
  <si>
    <t>00ЖЯ77465460000000000</t>
  </si>
  <si>
    <t>00ЖЯ77505040000000000</t>
  </si>
  <si>
    <t>00ЖЯ77515430000000000</t>
  </si>
  <si>
    <t>00ЖЯ77779840000000000</t>
  </si>
  <si>
    <t>00ЖЯ77779850000000000</t>
  </si>
  <si>
    <t>00ЖЯ77779860000000000</t>
  </si>
  <si>
    <t>00ЖЯ77779870000000000</t>
  </si>
  <si>
    <t>00ЖЯ77827350000000000</t>
  </si>
  <si>
    <t>00ЖЯ77828370000000069</t>
  </si>
  <si>
    <t>00ЖЯ78373690000000000</t>
  </si>
  <si>
    <t>00ЖЯ78373700000000000</t>
  </si>
  <si>
    <t>00ЖЯ78377460000000000</t>
  </si>
  <si>
    <t>00ЖЯ78377470000000000</t>
  </si>
  <si>
    <t>00ЖЯ78377480000000000</t>
  </si>
  <si>
    <t>00ЖЯ78613160000000000</t>
  </si>
  <si>
    <t>00ЖЯ78921850000000000</t>
  </si>
  <si>
    <t>00ЖЯ78921860000000000</t>
  </si>
  <si>
    <t>00ЖЯ78923830000000000</t>
  </si>
  <si>
    <t>00ЖЯ78923840000000000</t>
  </si>
  <si>
    <t>00ЖЯ78927410000000000</t>
  </si>
  <si>
    <t>00ЖЯ78927420000000000</t>
  </si>
  <si>
    <t>00ЖЯ78927850000000000</t>
  </si>
  <si>
    <t>00ЖЯ78927860000000000</t>
  </si>
  <si>
    <t>00ЖЯ78927870000000000</t>
  </si>
  <si>
    <t>00ЖЯ79041910000000000</t>
  </si>
  <si>
    <t>00ЖЯ79041920000000000</t>
  </si>
  <si>
    <t>00ЖЯ79340330000000000</t>
  </si>
  <si>
    <t>00ЖЯ79352830000000000</t>
  </si>
  <si>
    <t>00ЖЯ79390950000000000</t>
  </si>
  <si>
    <t>00ЖЯ80004400000000000</t>
  </si>
  <si>
    <t>00ЖЯ80004420000000000</t>
  </si>
  <si>
    <t>00ЖЯ80361370000000000</t>
  </si>
  <si>
    <t>00ЖЯ80365020000000000</t>
  </si>
  <si>
    <t>00ЖЯ80365420000000000</t>
  </si>
  <si>
    <t>00ЖЯ80390210000000000</t>
  </si>
  <si>
    <t>00ЖЯ80448030000000000</t>
  </si>
  <si>
    <t>00ЖЯ80614000000000000</t>
  </si>
  <si>
    <t>00ЖЯ81213760000000000</t>
  </si>
  <si>
    <t>00ЖЯ81420630000000000</t>
  </si>
  <si>
    <t>00ЖЯ81420650000000000</t>
  </si>
  <si>
    <t>00ЖЯ81875470000000000</t>
  </si>
  <si>
    <t>00ЖЯ81959210000000000</t>
  </si>
  <si>
    <t>00ЖЯ82269520000000000</t>
  </si>
  <si>
    <t>00ЖЯ82285120000000005</t>
  </si>
  <si>
    <t>00ЖЯ82397460000000000</t>
  </si>
  <si>
    <t>00ЖЯ82397600000000000</t>
  </si>
  <si>
    <t>00ЖЯ82423330000000000</t>
  </si>
  <si>
    <t>00ЖЯ82432360000000000</t>
  </si>
  <si>
    <t>00ЖЯ82452680000000000</t>
  </si>
  <si>
    <t>00ЖЯ82487450000000000</t>
  </si>
  <si>
    <t>00ЖЯ83012420000000000</t>
  </si>
  <si>
    <t>00ЖЯ83012430000000000</t>
  </si>
  <si>
    <t>00ЖЯ83156640000000000</t>
  </si>
  <si>
    <t>00ЖЯ86646100000000000</t>
  </si>
  <si>
    <t>00ЖЯ86646770000000000</t>
  </si>
  <si>
    <t>00ЖЯ86712910000000000</t>
  </si>
  <si>
    <t>00ЖЯ86851960000000021</t>
  </si>
  <si>
    <t>00ЖЯ86854710000000000</t>
  </si>
  <si>
    <t>00ЖЯ86868030000000004</t>
  </si>
  <si>
    <t>00ЖЯ88162420000000000</t>
  </si>
  <si>
    <t>00ЖЯ88162420000000001</t>
  </si>
  <si>
    <t>00ЖЯ88162420000000002</t>
  </si>
  <si>
    <t>00ЖЯ88162420000000003</t>
  </si>
  <si>
    <t>00ЖЯ89284600000000000</t>
  </si>
  <si>
    <t>00ЖЯ89352540000000000</t>
  </si>
  <si>
    <t>00ЖЯ89354880000000000</t>
  </si>
  <si>
    <t>00ЖЯ89357150000000000</t>
  </si>
  <si>
    <t>00ЖЯ89521030000000000</t>
  </si>
  <si>
    <t>00ЖЯ89550200000000000</t>
  </si>
  <si>
    <t>00ЖЯ89602160000000000</t>
  </si>
  <si>
    <t>00ЖЯ90474990000000000</t>
  </si>
  <si>
    <t>00ЖЯ90475360000000000</t>
  </si>
  <si>
    <t>00ЖЯ90852490000000000</t>
  </si>
  <si>
    <t>00ЖЯ90855790000000000</t>
  </si>
  <si>
    <t>00ЖЯ90855960000000000</t>
  </si>
  <si>
    <t>00ЖЯ91154910000000000</t>
  </si>
  <si>
    <t>00ЖЯ91156440000000000</t>
  </si>
  <si>
    <t>00ЖЯ91156450000000000</t>
  </si>
  <si>
    <t>00ЖЯ91156460000000000</t>
  </si>
  <si>
    <t>00ЖЯ91157370000000000</t>
  </si>
  <si>
    <t>00ЖЯ91157960000000000</t>
  </si>
  <si>
    <t>00ЖЯ91365780000000000</t>
  </si>
  <si>
    <t>00ЖЯ91370680000000000</t>
  </si>
  <si>
    <t>00ЖЯ92471140000000000</t>
  </si>
  <si>
    <t>00ЖЯ92527690000000000</t>
  </si>
  <si>
    <t>00ЖЯ92611620000000000</t>
  </si>
  <si>
    <t>00ЖЯ92611630000000000</t>
  </si>
  <si>
    <t>00ЖЯ92668790000000000</t>
  </si>
  <si>
    <t>00ЖЯ92668990000000000</t>
  </si>
  <si>
    <t>00ЖЯ92723950000000000</t>
  </si>
  <si>
    <t>00ЖЯ92882890000000000</t>
  </si>
  <si>
    <t>00ЖЯ92887010000000000</t>
  </si>
  <si>
    <t>00ЖЯ93015490000000002</t>
  </si>
  <si>
    <t>00ЖЯ93587920000000000</t>
  </si>
  <si>
    <t>00ЖЯ93627190000000000</t>
  </si>
  <si>
    <t>00ЖЯ93630880000000001</t>
  </si>
  <si>
    <t>00ТШ47778710000000000</t>
  </si>
  <si>
    <t>00ТШ47792610000000000</t>
  </si>
  <si>
    <t>00ТШ47792620000000000</t>
  </si>
  <si>
    <t>00ТШ66872250000000000</t>
  </si>
  <si>
    <t>00ТШ81261030000000000</t>
  </si>
  <si>
    <t>00ТШ83872360000000000</t>
  </si>
  <si>
    <t>00ТШ86025330000000000</t>
  </si>
  <si>
    <t>0АТВ86650000000000003</t>
  </si>
  <si>
    <t>0АТВ86690060000000005</t>
  </si>
  <si>
    <t>0АТВ86710190000000000</t>
  </si>
  <si>
    <t>0НЕР78600030000000000</t>
  </si>
  <si>
    <t>0НЕР78600100000000000</t>
  </si>
  <si>
    <t>0НЕР78600170000000000</t>
  </si>
  <si>
    <t>0НЕР78600460000000000</t>
  </si>
  <si>
    <t>0НЕР88280060000000012</t>
  </si>
  <si>
    <t>0НЕР88280110000000012</t>
  </si>
  <si>
    <t>0НЕР88280210000000012</t>
  </si>
  <si>
    <t>0НЕР88280420000000022</t>
  </si>
  <si>
    <t>0ННН89276440000000000</t>
  </si>
  <si>
    <t>0ННН89300610000000000</t>
  </si>
  <si>
    <t>0ННН89480170000000000</t>
  </si>
  <si>
    <t>0ННН89480210000000000</t>
  </si>
  <si>
    <t>0ННН89480220000000000</t>
  </si>
  <si>
    <t>0ННН89480230000000000</t>
  </si>
  <si>
    <t>0ННН89480250000000000</t>
  </si>
  <si>
    <t>0ННН89480290000000000</t>
  </si>
  <si>
    <t>0ННН89480300000000000</t>
  </si>
  <si>
    <t>0ННН89530390000000000</t>
  </si>
  <si>
    <t>0ННН89550010000000000</t>
  </si>
  <si>
    <t>0ННН89550280000000000</t>
  </si>
  <si>
    <t>0ННН89608750000000002</t>
  </si>
  <si>
    <t>АИСТ71235100100000001</t>
  </si>
  <si>
    <t>АИСТ74526101000000000</t>
  </si>
  <si>
    <t>АИСТ74546400100000002</t>
  </si>
  <si>
    <t>АИСТ74546400100000003</t>
  </si>
  <si>
    <t>АИСТ74546400100000032</t>
  </si>
  <si>
    <t>АИСТ74546400100000068</t>
  </si>
  <si>
    <t>АИСТ74546400100000070</t>
  </si>
  <si>
    <t>АИСТ74553500100000000</t>
  </si>
  <si>
    <t>АИСТ75441300100000004</t>
  </si>
  <si>
    <t>АИСТ75858100100000003</t>
  </si>
  <si>
    <t>АИСТ75858100100000007</t>
  </si>
  <si>
    <t>ГК00000000000Э8002866</t>
  </si>
  <si>
    <t>ЖРВИ72531600100000005</t>
  </si>
  <si>
    <t>ЖЯ2243550ТСБ100000000</t>
  </si>
  <si>
    <t>ЛТИЯ00042000000000005</t>
  </si>
  <si>
    <t>ЛТИЯ00045000000000002</t>
  </si>
  <si>
    <t>ЛТИЯ00046000000000005</t>
  </si>
  <si>
    <t>ЛТИЯ00047000000000004</t>
  </si>
  <si>
    <t>ЛТИЯ00048000000000003</t>
  </si>
  <si>
    <t>ЛТИЯ00049000000000004</t>
  </si>
  <si>
    <t>ЛТИЯ00140000000000001</t>
  </si>
  <si>
    <t>ЛТИЯ00141000000000002</t>
  </si>
  <si>
    <t>ЛТИЯ00143000000000003</t>
  </si>
  <si>
    <t>ЛТИЯ00145000000000002</t>
  </si>
  <si>
    <t>ЛТИЯ00149000000000002</t>
  </si>
  <si>
    <t>ЛТИЯ00150000000000003</t>
  </si>
  <si>
    <t>ЛТИЯ00152000000000002</t>
  </si>
  <si>
    <t>ЛТИЯ00153000000000002</t>
  </si>
  <si>
    <t>ЛТИЯ00154000000000001</t>
  </si>
  <si>
    <t>ЛТИЯ00155000000000001</t>
  </si>
  <si>
    <t>ЛТИЯ00178000000000002</t>
  </si>
  <si>
    <t>ЛТИЯ00205000000000001</t>
  </si>
  <si>
    <t>ЛТИЯ06161100100000000</t>
  </si>
  <si>
    <t>ЛТИЯ06383100100000000</t>
  </si>
  <si>
    <t>ЛТИЯ063831001ТСБ10000</t>
  </si>
  <si>
    <t>ЛТИЯ06517400100000000</t>
  </si>
  <si>
    <t>ЛТИЯ06517400200000000</t>
  </si>
  <si>
    <t>ЛТИЯ30111100400000000</t>
  </si>
  <si>
    <t>ЛТИЯ30111100500000000</t>
  </si>
  <si>
    <t>ЛТИЯ30111100700000000</t>
  </si>
  <si>
    <t>ЛТИЯ30111900100000000</t>
  </si>
  <si>
    <t>ЛТИЯ301119001ТД000000</t>
  </si>
  <si>
    <t>ЛТИЯ30111900200000000</t>
  </si>
  <si>
    <t>ЛТИЯ30111902200000000</t>
  </si>
  <si>
    <t>ЛТИЯ30111902300000000</t>
  </si>
  <si>
    <t>ЛТИЯ30111902400000000</t>
  </si>
  <si>
    <t>ЛТИЯ30111902700000000</t>
  </si>
  <si>
    <t>ЛТИЯ30111902800000000</t>
  </si>
  <si>
    <t>ЛТИЯ30112600300000000</t>
  </si>
  <si>
    <t>ЛТИЯ30112600300000001</t>
  </si>
  <si>
    <t>ЛТИЯ30117200300000000</t>
  </si>
  <si>
    <t>ЛТИЯ30118701800000000</t>
  </si>
  <si>
    <t>ЛТИЯ30118702800000000</t>
  </si>
  <si>
    <t>ЛТИЯ30118702900000000</t>
  </si>
  <si>
    <t>ЛТИЯ30118703200000000</t>
  </si>
  <si>
    <t>ЛТИЯ30118703300000000</t>
  </si>
  <si>
    <t>ЛТИЯ30122201300000000</t>
  </si>
  <si>
    <t>ЛТИЯ30122201400000000</t>
  </si>
  <si>
    <t>ЛТИЯ30122201700000000</t>
  </si>
  <si>
    <t>ЛТИЯ30122201800000000</t>
  </si>
  <si>
    <t>ЛТИЯ30122201900000000</t>
  </si>
  <si>
    <t>ЛТИЯ30122202700000000</t>
  </si>
  <si>
    <t>ЛТИЯ30122302600000000</t>
  </si>
  <si>
    <t>ЛТИЯ301223026ТСБ10000</t>
  </si>
  <si>
    <t>ЛТИЯ30122401100000000</t>
  </si>
  <si>
    <t>ЛТИЯ30122401100000001</t>
  </si>
  <si>
    <t>ЛТИЯ30122401100000002</t>
  </si>
  <si>
    <t>ЛТИЯ30122401400000000</t>
  </si>
  <si>
    <t>ЛТИЯ30122405600000000</t>
  </si>
  <si>
    <t>ЛТИЯ30122405700000000</t>
  </si>
  <si>
    <t>ЛТИЯ30122407800000000</t>
  </si>
  <si>
    <t>ЛТИЯ30123105100000000</t>
  </si>
  <si>
    <t>ЛТИЯ30123105200000000</t>
  </si>
  <si>
    <t>ЛТИЯ30123106100000000</t>
  </si>
  <si>
    <t>ЛТИЯ30123106200000000</t>
  </si>
  <si>
    <t>ЛТИЯ30123106300000000</t>
  </si>
  <si>
    <t>ЛТИЯ30123302000000000</t>
  </si>
  <si>
    <t>ЛТИЯ30123302100000000</t>
  </si>
  <si>
    <t>ЛТИЯ30123302200000000</t>
  </si>
  <si>
    <t>ЛТИЯ30123302300000000</t>
  </si>
  <si>
    <t>ЛТИЯ30123302400000000</t>
  </si>
  <si>
    <t>ЛТИЯ30123302500000000</t>
  </si>
  <si>
    <t>ЛТИЯ30123302700000000</t>
  </si>
  <si>
    <t>ЛТИЯ301233027ТСБ10000</t>
  </si>
  <si>
    <t>ЛТИЯ30123303000000000</t>
  </si>
  <si>
    <t>ЛТИЯ30123303100000000</t>
  </si>
  <si>
    <t>ЛТИЯ30123303200000000</t>
  </si>
  <si>
    <t>ЛТИЯ301233032ТСБ10000</t>
  </si>
  <si>
    <t>ЛТИЯ30123303400000000</t>
  </si>
  <si>
    <t>ЛТИЯ30123304700000000</t>
  </si>
  <si>
    <t>ЛТИЯ30124104300000000</t>
  </si>
  <si>
    <t>ЛТИЯ30124106000000000</t>
  </si>
  <si>
    <t>ЛТИЯ30124112300000000</t>
  </si>
  <si>
    <t>ЛТИЯ30125103400000000</t>
  </si>
  <si>
    <t>ЛТИЯ30125103900000000</t>
  </si>
  <si>
    <t>ЛТИЯ30125106400000000</t>
  </si>
  <si>
    <t>ЛТИЯ30125106500000000</t>
  </si>
  <si>
    <t>ЛТИЯ30125200600000000</t>
  </si>
  <si>
    <t>ЛТИЯ30126101800000000</t>
  </si>
  <si>
    <t>ЛТИЯ30126101900000000</t>
  </si>
  <si>
    <t>ЛТИЯ30126102000000000</t>
  </si>
  <si>
    <t>ЛТИЯ301261020ТД000000</t>
  </si>
  <si>
    <t>ЛТИЯ30126102100000000</t>
  </si>
  <si>
    <t>ЛТИЯ30126102100000001</t>
  </si>
  <si>
    <t>ЛТИЯ30126102500000000</t>
  </si>
  <si>
    <t>ЛТИЯ30126102600000000</t>
  </si>
  <si>
    <t>ЛТИЯ30126103200000000</t>
  </si>
  <si>
    <t>ЛТИЯ30126103800000000</t>
  </si>
  <si>
    <t>ЛТИЯ30126103800000001</t>
  </si>
  <si>
    <t>ЛТИЯ30126104500000000</t>
  </si>
  <si>
    <t>ЛТИЯ30131200300000000</t>
  </si>
  <si>
    <t>ЛТИЯ30131200400000000</t>
  </si>
  <si>
    <t>ЛТИЯ30131200500000000</t>
  </si>
  <si>
    <t>ЛТИЯ30131301400000000</t>
  </si>
  <si>
    <t>ЛТИЯ30131301400000001</t>
  </si>
  <si>
    <t>ЛТИЯ30131301500000000</t>
  </si>
  <si>
    <t>ЛТИЯ30131403400000000</t>
  </si>
  <si>
    <t>ЛТИЯ30131405800000000</t>
  </si>
  <si>
    <t>ЛТИЯ30131405900000000</t>
  </si>
  <si>
    <t>ЛТИЯ30131406200000000</t>
  </si>
  <si>
    <t>ЛТИЯ30131409300000000</t>
  </si>
  <si>
    <t>ЛТИЯ30131411100000000</t>
  </si>
  <si>
    <t>ЛТИЯ30132200200000000</t>
  </si>
  <si>
    <t>ЛТИЯ30133201300000000</t>
  </si>
  <si>
    <t>ЛТИЯ30133201300000001</t>
  </si>
  <si>
    <t>ЛТИЯ30133201400000000</t>
  </si>
  <si>
    <t>ЛТИЯ30133201500000000</t>
  </si>
  <si>
    <t>ЛТИЯ30133201500000001</t>
  </si>
  <si>
    <t>ЛТИЯ30133201600000000</t>
  </si>
  <si>
    <t>ЛТИЯ30133201700000000</t>
  </si>
  <si>
    <t>ЛТИЯ30133201800000000</t>
  </si>
  <si>
    <t>ЛТИЯ30133201800000001</t>
  </si>
  <si>
    <t>ЛТИЯ30134100400000000</t>
  </si>
  <si>
    <t>ЛТИЯ30134100500000000</t>
  </si>
  <si>
    <t>ЛТИЯ30134200100000000</t>
  </si>
  <si>
    <t>ЛТИЯ30134200200000000</t>
  </si>
  <si>
    <t>ЛТИЯ30134200200000001</t>
  </si>
  <si>
    <t>ЛТИЯ30134200300000000</t>
  </si>
  <si>
    <t>ЛТИЯ30134200400000000</t>
  </si>
  <si>
    <t>ЛТИЯ30134200500000000</t>
  </si>
  <si>
    <t>ЛТИЯ30134200600000000</t>
  </si>
  <si>
    <t>ЛТИЯ30141102600000000</t>
  </si>
  <si>
    <t>ЛТИЯ30141104200000000</t>
  </si>
  <si>
    <t>ЛТИЯ30141104400000000</t>
  </si>
  <si>
    <t>ЛТИЯ30141104500000000</t>
  </si>
  <si>
    <t>ЛТИЯ30141104600000000</t>
  </si>
  <si>
    <t>ЛТИЯ30141104700000000</t>
  </si>
  <si>
    <t>ЛТИЯ30141104900000000</t>
  </si>
  <si>
    <t>ЛТИЯ30141105200000000</t>
  </si>
  <si>
    <t>ЛТИЯ30141105600000000</t>
  </si>
  <si>
    <t>ЛТИЯ30141105700000000</t>
  </si>
  <si>
    <t>ЛТИЯ30141105800000000</t>
  </si>
  <si>
    <t>ЛТИЯ30141105800000001</t>
  </si>
  <si>
    <t>ЛТИЯ30141105800000002</t>
  </si>
  <si>
    <t>ЛТИЯ30141106800000000</t>
  </si>
  <si>
    <t>ЛТИЯ30141134900000000</t>
  </si>
  <si>
    <t>ЛТИЯ30141202600000001</t>
  </si>
  <si>
    <t>ЛТИЯ30141202700000000</t>
  </si>
  <si>
    <t>ЛТИЯ30141202900000000</t>
  </si>
  <si>
    <t>ЛТИЯ30141203100000000</t>
  </si>
  <si>
    <t>ЛТИЯ30141203200000000</t>
  </si>
  <si>
    <t>ЛТИЯ30141203400000000</t>
  </si>
  <si>
    <t>ЛТИЯ30141203600000000</t>
  </si>
  <si>
    <t>ЛТИЯ30141203700000000</t>
  </si>
  <si>
    <t>ЛТИЯ30141203800000000</t>
  </si>
  <si>
    <t>ЛТИЯ30141204100000000</t>
  </si>
  <si>
    <t>ЛТИЯ30141204200000000</t>
  </si>
  <si>
    <t>ЛТИЯ30141204300000000</t>
  </si>
  <si>
    <t>ЛТИЯ30141204400000000</t>
  </si>
  <si>
    <t>ЛТИЯ30141204500000000</t>
  </si>
  <si>
    <t>ЛТИЯ30141204500000001</t>
  </si>
  <si>
    <t>ЛТИЯ30141204600000000</t>
  </si>
  <si>
    <t>ЛТИЯ30141204600000001</t>
  </si>
  <si>
    <t>ЛТИЯ30141204700000000</t>
  </si>
  <si>
    <t>ЛТИЯ30141204700000001</t>
  </si>
  <si>
    <t>ЛТИЯ30141205000000000</t>
  </si>
  <si>
    <t>ЛТИЯ30141205000000001</t>
  </si>
  <si>
    <t>ЛТИЯ30141205100000000</t>
  </si>
  <si>
    <t>ЛТИЯ30141205200000000</t>
  </si>
  <si>
    <t>ЛТИЯ30141206200000001</t>
  </si>
  <si>
    <t>ЛТИЯ30141208600000000</t>
  </si>
  <si>
    <t>ЛТИЯ30141209300000000</t>
  </si>
  <si>
    <t>ЛТИЯ30141209500000000</t>
  </si>
  <si>
    <t>ЛТИЯ30141210200000000</t>
  </si>
  <si>
    <t>ЛТИЯ30141210300000000</t>
  </si>
  <si>
    <t>ЛТИЯ30141301200000000</t>
  </si>
  <si>
    <t>ЛТИЯ30141301300000000</t>
  </si>
  <si>
    <t>ЛТИЯ30141301400000000</t>
  </si>
  <si>
    <t>ЛТИЯ30141301500000000</t>
  </si>
  <si>
    <t>ЛТИЯ30141301700000000</t>
  </si>
  <si>
    <t>ЛТИЯ30141301800000000</t>
  </si>
  <si>
    <t>ЛТИЯ30141301900000000</t>
  </si>
  <si>
    <t>ЛТИЯ30141302400000000</t>
  </si>
  <si>
    <t>ЛТИЯ30141302900000000</t>
  </si>
  <si>
    <t>ЛТИЯ30141303000000000</t>
  </si>
  <si>
    <t>ЛТИЯ30141303100000000</t>
  </si>
  <si>
    <t>ЛТИЯ30141304400000000</t>
  </si>
  <si>
    <t>ЛТИЯ30141304900000000</t>
  </si>
  <si>
    <t>ЛТИЯ30141305000000000</t>
  </si>
  <si>
    <t>ЛТИЯ30141305800000000</t>
  </si>
  <si>
    <t>ЛТИЯ30141307400000000</t>
  </si>
  <si>
    <t>ЛТИЯ30141500400000000</t>
  </si>
  <si>
    <t>ЛТИЯ30141500500000000</t>
  </si>
  <si>
    <t>ЛТИЯ30144100400000000</t>
  </si>
  <si>
    <t>ЛТИЯ30144101200000000</t>
  </si>
  <si>
    <t>ЛТИЯ30144101300000000</t>
  </si>
  <si>
    <t>ЛТИЯ30144101400000000</t>
  </si>
  <si>
    <t>ЛТИЯ30144101500000000</t>
  </si>
  <si>
    <t>ЛТИЯ30144200500000000</t>
  </si>
  <si>
    <t>ЛТИЯ30144600100000000</t>
  </si>
  <si>
    <t>ЛТИЯ30144600400000000</t>
  </si>
  <si>
    <t>ЛТИЯ30152402300000000</t>
  </si>
  <si>
    <t>ЛТИЯ30152402300000001</t>
  </si>
  <si>
    <t>ЛТИЯ30152402300000002</t>
  </si>
  <si>
    <t>ЛТИЯ30152402300000003</t>
  </si>
  <si>
    <t>ЛТИЯ30152402300000004</t>
  </si>
  <si>
    <t>ЛТИЯ30152402300000005</t>
  </si>
  <si>
    <t>ЛТИЯ30152402300000006</t>
  </si>
  <si>
    <t>ЛТИЯ30152402400000000</t>
  </si>
  <si>
    <t>ЛТИЯ30152402400000001</t>
  </si>
  <si>
    <t>ЛТИЯ30152402400000002</t>
  </si>
  <si>
    <t>ЛТИЯ30152402400000003</t>
  </si>
  <si>
    <t>ЛТИЯ30152402400000004</t>
  </si>
  <si>
    <t>ЛТИЯ30152402400000005</t>
  </si>
  <si>
    <t>ЛТИЯ30152402400000006</t>
  </si>
  <si>
    <t>ЛТИЯ30152402500000000</t>
  </si>
  <si>
    <t>ЛТИЯ30152500700000000</t>
  </si>
  <si>
    <t>ЛТИЯ30152901400000000</t>
  </si>
  <si>
    <t>ЛТИЯ30152902300000000</t>
  </si>
  <si>
    <t>ЛТИЯ30152902300000001</t>
  </si>
  <si>
    <t>ЛТИЯ30153203100000000</t>
  </si>
  <si>
    <t>ЛТИЯ30153203100000001</t>
  </si>
  <si>
    <t>ЛТИЯ30153209200000000</t>
  </si>
  <si>
    <t>ЛТИЯ30153600500000000</t>
  </si>
  <si>
    <t>ЛТИЯ30155600200000002</t>
  </si>
  <si>
    <t>ЛТИЯ30156103500000001</t>
  </si>
  <si>
    <t>ЛТИЯ30156103600000001</t>
  </si>
  <si>
    <t>ЛТИЯ30156104300000000</t>
  </si>
  <si>
    <t>ЛТИЯ30156104600000000</t>
  </si>
  <si>
    <t>ЛТИЯ30156104900000000</t>
  </si>
  <si>
    <t>ЛТИЯ30156105000000000</t>
  </si>
  <si>
    <t>ЛТИЯ30156105000000001</t>
  </si>
  <si>
    <t>ЛТИЯ30156105100000000</t>
  </si>
  <si>
    <t>ЛТИЯ30156105200000000</t>
  </si>
  <si>
    <t>ЛТИЯ30156105300000000</t>
  </si>
  <si>
    <t>лтия30156107600000000</t>
  </si>
  <si>
    <t>ЛТИЯ30156108700000000</t>
  </si>
  <si>
    <t>ЛТИЯ30156400400000000</t>
  </si>
  <si>
    <t>ЛТИЯ30156401600000000</t>
  </si>
  <si>
    <t>ЛТИЯ30156401700000000</t>
  </si>
  <si>
    <t>ЛТИЯ30156402200000000</t>
  </si>
  <si>
    <t>ЛТИЯ30156402300000000</t>
  </si>
  <si>
    <t>ЛТИЯ30156402400000000</t>
  </si>
  <si>
    <t>ЛТИЯ30156402500000000</t>
  </si>
  <si>
    <t>ЛТИЯ30156402700000000</t>
  </si>
  <si>
    <t>ЛТИЯ30156402800000000</t>
  </si>
  <si>
    <t>ЛТИЯ30156802700000000</t>
  </si>
  <si>
    <t>ЛТИЯ30171400600000000</t>
  </si>
  <si>
    <t>ЛТИЯ30171400700000000</t>
  </si>
  <si>
    <t>ЛТИЯ30171401100000000</t>
  </si>
  <si>
    <t>ЛТИЯ30171401500000000</t>
  </si>
  <si>
    <t>ЛТИЯ30171401700000000</t>
  </si>
  <si>
    <t>ЛТИЯ30173200200000000</t>
  </si>
  <si>
    <t>ЛТИЯ30173200300000000</t>
  </si>
  <si>
    <t>ЛТИЯ30173200400000000</t>
  </si>
  <si>
    <t>ЛТИЯ30173200500000000</t>
  </si>
  <si>
    <t>ЛТИЯ30173200600000000</t>
  </si>
  <si>
    <t>ЛТИЯ30173200600000001</t>
  </si>
  <si>
    <t>ЛТИЯ30173500400000000</t>
  </si>
  <si>
    <t>ЛТИЯ30218800300000000</t>
  </si>
  <si>
    <t>ЛТИЯ30218800400000000</t>
  </si>
  <si>
    <t>ЛТИЯ30218800400000001</t>
  </si>
  <si>
    <t>ЛТИЯ30221100100000000</t>
  </si>
  <si>
    <t>ЛТИЯ30221100100000001</t>
  </si>
  <si>
    <t>ЛТИЯ30221900400000000</t>
  </si>
  <si>
    <t>ЛТИЯ30221900500000000</t>
  </si>
  <si>
    <t>ЛТИЯ30222800100000000</t>
  </si>
  <si>
    <t>ЛТИЯ30222800200000000</t>
  </si>
  <si>
    <t>ЛТИЯ30229800600000000</t>
  </si>
  <si>
    <t>ЛТИЯ30229800800000000</t>
  </si>
  <si>
    <t>ЛТИЯ30231500100000000</t>
  </si>
  <si>
    <t>ЛТИЯ30231500200000000</t>
  </si>
  <si>
    <t>ЛТИЯ30231500300000000</t>
  </si>
  <si>
    <t>ЛТИЯ30231500500000000</t>
  </si>
  <si>
    <t>ЛТИЯ30231500600000000</t>
  </si>
  <si>
    <t>ЛТИЯ30238900100000000</t>
  </si>
  <si>
    <t>ЛТИЯ30238900200000000</t>
  </si>
  <si>
    <t>ЛТИЯ30238900300000000</t>
  </si>
  <si>
    <t>ЛТИЯ30238900400000000</t>
  </si>
  <si>
    <t>ЛТИЯ30238900500000000</t>
  </si>
  <si>
    <t>ЛТИЯ30238900600000000</t>
  </si>
  <si>
    <t>ЛТИЯ30238900700000000</t>
  </si>
  <si>
    <t>ЛТИЯ30238900800000000</t>
  </si>
  <si>
    <t>ЛТИЯ30238900900000000</t>
  </si>
  <si>
    <t>ЛТИЯ30238901000000000</t>
  </si>
  <si>
    <t>ЛТИЯ30238901100000000</t>
  </si>
  <si>
    <t>ЛТИЯ30238901200000000</t>
  </si>
  <si>
    <t>ЛТИЯ30238901300000000</t>
  </si>
  <si>
    <t>ЛТИЯ30238901400000000</t>
  </si>
  <si>
    <t>ЛТИЯ30238901500000000</t>
  </si>
  <si>
    <t>ЛТИЯ30238901600000000</t>
  </si>
  <si>
    <t>ЛТИЯ30238901700000000</t>
  </si>
  <si>
    <t>ЛТИЯ30238901800000000</t>
  </si>
  <si>
    <t>ЛТИЯ30238901900000000</t>
  </si>
  <si>
    <t>ЛТИЯ30238902000000000</t>
  </si>
  <si>
    <t>ЛТИЯ30238902100000000</t>
  </si>
  <si>
    <t>ЛТИЯ30238902200000000</t>
  </si>
  <si>
    <t>ЛТИЯ30238902300000000</t>
  </si>
  <si>
    <t>ЛТИЯ30238902400000000</t>
  </si>
  <si>
    <t>ЛТИЯ30238902500000000</t>
  </si>
  <si>
    <t>ЛТИЯ30238902600000000</t>
  </si>
  <si>
    <t>ЛТИЯ30238902700000000</t>
  </si>
  <si>
    <t>ЛТИЯ30238902900000000</t>
  </si>
  <si>
    <t>ЛТИЯ30238903000000000</t>
  </si>
  <si>
    <t>ЛТИЯ30238903100000000</t>
  </si>
  <si>
    <t>ЛТИЯ30238903200000000</t>
  </si>
  <si>
    <t>ЛТИЯ30238903300000000</t>
  </si>
  <si>
    <t>ЛТИЯ30238903400000000</t>
  </si>
  <si>
    <t>ЛТИЯ30238903500000000</t>
  </si>
  <si>
    <t>ЛТИЯ30238903600000000</t>
  </si>
  <si>
    <t>ЛТИЯ30238903700000000</t>
  </si>
  <si>
    <t>ЛТИЯ30238903800000000</t>
  </si>
  <si>
    <t>ЛТИЯ30238903900000000</t>
  </si>
  <si>
    <t>ЛТИЯ30238904300000000</t>
  </si>
  <si>
    <t>ЛТИЯ30238904400000000</t>
  </si>
  <si>
    <t>ЛТИЯ30238904500000000</t>
  </si>
  <si>
    <t>ЛТИЯ30238904700000000</t>
  </si>
  <si>
    <t>ЛТИЯ30238904900000000</t>
  </si>
  <si>
    <t>ЛТИЯ30238905000000000</t>
  </si>
  <si>
    <t>ЛТИЯ30238907300000000</t>
  </si>
  <si>
    <t>ЛТИЯ30242100200000000</t>
  </si>
  <si>
    <t>ЛТИЯ30242100200000003</t>
  </si>
  <si>
    <t>ЛТИЯ30242100200000004</t>
  </si>
  <si>
    <t>ЛТИЯ30242100200000005</t>
  </si>
  <si>
    <t>ЛТИЯ30242100200000006</t>
  </si>
  <si>
    <t>ЛТИЯ30242100200000007</t>
  </si>
  <si>
    <t>ЛТИЯ30242100200000008</t>
  </si>
  <si>
    <t>ЛТИЯ30242100200000009</t>
  </si>
  <si>
    <t>ЛТИЯ30242100200000010</t>
  </si>
  <si>
    <t>ЛТИЯ30242100200000011</t>
  </si>
  <si>
    <t>ЛТИЯ30242100200000013</t>
  </si>
  <si>
    <t>ЛТИЯ30242100200000014</t>
  </si>
  <si>
    <t>ЛТИЯ30242100200000015</t>
  </si>
  <si>
    <t>ЛТИЯ30242100200000016</t>
  </si>
  <si>
    <t>ЛТИЯ30242100200000017</t>
  </si>
  <si>
    <t>ЛТИЯ30242100200000018</t>
  </si>
  <si>
    <t>ЛТИЯ30242100200000019</t>
  </si>
  <si>
    <t>ЛТИЯ30242100200000020</t>
  </si>
  <si>
    <t>ЛТИЯ30242100200000021</t>
  </si>
  <si>
    <t>ЛТИЯ30242100200000022</t>
  </si>
  <si>
    <t>ЛТИЯ30242100200000023</t>
  </si>
  <si>
    <t>ЛТИЯ30242100200000024</t>
  </si>
  <si>
    <t>ЛТИЯ30242100400000000</t>
  </si>
  <si>
    <t>ЛТИЯ30242100400000001</t>
  </si>
  <si>
    <t>ЛТИЯ30242100400000003</t>
  </si>
  <si>
    <t>ЛТИЯ30242100700000000</t>
  </si>
  <si>
    <t>ЛТИЯ30242100700000002</t>
  </si>
  <si>
    <t>ЛТИЯ30242100700000003</t>
  </si>
  <si>
    <t>ЛТИЯ30242100700000004</t>
  </si>
  <si>
    <t>ЛТИЯ30242100800000000</t>
  </si>
  <si>
    <t>ЛТИЯ30244100100000000</t>
  </si>
  <si>
    <t>ЛТИЯ30244100500000005</t>
  </si>
  <si>
    <t>ЛТИЯ30244100500000007</t>
  </si>
  <si>
    <t>ЛТИЯ30244100600000000</t>
  </si>
  <si>
    <t>ЛТИЯ30244100600000001</t>
  </si>
  <si>
    <t>ЛТИЯ30244100600000002</t>
  </si>
  <si>
    <t>ЛТИЯ30244100600000003</t>
  </si>
  <si>
    <t>ЛТИЯ30244100600000004</t>
  </si>
  <si>
    <t>ЛТИЯ30244100600000005</t>
  </si>
  <si>
    <t>ЛТИЯ30244100600000006</t>
  </si>
  <si>
    <t>ЛТИЯ30244100600000007</t>
  </si>
  <si>
    <t>ЛТИЯ30244100600000008</t>
  </si>
  <si>
    <t>ЛТИЯ30244100600000009</t>
  </si>
  <si>
    <t>ЛТИЯ30244100600000010</t>
  </si>
  <si>
    <t>ЛТИЯ30244100600000011</t>
  </si>
  <si>
    <t>ЛТИЯ30244100600000012</t>
  </si>
  <si>
    <t>ЛТИЯ30244100600000013</t>
  </si>
  <si>
    <t>ЛТИЯ30244100600000014</t>
  </si>
  <si>
    <t>ЛТИЯ30244100600000015</t>
  </si>
  <si>
    <t>ЛТИЯ30244100600000016</t>
  </si>
  <si>
    <t>ЛТИЯ30244100600000017</t>
  </si>
  <si>
    <t>ЛТИЯ30244100600000018</t>
  </si>
  <si>
    <t>ЛТИЯ30244100900000000</t>
  </si>
  <si>
    <t>ЛТИЯ30244100900000001</t>
  </si>
  <si>
    <t>ЛТИЯ30244100900000003</t>
  </si>
  <si>
    <t>ЛТИЯ30244101400000000</t>
  </si>
  <si>
    <t>ЛТИЯ30244101400000002</t>
  </si>
  <si>
    <t>ЛТИЯ30244101400000003</t>
  </si>
  <si>
    <t>ЛТИЯ30244101400000004</t>
  </si>
  <si>
    <t>ЛТИЯ30244101500000000</t>
  </si>
  <si>
    <t>ЛТИЯ30244101600000000</t>
  </si>
  <si>
    <t>ЛТИЯ30244101600000001</t>
  </si>
  <si>
    <t>ЛТИЯ30244101600000002</t>
  </si>
  <si>
    <t>ЛТИЯ30244101600000003</t>
  </si>
  <si>
    <t>ЛТИЯ30244200100000000</t>
  </si>
  <si>
    <t>ЛТИЯ30263501300000000</t>
  </si>
  <si>
    <t>ЛТИЯ30263501300000001</t>
  </si>
  <si>
    <t>ЛТИЯ30263501400000000</t>
  </si>
  <si>
    <t>ЛТИЯ30263501600000000</t>
  </si>
  <si>
    <t>ЛТИЯ30263501700000000</t>
  </si>
  <si>
    <t>ЛТИЯ30263501700000001</t>
  </si>
  <si>
    <t>ЛТИЯ30263502000000000</t>
  </si>
  <si>
    <t>ЛТИЯ30263502700000000</t>
  </si>
  <si>
    <t>ЛТИЯ30263503500000000</t>
  </si>
  <si>
    <t>ЛТИЯ30263503500000001</t>
  </si>
  <si>
    <t>ЛТИЯ30263800100000000</t>
  </si>
  <si>
    <t>ЛТИЯ30263801500000000</t>
  </si>
  <si>
    <t>ЛТИЯ30263801600000000</t>
  </si>
  <si>
    <t>ЛТИЯ30263801700000000</t>
  </si>
  <si>
    <t>ЛТИЯ30263801900000000</t>
  </si>
  <si>
    <t>ЛТИЯ30263802000000000</t>
  </si>
  <si>
    <t>ЛТИЯ30263802200000000</t>
  </si>
  <si>
    <t>ЛТИЯ30263803200000000</t>
  </si>
  <si>
    <t>ЛТИЯ30264500100000000</t>
  </si>
  <si>
    <t>ЛТИЯ30266100200000000</t>
  </si>
  <si>
    <t>ЛТИЯ30266101100000000</t>
  </si>
  <si>
    <t>ЛТИЯ30266102700000000</t>
  </si>
  <si>
    <t>ЛТИЯ30411100300000000</t>
  </si>
  <si>
    <t>ЛТИЯ30411100600000000</t>
  </si>
  <si>
    <t>ЛТИЯ30411100700000000</t>
  </si>
  <si>
    <t>ЛТИЯ30413901500000000</t>
  </si>
  <si>
    <t>ЛТИЯ30413901500000001</t>
  </si>
  <si>
    <t>ЛТИЯ30413901600000000</t>
  </si>
  <si>
    <t>ЛТИЯ30413901700000000</t>
  </si>
  <si>
    <t>ЛТИЯ30413901700000001</t>
  </si>
  <si>
    <t>ЛТИЯ30413901800000000</t>
  </si>
  <si>
    <t>ЛТИЯ30413901900000000</t>
  </si>
  <si>
    <t>ЛТИЯ30413902000000000</t>
  </si>
  <si>
    <t>ЛТИЯ30413902000000001</t>
  </si>
  <si>
    <t>ЛТИЯ30413902100000000</t>
  </si>
  <si>
    <t>ЛТИЯ30414200100000000</t>
  </si>
  <si>
    <t>ЛТИЯ30427400300000000</t>
  </si>
  <si>
    <t>ЛТИЯ30427400400000000</t>
  </si>
  <si>
    <t>ЛТИЯ30428100100000000</t>
  </si>
  <si>
    <t>ЛТИЯ30459103100000000</t>
  </si>
  <si>
    <t>ЛТИЯ30459700100000000</t>
  </si>
  <si>
    <t>ЛТИЯ30459700100000001</t>
  </si>
  <si>
    <t>ЛТИЯ30512600100000000</t>
  </si>
  <si>
    <t>ЛТИЯ30512600200000000</t>
  </si>
  <si>
    <t>ЛТИЯ30512600600000000</t>
  </si>
  <si>
    <t>ЛТИЯ30512600800000000</t>
  </si>
  <si>
    <t>ЛТИЯ30512600800000001</t>
  </si>
  <si>
    <t>ЛТИЯ30512600800000002</t>
  </si>
  <si>
    <t>ЛТИЯ30512600800000003</t>
  </si>
  <si>
    <t>ЛТИЯ30512600900000000</t>
  </si>
  <si>
    <t>ЛТИЯ30512600900000001</t>
  </si>
  <si>
    <t>ЛТИЯ30512600900000002</t>
  </si>
  <si>
    <t>ЛТИЯ30512601000000000</t>
  </si>
  <si>
    <t>ЛТИЯ30514201500000000</t>
  </si>
  <si>
    <t>ЛТИЯ30514202400000000</t>
  </si>
  <si>
    <t>ЛТИЯ30514203300000000</t>
  </si>
  <si>
    <t>ЛТИЯ30514901800000000</t>
  </si>
  <si>
    <t>ЛТИЯ30514901800000001</t>
  </si>
  <si>
    <t>ЛТИЯ30514901900000000</t>
  </si>
  <si>
    <t>ЛТИЯ30514901900000001</t>
  </si>
  <si>
    <t>ЛТИЯ30514902000000000</t>
  </si>
  <si>
    <t>ЛТИЯ30514902100000000</t>
  </si>
  <si>
    <t>ЛТИЯ30514903600000000</t>
  </si>
  <si>
    <t>ЛТИЯ30515500400000000</t>
  </si>
  <si>
    <t>ЛТИЯ30517700700000000</t>
  </si>
  <si>
    <t>ЛТИЯ30517701000000000</t>
  </si>
  <si>
    <t>ЛТИЯ30522700500000000</t>
  </si>
  <si>
    <t>ЛТИЯ30531800100000000</t>
  </si>
  <si>
    <t>ЛТИЯ30534101500000000</t>
  </si>
  <si>
    <t>ЛТИЯ30534101600000000</t>
  </si>
  <si>
    <t>ЛТИЯ30534101700000000</t>
  </si>
  <si>
    <t>ЛТИЯ30536400100000000</t>
  </si>
  <si>
    <t>ЛТИЯ30541200900000000</t>
  </si>
  <si>
    <t>ЛТИЯ30542201200000000</t>
  </si>
  <si>
    <t>ЛТИЯ30542201400000000</t>
  </si>
  <si>
    <t>ЛТИЯ30551400200000000</t>
  </si>
  <si>
    <t>ЛТИЯ30551400200000001</t>
  </si>
  <si>
    <t>ЛТИЯ30551400500000000</t>
  </si>
  <si>
    <t>ЛТИЯ30551400600000000</t>
  </si>
  <si>
    <t>ЛТИЯ30551400700000000</t>
  </si>
  <si>
    <t>ЛТИЯ30565900600000006</t>
  </si>
  <si>
    <t>ЛТИЯ30565900600000011</t>
  </si>
  <si>
    <t>ЛТИЯ30565901000000002</t>
  </si>
  <si>
    <t>ЛТИЯ32116306000000000</t>
  </si>
  <si>
    <t>ЛТИЯ32116306000000003</t>
  </si>
  <si>
    <t>ЛТИЯ32116306100000001</t>
  </si>
  <si>
    <t>ЛТИЯ32116306100000003</t>
  </si>
  <si>
    <t>ЛТИЯ32116306200000000</t>
  </si>
  <si>
    <t>ЛТИЯ32116306200000001</t>
  </si>
  <si>
    <t>ЛТИЯ32116306300000000</t>
  </si>
  <si>
    <t>ЛТИЯ32116308400000000</t>
  </si>
  <si>
    <t>ЛТИЯ32116308500000000</t>
  </si>
  <si>
    <t>ЛТИЯ32116308600000000</t>
  </si>
  <si>
    <t>ЛТИЯ32116308800000000</t>
  </si>
  <si>
    <t>ЛТИЯ32116308900000000</t>
  </si>
  <si>
    <t>ЛТИЯ32116902900000001</t>
  </si>
  <si>
    <t>ЛТИЯ32116902900000002</t>
  </si>
  <si>
    <t>ЛТИЯ32116903000000001</t>
  </si>
  <si>
    <t>ЛТИЯ32116903000000003</t>
  </si>
  <si>
    <t>ЛТИЯ32116903100000000</t>
  </si>
  <si>
    <t>ЛТИЯ32116903200000001</t>
  </si>
  <si>
    <t>ЛТИЯ32116903300000006</t>
  </si>
  <si>
    <t>ЛТИЯ32116903300000011</t>
  </si>
  <si>
    <t>ЛТИЯ32117103500000000</t>
  </si>
  <si>
    <t>ЛТИЯ32117103700000000</t>
  </si>
  <si>
    <t>ЛТИЯ32117103700000001</t>
  </si>
  <si>
    <t>ЛТИЯ32117103700000002</t>
  </si>
  <si>
    <t>ЛТИЯ32117103900000000</t>
  </si>
  <si>
    <t>ЛТИЯ32117105800000000</t>
  </si>
  <si>
    <t>ЛТИЯ32117105800000001</t>
  </si>
  <si>
    <t>ЛТИЯ32117105800000002</t>
  </si>
  <si>
    <t>ЛТИЯ32117105800000003</t>
  </si>
  <si>
    <t>ЛТИЯ32117105800000004</t>
  </si>
  <si>
    <t>ЛТИЯ32117105800000005</t>
  </si>
  <si>
    <t>ЛТИЯ32117105800000006</t>
  </si>
  <si>
    <t>ЛТИЯ32117105900000000</t>
  </si>
  <si>
    <t>ЛТИЯ32117105900000001</t>
  </si>
  <si>
    <t>ЛТИЯ32117105900000002</t>
  </si>
  <si>
    <t>ЛТИЯ32117105900000003</t>
  </si>
  <si>
    <t>ЛТИЯ32117105900000004</t>
  </si>
  <si>
    <t>ЛТИЯ32117105900000005</t>
  </si>
  <si>
    <t>ЛТИЯ32117105900000006</t>
  </si>
  <si>
    <t>ЛТИЯ32117105900000007</t>
  </si>
  <si>
    <t>ЛТИЯ32117105900000008</t>
  </si>
  <si>
    <t>ЛТИЯ32117105900000009</t>
  </si>
  <si>
    <t>ЛТИЯ32117105900000010</t>
  </si>
  <si>
    <t>ЛТИЯ32117105900000011</t>
  </si>
  <si>
    <t>ЛТИЯ32117105900000012</t>
  </si>
  <si>
    <t>ЛТИЯ32117105900000013</t>
  </si>
  <si>
    <t>ЛТИЯ32117105900000017</t>
  </si>
  <si>
    <t>ЛТИЯ32117105900000018</t>
  </si>
  <si>
    <t>ЛТИЯ32117105900000019</t>
  </si>
  <si>
    <t>ЛТИЯ32117105900000020</t>
  </si>
  <si>
    <t>ЛТИЯ32117507700000000</t>
  </si>
  <si>
    <t>ЛТИЯ32117507800000000</t>
  </si>
  <si>
    <t>ЛТИЯ32117507800000001</t>
  </si>
  <si>
    <t>ЛТИЯ32117507800000002</t>
  </si>
  <si>
    <t>ЛТИЯ32117507800000003</t>
  </si>
  <si>
    <t>ЛТИЯ32117508100000000</t>
  </si>
  <si>
    <t>ЛТИЯ32117508300000000</t>
  </si>
  <si>
    <t>ЛТИЯ32117508300000001</t>
  </si>
  <si>
    <t>ЛТИЯ32117508300000002</t>
  </si>
  <si>
    <t>ЛТИЯ32117508300000003</t>
  </si>
  <si>
    <t>ЛТИЯ32117508300000004</t>
  </si>
  <si>
    <t>ЛТИЯ32117508300000005</t>
  </si>
  <si>
    <t>ЛТИЯ32117508400000000</t>
  </si>
  <si>
    <t>ЛТИЯ32117508400000001</t>
  </si>
  <si>
    <t>ЛТИЯ32117508500000000</t>
  </si>
  <si>
    <t>ЛТИЯ32117508600000000</t>
  </si>
  <si>
    <t>ЛТИЯ32117508700000000</t>
  </si>
  <si>
    <t>ЛТИЯ32117508800000000</t>
  </si>
  <si>
    <t>ЛТИЯ32117508900000000</t>
  </si>
  <si>
    <t>ЛТИЯ32117509700000001</t>
  </si>
  <si>
    <t>ЛТИЯ32117509700000002</t>
  </si>
  <si>
    <t>ЛТИЯ32117509700000004</t>
  </si>
  <si>
    <t>ЛТИЯ32117511200000000</t>
  </si>
  <si>
    <t>ЛТИЯ32117511200000001</t>
  </si>
  <si>
    <t>ЛТИЯ32117511200000002</t>
  </si>
  <si>
    <t>ЛТИЯ32117511200000003</t>
  </si>
  <si>
    <t>ЛТИЯ32117511200000004</t>
  </si>
  <si>
    <t>ЛТИЯ32117511200000005</t>
  </si>
  <si>
    <t>ЛТИЯ32117511200000008</t>
  </si>
  <si>
    <t>ЛТИЯ32117511200000009</t>
  </si>
  <si>
    <t>ЛТИЯ32117511200000010</t>
  </si>
  <si>
    <t>ЛТИЯ32117511200000011</t>
  </si>
  <si>
    <t>ЛТИЯ32117511300000000</t>
  </si>
  <si>
    <t>ЛТИЯ32117511500000000</t>
  </si>
  <si>
    <t>ЛТИЯ32117511600000000</t>
  </si>
  <si>
    <t>ЛТИЯ32117511700000000</t>
  </si>
  <si>
    <t>ЛТИЯ32117514200000000</t>
  </si>
  <si>
    <t>ЛТИЯ32117514200000001</t>
  </si>
  <si>
    <t>ЛТИЯ32117514200000002</t>
  </si>
  <si>
    <t>ЛТИЯ32117514200000003</t>
  </si>
  <si>
    <t>ЛТИЯ32117514200000004</t>
  </si>
  <si>
    <t>ЛТИЯ32117514200000005</t>
  </si>
  <si>
    <t>ЛТИЯ32117514200000006</t>
  </si>
  <si>
    <t>ЛТИЯ32117514200000007</t>
  </si>
  <si>
    <t>ЛТИЯ32117514200000008</t>
  </si>
  <si>
    <t>ЛТИЯ32117514200000009</t>
  </si>
  <si>
    <t>ЛТИЯ32117514200000010</t>
  </si>
  <si>
    <t>ЛТИЯ32117514200000011</t>
  </si>
  <si>
    <t>ЛТИЯ32117514200000012</t>
  </si>
  <si>
    <t>ЛТИЯ32117514300000000</t>
  </si>
  <si>
    <t>ЛТИЯ32117514300000001</t>
  </si>
  <si>
    <t>ЛТИЯ32117514300000002</t>
  </si>
  <si>
    <t>ЛТИЯ32117514300000003</t>
  </si>
  <si>
    <t>ЛТИЯ32117514300000004</t>
  </si>
  <si>
    <t>ЛТИЯ32117514400000000</t>
  </si>
  <si>
    <t>ЛТИЯ32117514400000001</t>
  </si>
  <si>
    <t>ЛТИЯ32117514400000002</t>
  </si>
  <si>
    <t>ЛТИЯ32117514400000003</t>
  </si>
  <si>
    <t>ЛТИЯ32117514500000000</t>
  </si>
  <si>
    <t>ЛТИЯ32117514500000001</t>
  </si>
  <si>
    <t>ЛТИЯ32117514500000002</t>
  </si>
  <si>
    <t>ЛТИЯ32117514500000003</t>
  </si>
  <si>
    <t>ЛТИЯ32117514500000004</t>
  </si>
  <si>
    <t>ЛТИЯ32117514800000001</t>
  </si>
  <si>
    <t>ЛТИЯ32117517200000000</t>
  </si>
  <si>
    <t>ЛТИЯ32117517200000001</t>
  </si>
  <si>
    <t>ЛТИЯ32117517200000003</t>
  </si>
  <si>
    <t>ЛТИЯ32117517200000004</t>
  </si>
  <si>
    <t>ЛТИЯ32117517200000005</t>
  </si>
  <si>
    <t>ЛТИЯ32117517200000007</t>
  </si>
  <si>
    <t>ЛТИЯ32117517200000008</t>
  </si>
  <si>
    <t>ЛТИЯ32117517200000011</t>
  </si>
  <si>
    <t>ЛТИЯ32117517200000012</t>
  </si>
  <si>
    <t>ЛТИЯ32117517200000013</t>
  </si>
  <si>
    <t>ЛТИЯ32117517200000014</t>
  </si>
  <si>
    <t>ЛТИЯ32117517400000000</t>
  </si>
  <si>
    <t>ЛТИЯ32117517400000001</t>
  </si>
  <si>
    <t>ЛТИЯ32117517400000002</t>
  </si>
  <si>
    <t>ЛТИЯ32117517400000003</t>
  </si>
  <si>
    <t>ЛТИЯ32117517400000004</t>
  </si>
  <si>
    <t>ЛТИЯ32117517400000005</t>
  </si>
  <si>
    <t>ЛТИЯ32117518900000000</t>
  </si>
  <si>
    <t>ЛТИЯ32117519000000000</t>
  </si>
  <si>
    <t>ЛТИЯ32117519000000001</t>
  </si>
  <si>
    <t>ЛТИЯ32117601100000000</t>
  </si>
  <si>
    <t>ЛТИЯ32117903400000000</t>
  </si>
  <si>
    <t>ЛТИЯ32117903500000000</t>
  </si>
  <si>
    <t>ЛТИЯ32117903500000001</t>
  </si>
  <si>
    <t>ЛТИЯ32117903600000000</t>
  </si>
  <si>
    <t>ЛТИЯ32117903600000001</t>
  </si>
  <si>
    <t>ЛТИЯ32117903700000000</t>
  </si>
  <si>
    <t>ЛТИЯ32117903800000000</t>
  </si>
  <si>
    <t>ЛТИЯ32117903800000001</t>
  </si>
  <si>
    <t>ЛТИЯ32117904700000000</t>
  </si>
  <si>
    <t>ЛТИЯ32117904700000001</t>
  </si>
  <si>
    <t>ЛТИЯ32117904800000000</t>
  </si>
  <si>
    <t>ЛТИЯ32117904800000001</t>
  </si>
  <si>
    <t>ЛТИЯ32117904900000000</t>
  </si>
  <si>
    <t>ЛТИЯ32117905000000000</t>
  </si>
  <si>
    <t>ЛТИЯ32117905000000001</t>
  </si>
  <si>
    <t>ЛТИЯ32117905300000000</t>
  </si>
  <si>
    <t>ЛТИЯ32117906900000000</t>
  </si>
  <si>
    <t>ЛТИЯ32117907000000000</t>
  </si>
  <si>
    <t>ЛТИЯ32117907100000000</t>
  </si>
  <si>
    <t>ЛТИЯ32241100100000000</t>
  </si>
  <si>
    <t>ЛТИЯ32241100200000004</t>
  </si>
  <si>
    <t>ЛТИЯ32241100200000006</t>
  </si>
  <si>
    <t>ЛТИЯ32241100200000009</t>
  </si>
  <si>
    <t>ЛТИЯ32241100200000010</t>
  </si>
  <si>
    <t>ЛТИЯ32241100200000011</t>
  </si>
  <si>
    <t>ЛТИЯ32241100300000000</t>
  </si>
  <si>
    <t>ЛТИЯ32241100300000002</t>
  </si>
  <si>
    <t>ЛТИЯ32241100800000000</t>
  </si>
  <si>
    <t>ЛТИЯ32241100800000001</t>
  </si>
  <si>
    <t>ЛТИЯ32241100800000002</t>
  </si>
  <si>
    <t>ЛТИЯ32241100800000003</t>
  </si>
  <si>
    <t>ЛТИЯ32241100800000004</t>
  </si>
  <si>
    <t>ЛТИЯ32241101100000000</t>
  </si>
  <si>
    <t>ЛТИЯ32241101100000001</t>
  </si>
  <si>
    <t>ЛТИЯ32241300100000001</t>
  </si>
  <si>
    <t>ЛТИЯ32241300300000001</t>
  </si>
  <si>
    <t>ЛТИЯ32241301200000000</t>
  </si>
  <si>
    <t>ЛТИЯ32241301200000001</t>
  </si>
  <si>
    <t>ЛТИЯ32241301200000002</t>
  </si>
  <si>
    <t>ЛТИЯ32241301200000003</t>
  </si>
  <si>
    <t>ЛТИЯ32241301300000000</t>
  </si>
  <si>
    <t>ЛТИЯ32241301300000001</t>
  </si>
  <si>
    <t>ЛТИЯ32241301700000000</t>
  </si>
  <si>
    <t>ЛТИЯ32241301800000000</t>
  </si>
  <si>
    <t>ЛТИЯ32241301800000001</t>
  </si>
  <si>
    <t>ЛТИЯ32241301800000002</t>
  </si>
  <si>
    <t>ЛТИЯ32336800200000002</t>
  </si>
  <si>
    <t>ЛТИЯ32336800900000001</t>
  </si>
  <si>
    <t>ЛТИЯ32336800900000008</t>
  </si>
  <si>
    <t>ЛТИЯ32336800900000009</t>
  </si>
  <si>
    <t>ЛТИЯ32336800900000010</t>
  </si>
  <si>
    <t>ЛТИЯ32336800900000011</t>
  </si>
  <si>
    <t>ЛТИЯ32336800900000019</t>
  </si>
  <si>
    <t>ЛТИЯ32336800900000020</t>
  </si>
  <si>
    <t>ЛТИЯ32336800900000021</t>
  </si>
  <si>
    <t>ЛТИЯ32336800900000025</t>
  </si>
  <si>
    <t>ЛТИЯ32336800900000035</t>
  </si>
  <si>
    <t>ЛТИЯ32336800900000036</t>
  </si>
  <si>
    <t>ЛТИЯ32336800900000037</t>
  </si>
  <si>
    <t>ЛТИЯ32336800900000050</t>
  </si>
  <si>
    <t>ЛТИЯ32336800900000051</t>
  </si>
  <si>
    <t>ЛТИЯ32336800900000052</t>
  </si>
  <si>
    <t>ЛТИЯ32336800900000056</t>
  </si>
  <si>
    <t>ЛТИЯ32336800900000057</t>
  </si>
  <si>
    <t>ЛТИЯ32336800900000058</t>
  </si>
  <si>
    <t>ЛТИЯ32336800900000059</t>
  </si>
  <si>
    <t>ЛТИЯ32336800900000065</t>
  </si>
  <si>
    <t>ЛТИЯ32336800900000066</t>
  </si>
  <si>
    <t>ЛТИЯ40752900100000000</t>
  </si>
  <si>
    <t>ЛТИЯ42145700200000000</t>
  </si>
  <si>
    <t>ЛТИЯ42145700300000000</t>
  </si>
  <si>
    <t>ЛТИЯ42145700300000001</t>
  </si>
  <si>
    <t>ЛТИЯ43132100100000000</t>
  </si>
  <si>
    <t>ЛТИЯ43434400100000000</t>
  </si>
  <si>
    <t>ЛТИЯ43511400100000000</t>
  </si>
  <si>
    <t>ЛТИЯ43521400200000000</t>
  </si>
  <si>
    <t>ЛТИЯ43521401200000000</t>
  </si>
  <si>
    <t>ЛТИЯ435214012ТСБ10000</t>
  </si>
  <si>
    <t>ЛТИЯ464132001000006ВЭ</t>
  </si>
  <si>
    <t>ЛТИЯ464132001000011ВЭ</t>
  </si>
  <si>
    <t>ЛТИЯ46468301000000000</t>
  </si>
  <si>
    <t>ЛТИЯ46468301100000000</t>
  </si>
  <si>
    <t>ЛТИЯ46468301100000001</t>
  </si>
  <si>
    <t>ЛТИЯ46468301200000000</t>
  </si>
  <si>
    <t>ЛТИЯ46468301200000001</t>
  </si>
  <si>
    <t>ЛТИЯ46468301300000000</t>
  </si>
  <si>
    <t>ЛТИЯ46468301400000001</t>
  </si>
  <si>
    <t>ЛТИЯ46468301600000000</t>
  </si>
  <si>
    <t>ЛТИЯ46468301700000000</t>
  </si>
  <si>
    <t>ЛТИЯ46468301700000001</t>
  </si>
  <si>
    <t>ЛТИЯ46468301800000000</t>
  </si>
  <si>
    <t>ЛТИЯ46468301800000001</t>
  </si>
  <si>
    <t>ЛТИЯ46468301900000000</t>
  </si>
  <si>
    <t>ЛТИЯ46491100900000000</t>
  </si>
  <si>
    <t>ЛТИЯ46491100900000003</t>
  </si>
  <si>
    <t>ЛТИЯ46491102600000000</t>
  </si>
  <si>
    <t>ЛТИЯ46491108600000000</t>
  </si>
  <si>
    <t>ЛТИЯ46491302300000002</t>
  </si>
  <si>
    <t>ЛТИЯ46491302400000000</t>
  </si>
  <si>
    <t>ЛТИЯ46491700800000000</t>
  </si>
  <si>
    <t>ЛТИЯ46491900400000001</t>
  </si>
  <si>
    <t>ЛТИЯ46491900500000001</t>
  </si>
  <si>
    <t>ЛТИЯ46491900900000001</t>
  </si>
  <si>
    <t>ЛТИЯ46491901000000001</t>
  </si>
  <si>
    <t>ЛТИЯ46491901000000002</t>
  </si>
  <si>
    <t>ЛТИЯ46491901800000000</t>
  </si>
  <si>
    <t>ЛТИЯ46491902000000000</t>
  </si>
  <si>
    <t>ЛТИЯ46494602500000006</t>
  </si>
  <si>
    <t>ЛТИЯ46494602500000011</t>
  </si>
  <si>
    <t>ЛТИЯ46494604100000001</t>
  </si>
  <si>
    <t>ЛТИЯ46494604100000002</t>
  </si>
  <si>
    <t>ЛТИЯ46494604600000000</t>
  </si>
  <si>
    <t>ЛТИЯ46494604600000001</t>
  </si>
  <si>
    <t>ЛТИЯ46494604700000000</t>
  </si>
  <si>
    <t>ЛТИЯ46494604800000001</t>
  </si>
  <si>
    <t>ЛТИЯ46494604900000000</t>
  </si>
  <si>
    <t>ЛТИЯ46494604900000001</t>
  </si>
  <si>
    <t>ЛТИЯ46494604900000002</t>
  </si>
  <si>
    <t>ЛТИЯ46494605100000001</t>
  </si>
  <si>
    <t>ЛТИЯ46494613300000000</t>
  </si>
  <si>
    <t>ЛТИЯ46494613300000001</t>
  </si>
  <si>
    <t>ЛТИЯ46494613400000000</t>
  </si>
  <si>
    <t>ЛТИЯ46494613600000000</t>
  </si>
  <si>
    <t>ЛТИЯ46494613800000000</t>
  </si>
  <si>
    <t>ЛТИЯ46494614000000000</t>
  </si>
  <si>
    <t>ЛТИЯ46494614800000000</t>
  </si>
  <si>
    <t>ЛТИЯ46494614800000001</t>
  </si>
  <si>
    <t>ЛТИЯ46494623000000000</t>
  </si>
  <si>
    <t>ЛТИЯ46494623000000001</t>
  </si>
  <si>
    <t>ЛТИЯ46494623100000000</t>
  </si>
  <si>
    <t>ЛТИЯ46495700500000006</t>
  </si>
  <si>
    <t>ЛТИЯ46495700500000011</t>
  </si>
  <si>
    <t>ЛТИЯ46721900800000000</t>
  </si>
  <si>
    <t>ЛТИЯ467219008ТСБ10000</t>
  </si>
  <si>
    <t>ЛТИЯ46774100100000000</t>
  </si>
  <si>
    <t>ЛТИЯ46774500200000000</t>
  </si>
  <si>
    <t>ЛТИЯ46774500300000000</t>
  </si>
  <si>
    <t>ЛТИЯ46815102400000000</t>
  </si>
  <si>
    <t>ЛТИЯ46815102400000001</t>
  </si>
  <si>
    <t>ЛТИЯ46815700100000000</t>
  </si>
  <si>
    <t>ЛТИЯ46815701500000000</t>
  </si>
  <si>
    <t>ЛТИЯ46815701500000001</t>
  </si>
  <si>
    <t>ЛТИЯ46815701700000002</t>
  </si>
  <si>
    <t>ЛТИЯ46815701800000000</t>
  </si>
  <si>
    <t>ЛТИЯ46816100200000000</t>
  </si>
  <si>
    <t>ЛТИЯ46816100200000001</t>
  </si>
  <si>
    <t>ЛТИЯ46816100400000000</t>
  </si>
  <si>
    <t>ЛТИЯ46816100500000000</t>
  </si>
  <si>
    <t>ЛТИЯ46821901600000000</t>
  </si>
  <si>
    <t>ЛТИЯ46821902000000000</t>
  </si>
  <si>
    <t>ЛТИЯ46821902100000000</t>
  </si>
  <si>
    <t>ЛТИЯ46821902200000000</t>
  </si>
  <si>
    <t>ЛТИЯ46821902300000000</t>
  </si>
  <si>
    <t>ЛТИЯ46821902400000000</t>
  </si>
  <si>
    <t>ЛТИЯ46821902500000000</t>
  </si>
  <si>
    <t>ЛТИЯ46824300200000000</t>
  </si>
  <si>
    <t>ЛТИЯ46833201000000000</t>
  </si>
  <si>
    <t>ЛТИЯ46833201100000000</t>
  </si>
  <si>
    <t>ЛТИЯ46833201900000000</t>
  </si>
  <si>
    <t>ЛТИЯ46833202700000000</t>
  </si>
  <si>
    <t>ЛТИЯ46833204600000000</t>
  </si>
  <si>
    <t>ЛТИЯ46833205700000000</t>
  </si>
  <si>
    <t>ЛТИЯ46833205800000000</t>
  </si>
  <si>
    <t>ЛТИЯ46833205900000000</t>
  </si>
  <si>
    <t>ЛТИЯ46833207400000000</t>
  </si>
  <si>
    <t>ЛТИЯ46833300200000001</t>
  </si>
  <si>
    <t>ЛТИЯ46833300300000000</t>
  </si>
  <si>
    <t>ЛТИЯ46833301700000001</t>
  </si>
  <si>
    <t>ЛТИЯ46833302000000000</t>
  </si>
  <si>
    <t>ЛТИЯ46833302800000000</t>
  </si>
  <si>
    <t>ЛТИЯ46833303400000000</t>
  </si>
  <si>
    <t>ЛТИЯ46834500200000000</t>
  </si>
  <si>
    <t>ЛТИЯ46834500200000001</t>
  </si>
  <si>
    <t>ЛТИЯ46834700800000001</t>
  </si>
  <si>
    <t>ЛТИЯ46834700800000002</t>
  </si>
  <si>
    <t>ЛТИЯ46834700900000001</t>
  </si>
  <si>
    <t>ЛТИЯ46834700900000003</t>
  </si>
  <si>
    <t>ЛТИЯ46834900900000000</t>
  </si>
  <si>
    <t>ЛТИЯ46834901300000000</t>
  </si>
  <si>
    <t>ЛТИЯ46835100400000000</t>
  </si>
  <si>
    <t>ЛТИЯ46835200100000000</t>
  </si>
  <si>
    <t>ЛТИЯ46835200100000001</t>
  </si>
  <si>
    <t>ЛТИЯ46835200200000000</t>
  </si>
  <si>
    <t>ЛТИЯ46835200200000001</t>
  </si>
  <si>
    <t>ЛТИЯ46835200500000000</t>
  </si>
  <si>
    <t>ЛТИЯ46835200500000001</t>
  </si>
  <si>
    <t>ЛТИЯ46835200600000000</t>
  </si>
  <si>
    <t>ЛТИЯ46835200600000001</t>
  </si>
  <si>
    <t>ЛТИЯ46835200700000000</t>
  </si>
  <si>
    <t>ЛТИЯ46835200700000001</t>
  </si>
  <si>
    <t>ЛТИЯ46835300300000000</t>
  </si>
  <si>
    <t>ЛТИЯ46836100500000000</t>
  </si>
  <si>
    <t>ЛТИЯ46836102000000000</t>
  </si>
  <si>
    <t>ЛТИЯ46836102100000000</t>
  </si>
  <si>
    <t>ЛТИЯ46836103300000000</t>
  </si>
  <si>
    <t>ЛТИЯ46836103400000000</t>
  </si>
  <si>
    <t>ЛТИЯ46836200700000000</t>
  </si>
  <si>
    <t>ЛТИЯ46836200700000001</t>
  </si>
  <si>
    <t>ЛТИЯ46836300200000000</t>
  </si>
  <si>
    <t>ЛТИЯ46836400700000000</t>
  </si>
  <si>
    <t>ЛТИЯ46838300300000000</t>
  </si>
  <si>
    <t>ЛТИЯ46838300500000000</t>
  </si>
  <si>
    <t>ЛТИЯ46838300600000000</t>
  </si>
  <si>
    <t>ЛТИЯ46838301000000001</t>
  </si>
  <si>
    <t>ЛТИЯ46838301300000000</t>
  </si>
  <si>
    <t>ЛТИЯ46838301600000000</t>
  </si>
  <si>
    <t>ЛТИЯ46838301700000000</t>
  </si>
  <si>
    <t>ЛТИЯ46851200100000000</t>
  </si>
  <si>
    <t>ЛТИЯ46851200500000000</t>
  </si>
  <si>
    <t>ЛТИЯ46851200600000000</t>
  </si>
  <si>
    <t>ЛТИЯ46851201300000000</t>
  </si>
  <si>
    <t>ЛТИЯ46852400100000000</t>
  </si>
  <si>
    <t>ЛТИЯ46852400100000001</t>
  </si>
  <si>
    <t>ЛТИЯ4685240010010ТСБ1</t>
  </si>
  <si>
    <t>ЛТИЯ468524001ТСБ10000</t>
  </si>
  <si>
    <t>ЛТИЯ46852400200000000</t>
  </si>
  <si>
    <t>ЛТИЯ46852400700000000</t>
  </si>
  <si>
    <t>ЛТИЯ46852400800000000</t>
  </si>
  <si>
    <t>ЛТИЯ46852401200000000</t>
  </si>
  <si>
    <t>ЛТИЯ46852402600000000</t>
  </si>
  <si>
    <t>ЛТИЯ46852402600000001</t>
  </si>
  <si>
    <t>ЛТИЯ46852402800000001</t>
  </si>
  <si>
    <t>ЛТИЯ46854100100000000</t>
  </si>
  <si>
    <t>ЛТИЯ46854100200000000</t>
  </si>
  <si>
    <t>ЛТИЯ46854100300000000</t>
  </si>
  <si>
    <t>ЛТИЯ46854100400000000</t>
  </si>
  <si>
    <t>ЛТИЯ46854100700000000</t>
  </si>
  <si>
    <t>ЛТИЯ46854100800000000</t>
  </si>
  <si>
    <t>ЛТИЯ46854100900000005</t>
  </si>
  <si>
    <t>ЛТИЯ46854100900000007</t>
  </si>
  <si>
    <t>ЛТИЯ46854101000000000</t>
  </si>
  <si>
    <t>ЛТИЯ46854101000000001</t>
  </si>
  <si>
    <t>ЛТИЯ46854101000000002</t>
  </si>
  <si>
    <t>ЛТИЯ46854101000000003</t>
  </si>
  <si>
    <t>ЛТИЯ46854101000000004</t>
  </si>
  <si>
    <t>ЛТИЯ46854101000000005</t>
  </si>
  <si>
    <t>ЛТИЯ46854101000000006</t>
  </si>
  <si>
    <t>ЛТИЯ46854101000000007</t>
  </si>
  <si>
    <t>ЛТИЯ46854101000000008</t>
  </si>
  <si>
    <t>ЛТИЯ46854101000000009</t>
  </si>
  <si>
    <t>ЛТИЯ46854101000000010</t>
  </si>
  <si>
    <t>ЛТИЯ46854101000000011</t>
  </si>
  <si>
    <t>ЛТИЯ46854101000000012</t>
  </si>
  <si>
    <t>ЛТИЯ46854101000000013</t>
  </si>
  <si>
    <t>ЛТИЯ46854101000000014</t>
  </si>
  <si>
    <t>ЛТИЯ46854101000000015</t>
  </si>
  <si>
    <t>ЛТИЯ46854101000000016</t>
  </si>
  <si>
    <t>ЛТИЯ46854101000000017</t>
  </si>
  <si>
    <t>ЛТИЯ46854101000000018</t>
  </si>
  <si>
    <t>ЛТИЯ46854101300000000</t>
  </si>
  <si>
    <t>ЛТИЯ46854101400000000</t>
  </si>
  <si>
    <t>ЛТИЯ46854101400000001</t>
  </si>
  <si>
    <t>ЛТИЯ46854101400000003</t>
  </si>
  <si>
    <t>ЛТИЯ46854101500000001</t>
  </si>
  <si>
    <t>ЛТИЯ46854101500000002</t>
  </si>
  <si>
    <t>ЛТИЯ46854101600000001</t>
  </si>
  <si>
    <t>ЛТИЯ46854101600000002</t>
  </si>
  <si>
    <t>ЛТИЯ46854101700000002</t>
  </si>
  <si>
    <t>ЛТИЯ46854101800000001</t>
  </si>
  <si>
    <t>ЛТИЯ46854114100000000</t>
  </si>
  <si>
    <t>ЛТИЯ46854114100000001</t>
  </si>
  <si>
    <t>ЛТИЯ46854114200000000</t>
  </si>
  <si>
    <t>ЛТИЯ46854114200000002</t>
  </si>
  <si>
    <t>ЛТИЯ46854300300000000</t>
  </si>
  <si>
    <t>ЛТИЯ46854800300000000</t>
  </si>
  <si>
    <t>ЛТИЯ46854800500000000</t>
  </si>
  <si>
    <t>ЛТИЯ46854800500000001</t>
  </si>
  <si>
    <t>ЛТИЯ46854800600000000</t>
  </si>
  <si>
    <t>ЛТИЯ46854800700000000</t>
  </si>
  <si>
    <t>ЛТИЯ46854800900000000</t>
  </si>
  <si>
    <t>ЛТИЯ46856200200000000</t>
  </si>
  <si>
    <t>ЛТИЯ46856200200000001</t>
  </si>
  <si>
    <t>ЛТИЯ46856200800000000</t>
  </si>
  <si>
    <t>ЛТИЯ46856200900000000</t>
  </si>
  <si>
    <t>ЛТИЯ46856201500000000</t>
  </si>
  <si>
    <t>ЛТИЯ46856201900000000</t>
  </si>
  <si>
    <t>ЛТИЯ46856202000000000</t>
  </si>
  <si>
    <t>ЛТИЯ46856202100000000</t>
  </si>
  <si>
    <t>ЛТИЯ46856202200000000</t>
  </si>
  <si>
    <t>ЛТИЯ46856202400000000</t>
  </si>
  <si>
    <t>ЛТИЯ46856202600000000</t>
  </si>
  <si>
    <t>ЛТИЯ46856202900000000</t>
  </si>
  <si>
    <t>ЛТИЯ46856203000000000</t>
  </si>
  <si>
    <t>ЛТИЯ46856203100000000</t>
  </si>
  <si>
    <t>ЛТИЯ46856203200000000</t>
  </si>
  <si>
    <t>ЛТИЯ46856203200000001</t>
  </si>
  <si>
    <t>ЛТИЯ46856203300000000</t>
  </si>
  <si>
    <t>ЛТИЯ46856203400000000</t>
  </si>
  <si>
    <t>ЛТИЯ46856203400000001</t>
  </si>
  <si>
    <t>ЛТИЯ46856203500000000</t>
  </si>
  <si>
    <t>ЛТИЯ46856203500000001</t>
  </si>
  <si>
    <t>ЛТИЯ46856203600000000</t>
  </si>
  <si>
    <t>ЛТИЯ46856203600000001</t>
  </si>
  <si>
    <t>ЛТИЯ46856203800000000</t>
  </si>
  <si>
    <t>ЛТИЯ46856203800000001</t>
  </si>
  <si>
    <t>ЛТИЯ46856203900000000</t>
  </si>
  <si>
    <t>ЛТИЯ46856204000000000</t>
  </si>
  <si>
    <t>ЛТИЯ46856204400000000</t>
  </si>
  <si>
    <t>ЛТИЯ46856205000000000</t>
  </si>
  <si>
    <t>ЛТИЯ46856205400000000</t>
  </si>
  <si>
    <t>ЛТИЯ46857601500000000</t>
  </si>
  <si>
    <t>ЛТИЯ46872301300000000</t>
  </si>
  <si>
    <t>ЛТИЯ46873100100000000</t>
  </si>
  <si>
    <t>ЛТИЯ46873300100000000</t>
  </si>
  <si>
    <t>ЛТИЯ46873300500000000</t>
  </si>
  <si>
    <t>ЛТИЯ468733005ТСБ10000</t>
  </si>
  <si>
    <t>ЛТИЯ46873301800000000</t>
  </si>
  <si>
    <t>ЛТИЯ46873302500000000</t>
  </si>
  <si>
    <t>ЛТИЯ46873302600000000</t>
  </si>
  <si>
    <t>ЛТИЯ46873303900000000</t>
  </si>
  <si>
    <t>ЛТИЯ46873304000000000</t>
  </si>
  <si>
    <t>ЛТИЯ46873304400000000</t>
  </si>
  <si>
    <t>ЛТИЯ46873304700000000</t>
  </si>
  <si>
    <t>ЛТИЯ46882201900000001</t>
  </si>
  <si>
    <t>ЛТИЯ46882210500000000</t>
  </si>
  <si>
    <t>ЛТИЯ46882210600000000</t>
  </si>
  <si>
    <t>ЛТИЯ46882210700000000</t>
  </si>
  <si>
    <t>ЛТИЯ46882210800000000</t>
  </si>
  <si>
    <t>ЛТИЯ46882210900000000</t>
  </si>
  <si>
    <t>ЛТИЯ46882211000000000</t>
  </si>
  <si>
    <t>ЛТИЯ46882302500000000</t>
  </si>
  <si>
    <t>ЛТИЯ46882303700000000</t>
  </si>
  <si>
    <t>ЛТИЯ468823037ТСБ10000</t>
  </si>
  <si>
    <t>ЛТИЯ46882900300000000</t>
  </si>
  <si>
    <t>ЛТИЯ46899300300000000</t>
  </si>
  <si>
    <t>ЛТИЯ46911900900000000</t>
  </si>
  <si>
    <t>ЛТИЯ46931300200000000</t>
  </si>
  <si>
    <t>ЛТИЯ46931300400000000</t>
  </si>
  <si>
    <t>ЛТИЯ46933200200000000</t>
  </si>
  <si>
    <t>ЛТИЯ46935201100000001</t>
  </si>
  <si>
    <t>ЛТИЯ46935201100000003</t>
  </si>
  <si>
    <t>ЛТИЯ4693520110010ТСБ1</t>
  </si>
  <si>
    <t>ЛТИЯ46935201200000001</t>
  </si>
  <si>
    <t>ЛТИЯ46935201400000001</t>
  </si>
  <si>
    <t>ЛТИЯ469352014ТСБ10000</t>
  </si>
  <si>
    <t>ЛТИЯ46935203200000000</t>
  </si>
  <si>
    <t>ЛТИЯ56111100300000000</t>
  </si>
  <si>
    <t>ЛТИЯ56111100400000000</t>
  </si>
  <si>
    <t>ЛТИЯ56855200100000001</t>
  </si>
  <si>
    <t>ЛТИЯ67211200500000000</t>
  </si>
  <si>
    <t>ЛТИЯ67211201300000000</t>
  </si>
  <si>
    <t>ЛТИЯ67211202300000000</t>
  </si>
  <si>
    <t>ЛТИЯ67211202400000000</t>
  </si>
  <si>
    <t>ЛТИЯ67211202500000000</t>
  </si>
  <si>
    <t>ЛТИЯ67211202700000000</t>
  </si>
  <si>
    <t>ЛТИЯ67211202800000000</t>
  </si>
  <si>
    <t>ЛТИЯ67211202800000001</t>
  </si>
  <si>
    <t>ЛТИЯ67211202900000000</t>
  </si>
  <si>
    <t>ЛТИЯ67211203400000000</t>
  </si>
  <si>
    <t>ЛТИЯ67211203600000000</t>
  </si>
  <si>
    <t>ЛТИЯ68442100200000000</t>
  </si>
  <si>
    <t>ЛТИЯ68442100300000000</t>
  </si>
  <si>
    <t>ЛТИЯ68442100400000000</t>
  </si>
  <si>
    <t>ЛТИЯ68442100500000000</t>
  </si>
  <si>
    <t>ЛТИЯ68442100700000000</t>
  </si>
  <si>
    <t>ЛТИЯ68442100800000000</t>
  </si>
  <si>
    <t>ЛТИЯ68442100900000000</t>
  </si>
  <si>
    <t>ЛТИЯ68442101000000000</t>
  </si>
  <si>
    <t>ЛТИЯ68542900100000000</t>
  </si>
  <si>
    <t>ЛТИЯ68542900100000001</t>
  </si>
  <si>
    <t>ЛТИЯ68542900200000000</t>
  </si>
  <si>
    <t>ЛТИЯ68542900200000001</t>
  </si>
  <si>
    <t>ЛТИЯ68544904300000000</t>
  </si>
  <si>
    <t>ЛТИЯ68544904300000001</t>
  </si>
  <si>
    <t>ЛТИЯ68544904300000002</t>
  </si>
  <si>
    <t>ЛТИЯ68544904400000000</t>
  </si>
  <si>
    <t>ЛТИЯ68544904400000001</t>
  </si>
  <si>
    <t>ЛТИЯ68544904400000002</t>
  </si>
  <si>
    <t>ЛТИЯ68544904400000003</t>
  </si>
  <si>
    <t>ЛТИЯ68544904500000000</t>
  </si>
  <si>
    <t>ЛТИЯ68544904500000001</t>
  </si>
  <si>
    <t>ЛТИЯ68544904500000002</t>
  </si>
  <si>
    <t>ЛТИЯ68544904500000003</t>
  </si>
  <si>
    <t>ЛТИЯ68544904600000000</t>
  </si>
  <si>
    <t>ЛТИЯ68544904600000001</t>
  </si>
  <si>
    <t>ЛТИЯ68544904600000002</t>
  </si>
  <si>
    <t>ЛТИЯ68544904600000003</t>
  </si>
  <si>
    <t>ЛТИЯ68544904700000000</t>
  </si>
  <si>
    <t>ЛТИЯ68544904700000001</t>
  </si>
  <si>
    <t>ЛТИЯ68544904700000002</t>
  </si>
  <si>
    <t>ЛТИЯ68544904700000003</t>
  </si>
  <si>
    <t>ЛТИЯ68552000100000000</t>
  </si>
  <si>
    <t>ЛТИЯ68552101200000000</t>
  </si>
  <si>
    <t>ЛТИЯ68552101300000000</t>
  </si>
  <si>
    <t>ЛТИЯ68552101300000001</t>
  </si>
  <si>
    <t>ЛТИЯ68552101400000000</t>
  </si>
  <si>
    <t>ЛТИЯ68552101900000000</t>
  </si>
  <si>
    <t>ЛТИЯ68552102000000000</t>
  </si>
  <si>
    <t>ЛТИЯ68552102900000000</t>
  </si>
  <si>
    <t>ЛТИЯ68552102900000001</t>
  </si>
  <si>
    <t>ЛТИЯ68552200100000000</t>
  </si>
  <si>
    <t>ЛТИЯ68552200200000000</t>
  </si>
  <si>
    <t>ЛТИЯ68552200300000000</t>
  </si>
  <si>
    <t>ЛТИЯ68552200400000000</t>
  </si>
  <si>
    <t>ЛТИЯ68552200500000000</t>
  </si>
  <si>
    <t>ЛТИЯ68552200600000000</t>
  </si>
  <si>
    <t>ЛТИЯ68552500300000000</t>
  </si>
  <si>
    <t>ЛТИЯ68552500400000000</t>
  </si>
  <si>
    <t>ЛТИЯ68552500500000000</t>
  </si>
  <si>
    <t>ЛТИЯ68552500500000001</t>
  </si>
  <si>
    <t>ЛТИЯ68552500700000000</t>
  </si>
  <si>
    <t>ЛТИЯ68552501000000000</t>
  </si>
  <si>
    <t>ЛТИЯ68552501000000001</t>
  </si>
  <si>
    <t>ЛТИЯ68552600600000000</t>
  </si>
  <si>
    <t>ЛТИЯ68552600700000000</t>
  </si>
  <si>
    <t>ЛТИЯ68552600800000000</t>
  </si>
  <si>
    <t>ЛТИЯ68552600900000000</t>
  </si>
  <si>
    <t>ЛТИЯ68553100100000000</t>
  </si>
  <si>
    <t>ЛТИЯ68562109700000000</t>
  </si>
  <si>
    <t>ЛТИЯ68562109700000001</t>
  </si>
  <si>
    <t>ЛТИЯ68562109800000000</t>
  </si>
  <si>
    <t>ЛТИЯ68562109800000001</t>
  </si>
  <si>
    <t>ЛТИЯ68562109900000000</t>
  </si>
  <si>
    <t>ЛТИЯ68562109900000001</t>
  </si>
  <si>
    <t>ЛТИЯ68562110300000001</t>
  </si>
  <si>
    <t>ЛТИЯ68562110600000000</t>
  </si>
  <si>
    <t>ЛТИЯ68562111900000000</t>
  </si>
  <si>
    <t>ЛТИЯ68562111900000001</t>
  </si>
  <si>
    <t>ЛТИЯ68562111900000002</t>
  </si>
  <si>
    <t>ЛТИЯ68562111900000003</t>
  </si>
  <si>
    <t>ЛТИЯ68562112300000000</t>
  </si>
  <si>
    <t>ЛТИЯ68562112300000001</t>
  </si>
  <si>
    <t>ЛТИЯ68562112300000002</t>
  </si>
  <si>
    <t>ЛТИЯ68562112300000003</t>
  </si>
  <si>
    <t>ЛТИЯ68562112300000004</t>
  </si>
  <si>
    <t>ЛТИЯ68562112400000000</t>
  </si>
  <si>
    <t>ЛТИЯ68562112400000001</t>
  </si>
  <si>
    <t>ЛТИЯ68562112900000003</t>
  </si>
  <si>
    <t>ЛТИЯ68562112900000004</t>
  </si>
  <si>
    <t>ЛТИЯ68562112900000006</t>
  </si>
  <si>
    <t>ЛТИЯ68562113300000000</t>
  </si>
  <si>
    <t>ЛТИЯ68562113500000000</t>
  </si>
  <si>
    <t>ЛТИЯ68562113600000000</t>
  </si>
  <si>
    <t>ЛТИЯ68562113600000001</t>
  </si>
  <si>
    <t>ЛТИЯ68562113600000002</t>
  </si>
  <si>
    <t>ЛТИЯ68562113900000000</t>
  </si>
  <si>
    <t>ЛТИЯ68562114200000000</t>
  </si>
  <si>
    <t>ЛТИЯ68562114300000000</t>
  </si>
  <si>
    <t>ЛТИЯ68562114400000000</t>
  </si>
  <si>
    <t>ЛТИЯ68562114400000001</t>
  </si>
  <si>
    <t>ЛТИЯ68562114600000000</t>
  </si>
  <si>
    <t>ЛТИЯ68562114700000000</t>
  </si>
  <si>
    <t>ЛТИЯ68562116400000004</t>
  </si>
  <si>
    <t>ЛТИЯ68562116400000005</t>
  </si>
  <si>
    <t>ЛТИЯ68562116400000006</t>
  </si>
  <si>
    <t>ЛТИЯ68562116400000007</t>
  </si>
  <si>
    <t>ЛТИЯ68562121600000000</t>
  </si>
  <si>
    <t>ЛТИЯ68562121700000000</t>
  </si>
  <si>
    <t>ЛТИЯ68562122100000000</t>
  </si>
  <si>
    <t>ЛТИЯ68562122200000000</t>
  </si>
  <si>
    <t>ЛТИЯ68562122300000000</t>
  </si>
  <si>
    <t>ЛТИЯ68562122400000000</t>
  </si>
  <si>
    <t>ЛТИЯ68562122500000000</t>
  </si>
  <si>
    <t>ЛТИЯ68562122700000000</t>
  </si>
  <si>
    <t>ЛТИЯ68562122800000000</t>
  </si>
  <si>
    <t>ЛТИЯ68562122900000000</t>
  </si>
  <si>
    <t>ЛТИЯ68562143300000000</t>
  </si>
  <si>
    <t>ЛТИЯ68562143400000000</t>
  </si>
  <si>
    <t>ЛТИЯ68562144800000000</t>
  </si>
  <si>
    <t>ЛТИЯ68562145000000000</t>
  </si>
  <si>
    <t>ЛТИЯ68562146800000000</t>
  </si>
  <si>
    <t>ЛТИЯ68562147500000000</t>
  </si>
  <si>
    <t>ЛТИЯ68562155800000000</t>
  </si>
  <si>
    <t>ЛТИЯ68562155900000000</t>
  </si>
  <si>
    <t>ЛТИЯ68562202500000000</t>
  </si>
  <si>
    <t>ЛТИЯ68562202600000000</t>
  </si>
  <si>
    <t>ЛТИЯ68562202700000000</t>
  </si>
  <si>
    <t>ЛТИЯ68562202800000000</t>
  </si>
  <si>
    <t>ЛТИЯ68562203000000000</t>
  </si>
  <si>
    <t>ЛТИЯ68562203000000001</t>
  </si>
  <si>
    <t>ЛТИЯ68562203000000002</t>
  </si>
  <si>
    <t>ЛТИЯ68562203000000003</t>
  </si>
  <si>
    <t>ЛТИЯ68562300700000000</t>
  </si>
  <si>
    <t>ЛТИЯ68562300700000001</t>
  </si>
  <si>
    <t>ЛТИЯ68562300700000002</t>
  </si>
  <si>
    <t>ЛТИЯ68562300700000003</t>
  </si>
  <si>
    <t>ЛТИЯ68563123100000000</t>
  </si>
  <si>
    <t>ЛТИЯ68563301800000000</t>
  </si>
  <si>
    <t>ЛТИЯ68563302000000000</t>
  </si>
  <si>
    <t>ЛТИЯ68563302000000001</t>
  </si>
  <si>
    <t>ЛТИЯ68563302000000002</t>
  </si>
  <si>
    <t>ЛТИЯ68563302000000003</t>
  </si>
  <si>
    <t>ЛТИЯ68563302000000004</t>
  </si>
  <si>
    <t>ЛТИЯ68563302000000005</t>
  </si>
  <si>
    <t>ЛТИЯ68563302000000006</t>
  </si>
  <si>
    <t>ЛТИЯ68563302000000007</t>
  </si>
  <si>
    <t>ЛТИЯ68563302100000000</t>
  </si>
  <si>
    <t>ЛТИЯ68563303700000000</t>
  </si>
  <si>
    <t>ЛТИЯ68563303700000001</t>
  </si>
  <si>
    <t>ЛТИЯ68563303700000002</t>
  </si>
  <si>
    <t>ЛТИЯ68563303700000003</t>
  </si>
  <si>
    <t>ЛТИЯ68563303800000000</t>
  </si>
  <si>
    <t>ЛТИЯ68563303800000001</t>
  </si>
  <si>
    <t>ЛТИЯ68563303800000002</t>
  </si>
  <si>
    <t>ЛТИЯ68563303800000003</t>
  </si>
  <si>
    <t>ЛТИЯ68563303800000004</t>
  </si>
  <si>
    <t>ЛТИЯ68563303800000005</t>
  </si>
  <si>
    <t>ЛТИЯ68563303800000006</t>
  </si>
  <si>
    <t>ЛТИЯ68563304000000004</t>
  </si>
  <si>
    <t>ЛТИЯ68563304000000005</t>
  </si>
  <si>
    <t>ЛТИЯ68563304000000006</t>
  </si>
  <si>
    <t>ЛТИЯ68563304000000007</t>
  </si>
  <si>
    <t>ЛТИЯ68563305700000000</t>
  </si>
  <si>
    <t>ЛТИЯ68563305700000001</t>
  </si>
  <si>
    <t>ЛТИЯ68563305700000002</t>
  </si>
  <si>
    <t>ЛТИЯ68563305700000003</t>
  </si>
  <si>
    <t>ЛТИЯ68563305800000000</t>
  </si>
  <si>
    <t>ЛТИЯ68563305800000001</t>
  </si>
  <si>
    <t>ЛТИЯ68563305800000002</t>
  </si>
  <si>
    <t>ЛТИЯ68563305800000003</t>
  </si>
  <si>
    <t>ЛТИЯ68563305800000004</t>
  </si>
  <si>
    <t>ЛТИЯ68563305800000005</t>
  </si>
  <si>
    <t>ЛТИЯ68563305800000006</t>
  </si>
  <si>
    <t>ЛТИЯ68563305900000000</t>
  </si>
  <si>
    <t>ЛТИЯ68563305900000001</t>
  </si>
  <si>
    <t>ЛТИЯ68563305900000002</t>
  </si>
  <si>
    <t>ЛТИЯ68563305900000003</t>
  </si>
  <si>
    <t>ЛТИЯ68563306000000000</t>
  </si>
  <si>
    <t>ЛТИЯ68563306100000000</t>
  </si>
  <si>
    <t>ЛТИЯ68563306100000001</t>
  </si>
  <si>
    <t>ЛТИЯ68563306100000002</t>
  </si>
  <si>
    <t>ЛТИЯ68563306100000003</t>
  </si>
  <si>
    <t>ЛТИЯ68566200300000000</t>
  </si>
  <si>
    <t>ЛТИЯ68566200400000000</t>
  </si>
  <si>
    <t>ЛТИЯ68566200400000001</t>
  </si>
  <si>
    <t>ЛТИЯ68566200400000002</t>
  </si>
  <si>
    <t>ЛТИЯ68566200400000003</t>
  </si>
  <si>
    <t>ЛТИЯ68566200400000004</t>
  </si>
  <si>
    <t>ЛТИЯ68566200400000005</t>
  </si>
  <si>
    <t>ЛТИЯ68566200400000006</t>
  </si>
  <si>
    <t>ЛТИЯ68566200400000007</t>
  </si>
  <si>
    <t>ЛТИЯ68566200400000008</t>
  </si>
  <si>
    <t>ЛТИЯ68566200400000009</t>
  </si>
  <si>
    <t>ЛТИЯ68566200500000000</t>
  </si>
  <si>
    <t>ЛТИЯ68566200600000001</t>
  </si>
  <si>
    <t>ЛТИЯ68566200700000000</t>
  </si>
  <si>
    <t>ЛТИЯ68566200800000000</t>
  </si>
  <si>
    <t>ЛТИЯ68615400200000000</t>
  </si>
  <si>
    <t>ЛТИЯ68618200300000000</t>
  </si>
  <si>
    <t>ЛТИЯ68635100100000000</t>
  </si>
  <si>
    <t>ЛТИЯ68724000100000000</t>
  </si>
  <si>
    <t>ЛТИЯ68728100400000000</t>
  </si>
  <si>
    <t>ЛТИЯ68728100500000000</t>
  </si>
  <si>
    <t>ЛТИЯ68728100600000000</t>
  </si>
  <si>
    <t>ЛТИЯ68728100700000000</t>
  </si>
  <si>
    <t>ЛТИЯ68734200100000000</t>
  </si>
  <si>
    <t>ЛТИЯ68734200100000001</t>
  </si>
  <si>
    <t>ЛТИЯ68734200100000002</t>
  </si>
  <si>
    <t>ЛТИЯ68734200100000003</t>
  </si>
  <si>
    <t>ЛТИЯ68734200100000004</t>
  </si>
  <si>
    <t>ЛТИЯ68734200100000005</t>
  </si>
  <si>
    <t>ЛТИЯ68734200100000006</t>
  </si>
  <si>
    <t>ЛТИЯ68734200100000007</t>
  </si>
  <si>
    <t>ЛТИЯ68734200100000008</t>
  </si>
  <si>
    <t>ЛТИЯ68734200100000009</t>
  </si>
  <si>
    <t>ЛТИЯ68734200100000010</t>
  </si>
  <si>
    <t>ЛТИЯ68734200100000011</t>
  </si>
  <si>
    <t>ЛТИЯ68734200100000012</t>
  </si>
  <si>
    <t>ЛТИЯ68734200100000013</t>
  </si>
  <si>
    <t>ЛТИЯ68734200100000014</t>
  </si>
  <si>
    <t>ЛТИЯ68734200100000015</t>
  </si>
  <si>
    <t>ЛТИЯ68734200100000016</t>
  </si>
  <si>
    <t>ЛТИЯ68734200100000018</t>
  </si>
  <si>
    <t>ЛТИЯ69741100200000000</t>
  </si>
  <si>
    <t>ЛТИЯ697411002ТСБ10000</t>
  </si>
  <si>
    <t>ЛТИЯ69741100400000000</t>
  </si>
  <si>
    <t>ЛТИЯ697411004ТСБ10000</t>
  </si>
  <si>
    <t>ЛТИЯ69741300100000000</t>
  </si>
  <si>
    <t>ЛТИЯ71114100900000000</t>
  </si>
  <si>
    <t>ЛТИЯ71114101000000000</t>
  </si>
  <si>
    <t>ЛТИЯ71114101300000000</t>
  </si>
  <si>
    <t>ЛТИЯ71114101500000000</t>
  </si>
  <si>
    <t>ЛТИЯ71114102500000000</t>
  </si>
  <si>
    <t>ЛТИЯ71114102600000000</t>
  </si>
  <si>
    <t>ЛТИЯ71114102700000000</t>
  </si>
  <si>
    <t>ЛТИЯ71114102800000000</t>
  </si>
  <si>
    <t>ЛТИЯ71114107300000000</t>
  </si>
  <si>
    <t>ЛТИЯ71114107400000000</t>
  </si>
  <si>
    <t>ЛТИЯ71114109500000000</t>
  </si>
  <si>
    <t>ЛТИЯ71114109700000000</t>
  </si>
  <si>
    <t>ЛТИЯ71114109800000000</t>
  </si>
  <si>
    <t>ЛТИЯ71114110700000000</t>
  </si>
  <si>
    <t>ЛТИЯ71114112500000000</t>
  </si>
  <si>
    <t>ЛТИЯ71114200300000000</t>
  </si>
  <si>
    <t>ЛТИЯ71114200400000000</t>
  </si>
  <si>
    <t>ЛТИЯ71114200500000000</t>
  </si>
  <si>
    <t>ЛТИЯ71114201700000000</t>
  </si>
  <si>
    <t>ЛТИЯ71114300100000000</t>
  </si>
  <si>
    <t>ЛТИЯ71114300300000000</t>
  </si>
  <si>
    <t>ЛТИЯ71114300400000000</t>
  </si>
  <si>
    <t>ЛТИЯ71115100200000000</t>
  </si>
  <si>
    <t>ЛТИЯ71115200400000000</t>
  </si>
  <si>
    <t>ЛТИЯ71115400300000000</t>
  </si>
  <si>
    <t>ЛТИЯ71116300100000000</t>
  </si>
  <si>
    <t>ЛТИЯ71117100100000000</t>
  </si>
  <si>
    <t>ЛТИЯ71119400100000000</t>
  </si>
  <si>
    <t>ЛТИЯ71119400200000000</t>
  </si>
  <si>
    <t>ЛТИЯ71119400300000000</t>
  </si>
  <si>
    <t>ЛТИЯ71121100100000000</t>
  </si>
  <si>
    <t>ЛТИЯ71121100100000001</t>
  </si>
  <si>
    <t>ЛТИЯ71124100600000000</t>
  </si>
  <si>
    <t>ЛТИЯ71124700100000000</t>
  </si>
  <si>
    <t>ЛТИЯ71131100900000000</t>
  </si>
  <si>
    <t>ЛТИЯ71134100500000000</t>
  </si>
  <si>
    <t>ЛТИЯ71134100500000001</t>
  </si>
  <si>
    <t>ЛТИЯ71134100500000002</t>
  </si>
  <si>
    <t>ЛТИЯ71134100600000000</t>
  </si>
  <si>
    <t>ЛТИЯ71134100700000000</t>
  </si>
  <si>
    <t>ЛТИЯ71134100900000000</t>
  </si>
  <si>
    <t>ЛТИЯ71134100900000001</t>
  </si>
  <si>
    <t>ЛТИЯ71134101400000000</t>
  </si>
  <si>
    <t>ЛТИЯ71134101500000000</t>
  </si>
  <si>
    <t>ЛТИЯ71134101700000000</t>
  </si>
  <si>
    <t>ЛТИЯ71134102200000000</t>
  </si>
  <si>
    <t>ЛТИЯ71134102300000000</t>
  </si>
  <si>
    <t>ЛТИЯ71134300200000000</t>
  </si>
  <si>
    <t>ЛТИЯ71135100300000000</t>
  </si>
  <si>
    <t>ЛТИЯ71135100400000000</t>
  </si>
  <si>
    <t>ЛТИЯ71135201200000000</t>
  </si>
  <si>
    <t>ЛТИЯ71147200100000000</t>
  </si>
  <si>
    <t>ЛТИЯ71154100100000000</t>
  </si>
  <si>
    <t>ЛТИЯ71154100300000000</t>
  </si>
  <si>
    <t>ЛТИЯ71154200100000000</t>
  </si>
  <si>
    <t>ЛТИЯ71155200100000000</t>
  </si>
  <si>
    <t>ЛТИЯ71161200100000000</t>
  </si>
  <si>
    <t>ЛТИЯ71169200100000000</t>
  </si>
  <si>
    <t>ЛТИЯ71169200200000000</t>
  </si>
  <si>
    <t>ЛТИЯ71169200500000000</t>
  </si>
  <si>
    <t>ЛТИЯ71169200800000000</t>
  </si>
  <si>
    <t>ЛТИЯ71169200800000001</t>
  </si>
  <si>
    <t>ЛТИЯ71169200800000002</t>
  </si>
  <si>
    <t>ЛТИЯ71234200100000000</t>
  </si>
  <si>
    <t>ЛТИЯ71234500500000000</t>
  </si>
  <si>
    <t>ЛТИЯ71311100400000000</t>
  </si>
  <si>
    <t>ЛТИЯ71311200100000000</t>
  </si>
  <si>
    <t>ЛТИЯ71313100100000000</t>
  </si>
  <si>
    <t>ЛТИЯ71314100400000000</t>
  </si>
  <si>
    <t>ЛТИЯ71314100900000000</t>
  </si>
  <si>
    <t>ЛТИЯ71314100900000002</t>
  </si>
  <si>
    <t>ЛТИЯ71314101800000000</t>
  </si>
  <si>
    <t>ЛТИЯ71314200300000000</t>
  </si>
  <si>
    <t>ЛТИЯ71314200400000000</t>
  </si>
  <si>
    <t>ЛТИЯ71314200500000000</t>
  </si>
  <si>
    <t>ЛТИЯ71316100200000000</t>
  </si>
  <si>
    <t>ЛТИЯ71316300800000000</t>
  </si>
  <si>
    <t>ЛТИЯ71316301000000000</t>
  </si>
  <si>
    <t>ЛТИЯ71323100800000000</t>
  </si>
  <si>
    <t>ЛТИЯ71326100100000000</t>
  </si>
  <si>
    <t>ЛТИЯ71326100200000000</t>
  </si>
  <si>
    <t>ЛТИЯ71331300100000000</t>
  </si>
  <si>
    <t>ЛТИЯ71331300500000000</t>
  </si>
  <si>
    <t>ЛТИЯ71331401100000000</t>
  </si>
  <si>
    <t>ЛТИЯ71332100200000000</t>
  </si>
  <si>
    <t>ЛТИЯ71334100600000000</t>
  </si>
  <si>
    <t>ЛТИЯ71334200100000000</t>
  </si>
  <si>
    <t>ЛТИЯ71334300100000000</t>
  </si>
  <si>
    <t>ЛТИЯ71336100100000000</t>
  </si>
  <si>
    <t>ЛТИЯ71336100200000000</t>
  </si>
  <si>
    <t>ЛТИЯ71336101500000000</t>
  </si>
  <si>
    <t>ЛТИЯ71336101600000000</t>
  </si>
  <si>
    <t>ЛТИЯ71336101700000000</t>
  </si>
  <si>
    <t>ЛТИЯ71336102800000000</t>
  </si>
  <si>
    <t>ЛТИЯ71336103300000000</t>
  </si>
  <si>
    <t>ЛТИЯ71341100900000000</t>
  </si>
  <si>
    <t>ЛТИЯ71342100100000001</t>
  </si>
  <si>
    <t>ЛТИЯ71343100100000000</t>
  </si>
  <si>
    <t>ЛТИЯ71343100200000000</t>
  </si>
  <si>
    <t>ЛТИЯ71344200300000000</t>
  </si>
  <si>
    <t>ЛТИЯ71346100100000000</t>
  </si>
  <si>
    <t>ЛТИЯ71351100200000000</t>
  </si>
  <si>
    <t>ЛТИЯ71356100100000000</t>
  </si>
  <si>
    <t>ЛТИЯ71435100100000000</t>
  </si>
  <si>
    <t>ЛТИЯ71435100200000000</t>
  </si>
  <si>
    <t>ЛТИЯ71435100300000000</t>
  </si>
  <si>
    <t>ЛТИЯ71435100400000000</t>
  </si>
  <si>
    <t>ЛТИЯ71443100200000000</t>
  </si>
  <si>
    <t>ЛТИЯ71451100700000000</t>
  </si>
  <si>
    <t>ЛТИЯ71511101500000000</t>
  </si>
  <si>
    <t>ЛТИЯ71511102200000001</t>
  </si>
  <si>
    <t>ЛТИЯ71511102200000002</t>
  </si>
  <si>
    <t>ЛТИЯ71511102300000000</t>
  </si>
  <si>
    <t>ЛТИЯ71511102300000002</t>
  </si>
  <si>
    <t>ЛТИЯ71511102400000000</t>
  </si>
  <si>
    <t>ЛТИЯ71511102500000000</t>
  </si>
  <si>
    <t>ЛТИЯ71511200100000000</t>
  </si>
  <si>
    <t>ЛТИЯ71512101000000000</t>
  </si>
  <si>
    <t>ЛТИЯ71512102100000002</t>
  </si>
  <si>
    <t>ЛТИЯ71512103200000000</t>
  </si>
  <si>
    <t>ЛТИЯ71512103300000000</t>
  </si>
  <si>
    <t>ЛТИЯ71512103400000000</t>
  </si>
  <si>
    <t>ЛТИЯ71512103400000001</t>
  </si>
  <si>
    <t>ЛТИЯ71512103600000000</t>
  </si>
  <si>
    <t>ЛТИЯ71512103700000000</t>
  </si>
  <si>
    <t>ЛТИЯ71512103800000000</t>
  </si>
  <si>
    <t>ЛТИЯ71513100100000000</t>
  </si>
  <si>
    <t>ЛТИЯ71514100500000000</t>
  </si>
  <si>
    <t>ЛТИЯ71514101200000000</t>
  </si>
  <si>
    <t>ЛТИЯ71514102100000000</t>
  </si>
  <si>
    <t>ЛТИЯ71514102900000000</t>
  </si>
  <si>
    <t>ЛТИЯ71514103300000000</t>
  </si>
  <si>
    <t>ЛТИЯ71514103900000000</t>
  </si>
  <si>
    <t>ЛТИЯ71516100600000000</t>
  </si>
  <si>
    <t>ЛТИЯ71516101000000000</t>
  </si>
  <si>
    <t>ЛТИЯ71516101400000000</t>
  </si>
  <si>
    <t>ЛТИЯ71516101600000000</t>
  </si>
  <si>
    <t>ЛТИЯ71521100800000001</t>
  </si>
  <si>
    <t>ЛТИЯ71521102700000000</t>
  </si>
  <si>
    <t>ЛТИЯ71524100100000000</t>
  </si>
  <si>
    <t>ЛТИЯ71524100200000000</t>
  </si>
  <si>
    <t>ЛТИЯ71524200800000000</t>
  </si>
  <si>
    <t>ЛТИЯ71531100600000000</t>
  </si>
  <si>
    <t>ЛТИЯ71531200300000000</t>
  </si>
  <si>
    <t>ЛТИЯ71531200400000000</t>
  </si>
  <si>
    <t>ЛТИЯ71534100300000000</t>
  </si>
  <si>
    <t>ЛТИЯ71534100300000001</t>
  </si>
  <si>
    <t>ЛТИЯ71534100400000000</t>
  </si>
  <si>
    <t>ЛТИЯ71534100700000000</t>
  </si>
  <si>
    <t>ЛТИЯ71534100800000000</t>
  </si>
  <si>
    <t>ЛТИЯ71534400100000000</t>
  </si>
  <si>
    <t>ЛТИЯ71536100900000000</t>
  </si>
  <si>
    <t>ЛТИЯ71551100900000000</t>
  </si>
  <si>
    <t>ЛТИЯ71551101100000000</t>
  </si>
  <si>
    <t>ЛТИЯ71551101200000000</t>
  </si>
  <si>
    <t>ЛТИЯ71551101200000001</t>
  </si>
  <si>
    <t>ЛТИЯ71551101300000000</t>
  </si>
  <si>
    <t>ЛТИЯ71551101400000000</t>
  </si>
  <si>
    <t>ЛТИЯ71551102800000000</t>
  </si>
  <si>
    <t>ЛТИЯ71551300100000000</t>
  </si>
  <si>
    <t>ЛТИЯ71551400400000000</t>
  </si>
  <si>
    <t>ЛТИЯ71552300100000000</t>
  </si>
  <si>
    <t>ЛТИЯ71553101400000000</t>
  </si>
  <si>
    <t>ЛТИЯ71553102100000000</t>
  </si>
  <si>
    <t>ЛТИЯ71553300100000000</t>
  </si>
  <si>
    <t>ЛТИЯ71553300300000002</t>
  </si>
  <si>
    <t>ЛТИЯ71553300600000000</t>
  </si>
  <si>
    <t>ЛТИЯ71553300700000000</t>
  </si>
  <si>
    <t>ЛТИЯ71553301100000000</t>
  </si>
  <si>
    <t>ЛТИЯ71553301100000001</t>
  </si>
  <si>
    <t>ЛТИЯ71554100100000000</t>
  </si>
  <si>
    <t>ЛТИЯ71555100100000000</t>
  </si>
  <si>
    <t>ЛТИЯ71556100400000000</t>
  </si>
  <si>
    <t>ЛТИЯ71562100100000000</t>
  </si>
  <si>
    <t>ЛТИЯ71563200100000000</t>
  </si>
  <si>
    <t>ЛТИЯ71571300200000000</t>
  </si>
  <si>
    <t>ЛТИЯ71651300100000000</t>
  </si>
  <si>
    <t>ЛТИЯ71651300200000000</t>
  </si>
  <si>
    <t>ЛТИЯ71651300300000000</t>
  </si>
  <si>
    <t>ЛТИЯ71651300400000000</t>
  </si>
  <si>
    <t>ЛТИЯ72311101900000000</t>
  </si>
  <si>
    <t>ЛТИЯ72311102200000000</t>
  </si>
  <si>
    <t>ЛТИЯ72311102400000000</t>
  </si>
  <si>
    <t>ЛТИЯ72311105600000005</t>
  </si>
  <si>
    <t>ЛТИЯ72311105600000007</t>
  </si>
  <si>
    <t>ЛТИЯ72311105700000000</t>
  </si>
  <si>
    <t>ЛТИЯ72311105700000001</t>
  </si>
  <si>
    <t>ЛТИЯ72311105700000002</t>
  </si>
  <si>
    <t>ЛТИЯ72311105700000003</t>
  </si>
  <si>
    <t>ЛТИЯ72311105700000004</t>
  </si>
  <si>
    <t>ЛТИЯ72311105700000005</t>
  </si>
  <si>
    <t>ЛТИЯ72311105700000006</t>
  </si>
  <si>
    <t>ЛТИЯ72311105700000007</t>
  </si>
  <si>
    <t>ЛТИЯ72311105700000008</t>
  </si>
  <si>
    <t>ЛТИЯ72311105700000009</t>
  </si>
  <si>
    <t>ЛТИЯ72311105700000010</t>
  </si>
  <si>
    <t>ЛТИЯ72311105700000011</t>
  </si>
  <si>
    <t>ЛТИЯ72311105700000012</t>
  </si>
  <si>
    <t>ЛТИЯ72311105700000013</t>
  </si>
  <si>
    <t>ЛТИЯ72311105700000014</t>
  </si>
  <si>
    <t>ЛТИЯ72311105700000015</t>
  </si>
  <si>
    <t>ЛТИЯ72311105700000016</t>
  </si>
  <si>
    <t>ЛТИЯ72311105700000017</t>
  </si>
  <si>
    <t>ЛТИЯ72311105700000018</t>
  </si>
  <si>
    <t>ЛТИЯ72311105800000000</t>
  </si>
  <si>
    <t>ЛТИЯ72311105800000003</t>
  </si>
  <si>
    <t>ЛТИЯ72311105800000004</t>
  </si>
  <si>
    <t>ЛТИЯ72311105800000005</t>
  </si>
  <si>
    <t>ЛТИЯ72311105800000006</t>
  </si>
  <si>
    <t>ЛТИЯ72311105800000007</t>
  </si>
  <si>
    <t>ЛТИЯ72311105800000008</t>
  </si>
  <si>
    <t>ЛТИЯ72311105800000009</t>
  </si>
  <si>
    <t>ЛТИЯ72311105800000010</t>
  </si>
  <si>
    <t>ЛТИЯ72311105800000011</t>
  </si>
  <si>
    <t>ЛТИЯ72311105800000013</t>
  </si>
  <si>
    <t>ЛТИЯ72311105800000014</t>
  </si>
  <si>
    <t>ЛТИЯ72311105800000015</t>
  </si>
  <si>
    <t>ЛТИЯ72311105800000016</t>
  </si>
  <si>
    <t>ЛТИЯ72311105800000017</t>
  </si>
  <si>
    <t>ЛТИЯ72311105800000018</t>
  </si>
  <si>
    <t>ЛТИЯ72311105800000019</t>
  </si>
  <si>
    <t>ЛТИЯ72311105800000020</t>
  </si>
  <si>
    <t>ЛТИЯ72311105800000021</t>
  </si>
  <si>
    <t>ЛТИЯ72311105800000022</t>
  </si>
  <si>
    <t>ЛТИЯ72311105800000023</t>
  </si>
  <si>
    <t>ЛТИЯ72311105800000024</t>
  </si>
  <si>
    <t>ЛТИЯ72311108100000001</t>
  </si>
  <si>
    <t>ЛТИЯ72311108100000002</t>
  </si>
  <si>
    <t>ЛТИЯ72311108100000004</t>
  </si>
  <si>
    <t>ЛТИЯ72311108200000000</t>
  </si>
  <si>
    <t>ЛТИЯ72311108200000001</t>
  </si>
  <si>
    <t>ЛТИЯ72311108200000003</t>
  </si>
  <si>
    <t>ЛТИЯ72311108300000000</t>
  </si>
  <si>
    <t>ЛТИЯ72311108300000001</t>
  </si>
  <si>
    <t>ЛТИЯ72311108400000000</t>
  </si>
  <si>
    <t>ЛТИЯ72311108400000001</t>
  </si>
  <si>
    <t>ЛТИЯ72311108400000002</t>
  </si>
  <si>
    <t>ЛТИЯ72311108500000000</t>
  </si>
  <si>
    <t>ЛТИЯ72311108500000001</t>
  </si>
  <si>
    <t>ЛТИЯ72311108500000002</t>
  </si>
  <si>
    <t>ЛТИЯ72311108500000003</t>
  </si>
  <si>
    <t>ЛТИЯ72311108600000000</t>
  </si>
  <si>
    <t>ЛТИЯ72311108700000000</t>
  </si>
  <si>
    <t>ЛТИЯ72311108700000001</t>
  </si>
  <si>
    <t>ЛТИЯ72311108700000003</t>
  </si>
  <si>
    <t>ЛТИЯ72311108700000004</t>
  </si>
  <si>
    <t>ЛТИЯ72311108800000000</t>
  </si>
  <si>
    <t>ЛТИЯ72311108800000001</t>
  </si>
  <si>
    <t>ЛТИЯ72311108800000002</t>
  </si>
  <si>
    <t>ЛТИЯ72311108800000003</t>
  </si>
  <si>
    <t>ЛТИЯ72311108800000004</t>
  </si>
  <si>
    <t>ЛТИЯ72311108800000005</t>
  </si>
  <si>
    <t>ЛТИЯ72311108800000006</t>
  </si>
  <si>
    <t>ЛТИЯ72311108800000007</t>
  </si>
  <si>
    <t>ЛТИЯ72311108800000008</t>
  </si>
  <si>
    <t>ЛТИЯ72311108800000009</t>
  </si>
  <si>
    <t>ЛТИЯ72311111500000000</t>
  </si>
  <si>
    <t>ЛТИЯ72311111500000001</t>
  </si>
  <si>
    <t>ЛТИЯ72311111500000002</t>
  </si>
  <si>
    <t>ЛТИЯ72311111500000003</t>
  </si>
  <si>
    <t>ЛТИЯ72311111500000004</t>
  </si>
  <si>
    <t>ЛТИЯ72311111500000005</t>
  </si>
  <si>
    <t>ЛТИЯ72311111500000006</t>
  </si>
  <si>
    <t>ЛТИЯ72311111800000000</t>
  </si>
  <si>
    <t>ЛТИЯ72311111900000000</t>
  </si>
  <si>
    <t>ЛТИЯ72311112000000000</t>
  </si>
  <si>
    <t>ЛТИЯ72311112200000000</t>
  </si>
  <si>
    <t>ЛТИЯ72311112300000000</t>
  </si>
  <si>
    <t>ЛТИЯ72311112400000000</t>
  </si>
  <si>
    <t>ЛТИЯ72311112700000000</t>
  </si>
  <si>
    <t>ЛТИЯ72311113000000000</t>
  </si>
  <si>
    <t>ЛТИЯ72311113100000000</t>
  </si>
  <si>
    <t>ЛТИЯ72311113200000000</t>
  </si>
  <si>
    <t>ЛТИЯ72311113300000000</t>
  </si>
  <si>
    <t>ЛТИЯ72311113400000000</t>
  </si>
  <si>
    <t>ЛТИЯ72311113600000000</t>
  </si>
  <si>
    <t>ЛТИЯ72311113700000000</t>
  </si>
  <si>
    <t>ЛТИЯ72311113800000000</t>
  </si>
  <si>
    <t>ЛТИЯ72311114200000000</t>
  </si>
  <si>
    <t>ЛТИЯ72311114400000000</t>
  </si>
  <si>
    <t>ЛТИЯ72311114500000000</t>
  </si>
  <si>
    <t>ЛТИЯ72311114600000000</t>
  </si>
  <si>
    <t>ЛТИЯ72311114700000000</t>
  </si>
  <si>
    <t>ЛТИЯ72311114800000000</t>
  </si>
  <si>
    <t>ЛТИЯ72311115000000000</t>
  </si>
  <si>
    <t>ЛТИЯ72311115200000000</t>
  </si>
  <si>
    <t>ЛТИЯ72311115300000000</t>
  </si>
  <si>
    <t>ЛТИЯ72311115400000000</t>
  </si>
  <si>
    <t>ЛТИЯ72311115500000000</t>
  </si>
  <si>
    <t>ЛТИЯ72311115600000000</t>
  </si>
  <si>
    <t>ЛТИЯ72311115700000000</t>
  </si>
  <si>
    <t>ЛТИЯ72311115900000000</t>
  </si>
  <si>
    <t>ЛТИЯ72311116000000000</t>
  </si>
  <si>
    <t>ЛТИЯ72311116100000000</t>
  </si>
  <si>
    <t>ЛТИЯ72311116300000000</t>
  </si>
  <si>
    <t>ЛТИЯ72311116400000000</t>
  </si>
  <si>
    <t>ЛТИЯ72311116500000000</t>
  </si>
  <si>
    <t>ЛТИЯ72311116700000000</t>
  </si>
  <si>
    <t>ЛТИЯ72311116900000000</t>
  </si>
  <si>
    <t>ЛТИЯ72311117000000000</t>
  </si>
  <si>
    <t>ЛТИЯ72311119900000000</t>
  </si>
  <si>
    <t>ЛТИЯ72311120000000000</t>
  </si>
  <si>
    <t>ЛТИЯ72311120300000000</t>
  </si>
  <si>
    <t>ЛТИЯ72311120400000000</t>
  </si>
  <si>
    <t>ЛТИЯ72311120500000000</t>
  </si>
  <si>
    <t>ЛТИЯ72311120600000000</t>
  </si>
  <si>
    <t>ЛТИЯ72311120700000000</t>
  </si>
  <si>
    <t>ЛТИЯ72311120800000000</t>
  </si>
  <si>
    <t>ЛТИЯ72311120900000000</t>
  </si>
  <si>
    <t>ЛТИЯ72311121000000000</t>
  </si>
  <si>
    <t>ЛТИЯ72311121100000000</t>
  </si>
  <si>
    <t>ЛТИЯ72311121500000000</t>
  </si>
  <si>
    <t>ЛТИЯ72311121900000000</t>
  </si>
  <si>
    <t>ЛТИЯ72311122100000000</t>
  </si>
  <si>
    <t>ЛТИЯ72311122200000000</t>
  </si>
  <si>
    <t>ЛТИЯ72311122300000000</t>
  </si>
  <si>
    <t>ЛТИЯ72311122400000000</t>
  </si>
  <si>
    <t>ЛТИЯ72311122600000000</t>
  </si>
  <si>
    <t>ЛТИЯ72311122600000002</t>
  </si>
  <si>
    <t>ЛТИЯ72311122600000003</t>
  </si>
  <si>
    <t>ЛТИЯ72311122600000004</t>
  </si>
  <si>
    <t>ЛТИЯ72311122700000003</t>
  </si>
  <si>
    <t>ЛТИЯ72311122700000004</t>
  </si>
  <si>
    <t>ЛТИЯ72311122900000000</t>
  </si>
  <si>
    <t>ЛТИЯ72311123000000000</t>
  </si>
  <si>
    <t>ЛТИЯ72311123100000000</t>
  </si>
  <si>
    <t>ЛТИЯ72311123300000000</t>
  </si>
  <si>
    <t>ЛТИЯ72311123400000000</t>
  </si>
  <si>
    <t>ЛТИЯ72311123500000000</t>
  </si>
  <si>
    <t>ЛТИЯ72311123800000000</t>
  </si>
  <si>
    <t>ЛТИЯ72311124200000000</t>
  </si>
  <si>
    <t>ЛТИЯ72311124500000000</t>
  </si>
  <si>
    <t>ЛТИЯ72311124700000000</t>
  </si>
  <si>
    <t>ЛТИЯ72311124900000000</t>
  </si>
  <si>
    <t>ЛТИЯ72311125800000000</t>
  </si>
  <si>
    <t>ЛТИЯ72311125900000000</t>
  </si>
  <si>
    <t>ЛТИЯ72311126000000000</t>
  </si>
  <si>
    <t>ЛТИЯ72311126300000000</t>
  </si>
  <si>
    <t>ЛТИЯ72311126500000000</t>
  </si>
  <si>
    <t>ЛТИЯ72311126600000000</t>
  </si>
  <si>
    <t>ЛТИЯ72311126600000001</t>
  </si>
  <si>
    <t>ЛТИЯ72311126600000002</t>
  </si>
  <si>
    <t>ЛТИЯ72311126600000003</t>
  </si>
  <si>
    <t>ЛТИЯ72311600100000000</t>
  </si>
  <si>
    <t>ЛТИЯ72311600100000001</t>
  </si>
  <si>
    <t>ЛТИЯ72311602200000000</t>
  </si>
  <si>
    <t>ЛТИЯ72311602300000000</t>
  </si>
  <si>
    <t>ЛТИЯ72311602400000000</t>
  </si>
  <si>
    <t>ЛТИЯ72311602500000000</t>
  </si>
  <si>
    <t>ЛТИЯ72311602600000000</t>
  </si>
  <si>
    <t>ЛТИЯ72311602700000000</t>
  </si>
  <si>
    <t>ЛТИЯ72311602800000000</t>
  </si>
  <si>
    <t>ЛТИЯ72311602900000000</t>
  </si>
  <si>
    <t>ЛТИЯ72311603000000000</t>
  </si>
  <si>
    <t>ЛТИЯ72311603100000000</t>
  </si>
  <si>
    <t>ЛТИЯ72311603200000000</t>
  </si>
  <si>
    <t>ЛТИЯ72311603500000000</t>
  </si>
  <si>
    <t>ЛТИЯ72312100500000000</t>
  </si>
  <si>
    <t>ЛТИЯ72312601400000000</t>
  </si>
  <si>
    <t>ЛТИЯ72312601600000000</t>
  </si>
  <si>
    <t>ЛТИЯ72314100200000000</t>
  </si>
  <si>
    <t>ЛТИЯ72314100300000000</t>
  </si>
  <si>
    <t>ЛТИЯ72314100600000000</t>
  </si>
  <si>
    <t>ЛТИЯ72314400100000000</t>
  </si>
  <si>
    <t>ЛТИЯ72314400200000000</t>
  </si>
  <si>
    <t>ЛТИЯ72319100200000000</t>
  </si>
  <si>
    <t>ЛТИЯ72319100200000001</t>
  </si>
  <si>
    <t>ЛТИЯ72321500400000000</t>
  </si>
  <si>
    <t>ЛТИЯ72323100200000000</t>
  </si>
  <si>
    <t>ЛТИЯ72323100900000000</t>
  </si>
  <si>
    <t>ЛТИЯ72323101000000000</t>
  </si>
  <si>
    <t>ЛТИЯ72323101100000000</t>
  </si>
  <si>
    <t>ЛТИЯ72323101300000000</t>
  </si>
  <si>
    <t>ЛТИЯ72323101700000000</t>
  </si>
  <si>
    <t>ЛТИЯ72323200100000000</t>
  </si>
  <si>
    <t>ЛТИЯ72323200400000000</t>
  </si>
  <si>
    <t>ЛТИЯ72331200100000000</t>
  </si>
  <si>
    <t>ЛТИЯ72332400100000000</t>
  </si>
  <si>
    <t>ЛТИЯ72531500200000000</t>
  </si>
  <si>
    <t>ЛТИЯ72531500300000000</t>
  </si>
  <si>
    <t>ЛТИЯ73121300200000000</t>
  </si>
  <si>
    <t>ЛТИЯ73211200100000000</t>
  </si>
  <si>
    <t>ЛТИЯ73311101000000000</t>
  </si>
  <si>
    <t>ЛТИЯ73431300100000000</t>
  </si>
  <si>
    <t>ЛТИЯ73434101700000000</t>
  </si>
  <si>
    <t>ЛТИЯ73531201300000000</t>
  </si>
  <si>
    <t>ЛТИЯ73531201300000001</t>
  </si>
  <si>
    <t>ЛТИЯ73531201400000000</t>
  </si>
  <si>
    <t>ЛТИЯ73531203400000000</t>
  </si>
  <si>
    <t>ЛТИЯ73532200400000000</t>
  </si>
  <si>
    <t>ЛТИЯ73539100800000000</t>
  </si>
  <si>
    <t>ЛТИЯ73543403700000000</t>
  </si>
  <si>
    <t>ЛТИЯ73562200100000000</t>
  </si>
  <si>
    <t>ЛТИЯ74110001900000000</t>
  </si>
  <si>
    <t>ЛТИЯ74110002000000000</t>
  </si>
  <si>
    <t>ЛТИЯ74110002100000000</t>
  </si>
  <si>
    <t>ЛТИЯ74110002200000000</t>
  </si>
  <si>
    <t>ЛТИЯ74110002300000000</t>
  </si>
  <si>
    <t>ЛТИЯ74110209900000000</t>
  </si>
  <si>
    <t>ЛТИЯ74111000300000000</t>
  </si>
  <si>
    <t>ЛТИЯ74111105200000000</t>
  </si>
  <si>
    <t>ЛТИЯ74111105500000000</t>
  </si>
  <si>
    <t>ЛТИЯ74111108700000000</t>
  </si>
  <si>
    <t>ЛТИЯ74111109000000000</t>
  </si>
  <si>
    <t>ЛТИЯ74111111800000000</t>
  </si>
  <si>
    <t>ЛТИЯ74111111800000001</t>
  </si>
  <si>
    <t>ЛТИЯ74111400100000000</t>
  </si>
  <si>
    <t>ЛТИЯ74111400100000001</t>
  </si>
  <si>
    <t>ЛТИЯ74111400200000000</t>
  </si>
  <si>
    <t>ЛТИЯ74111400400000000</t>
  </si>
  <si>
    <t>ЛТИЯ74111400700000000</t>
  </si>
  <si>
    <t>ЛТИЯ74112103600000000</t>
  </si>
  <si>
    <t>ЛТИЯ74112103600000001</t>
  </si>
  <si>
    <t>ЛТИЯ74112103600000002</t>
  </si>
  <si>
    <t>ЛТИЯ74112104100000000</t>
  </si>
  <si>
    <t>ЛТИЯ74112104100000001</t>
  </si>
  <si>
    <t>ЛТИЯ74112105500000000</t>
  </si>
  <si>
    <t>ЛТИЯ74112106600000000</t>
  </si>
  <si>
    <t>ЛТИЯ74112106900000000</t>
  </si>
  <si>
    <t>ЛТИЯ74112107300000000</t>
  </si>
  <si>
    <t>ЛТИЯ74112114800000000</t>
  </si>
  <si>
    <t>ЛТИЯ74112121300000000</t>
  </si>
  <si>
    <t>ЛТИЯ74112122600000000</t>
  </si>
  <si>
    <t>ЛТИЯ74112122700000000</t>
  </si>
  <si>
    <t>ЛТИЯ74112123400000000</t>
  </si>
  <si>
    <t>ЛТИЯ74112127200000000</t>
  </si>
  <si>
    <t>ЛТИЯ74112403400000000</t>
  </si>
  <si>
    <t>ЛТИЯ74112410600000000</t>
  </si>
  <si>
    <t>ЛТИЯ74112415400000000</t>
  </si>
  <si>
    <t>ЛТИЯ74112415500000000</t>
  </si>
  <si>
    <t>ЛТИЯ74112415500000001</t>
  </si>
  <si>
    <t>ЛТИЯ74112415700000000</t>
  </si>
  <si>
    <t>ЛТИЯ74112415700000001</t>
  </si>
  <si>
    <t>ЛТИЯ74112415800000000</t>
  </si>
  <si>
    <t>ЛТИЯ74112415900000000</t>
  </si>
  <si>
    <t>ЛТИЯ74112416100000000</t>
  </si>
  <si>
    <t>ЛТИЯ74112418300000000</t>
  </si>
  <si>
    <t>ЛТИЯ74112418400000000</t>
  </si>
  <si>
    <t>ЛТИЯ74112418500000000</t>
  </si>
  <si>
    <t>ЛТИЯ74112418600000000</t>
  </si>
  <si>
    <t>ЛТИЯ74112418800000000</t>
  </si>
  <si>
    <t>ЛТИЯ74112419600000000</t>
  </si>
  <si>
    <t>ЛТИЯ74112419700000000</t>
  </si>
  <si>
    <t>ЛТИЯ74112420100000000</t>
  </si>
  <si>
    <t>ЛТИЯ74112420900000000</t>
  </si>
  <si>
    <t>ЛТИЯ74112423400000000</t>
  </si>
  <si>
    <t>ЛТИЯ74112423700000000</t>
  </si>
  <si>
    <t>ЛТИЯ74112423800000000</t>
  </si>
  <si>
    <t>ЛТИЯ74112424000000000</t>
  </si>
  <si>
    <t>ЛТИЯ74112424100000000</t>
  </si>
  <si>
    <t>ЛТИЯ74112424200000000</t>
  </si>
  <si>
    <t>ЛТИЯ74112424200000001</t>
  </si>
  <si>
    <t>ЛТИЯ74112424600000000</t>
  </si>
  <si>
    <t>ЛТИЯ74112424700000000</t>
  </si>
  <si>
    <t>ЛТИЯ74112424900000000</t>
  </si>
  <si>
    <t>ЛТИЯ74112425000000000</t>
  </si>
  <si>
    <t>ЛТИЯ74112425100000000</t>
  </si>
  <si>
    <t>ЛТИЯ74112425100000001</t>
  </si>
  <si>
    <t>ЛТИЯ74112425200000000</t>
  </si>
  <si>
    <t>ЛТИЯ74112425300000000</t>
  </si>
  <si>
    <t>ЛТИЯ74112425400000000</t>
  </si>
  <si>
    <t>ЛТИЯ74112425500000000</t>
  </si>
  <si>
    <t>ЛТИЯ74112425600000000</t>
  </si>
  <si>
    <t>ЛТИЯ74112425800000000</t>
  </si>
  <si>
    <t>ЛТИЯ74112425900000000</t>
  </si>
  <si>
    <t>ЛТИЯ74112426000000000</t>
  </si>
  <si>
    <t>ЛТИЯ74112426100000000</t>
  </si>
  <si>
    <t>ЛТИЯ74112426200000000</t>
  </si>
  <si>
    <t>ЛТИЯ74112426400000000</t>
  </si>
  <si>
    <t>ЛТИЯ74112426600000000</t>
  </si>
  <si>
    <t>ЛТИЯ74112426700000000</t>
  </si>
  <si>
    <t>ЛТИЯ74112427000000000</t>
  </si>
  <si>
    <t>ЛТИЯ74112427500000000</t>
  </si>
  <si>
    <t>ЛТИЯ74112427600000000</t>
  </si>
  <si>
    <t>ЛТИЯ74112427600000001</t>
  </si>
  <si>
    <t>ЛТИЯ74112427700000000</t>
  </si>
  <si>
    <t>ЛТИЯ74112427800000000</t>
  </si>
  <si>
    <t>ЛТИЯ74112427900000000</t>
  </si>
  <si>
    <t>ЛТИЯ74112429000000000</t>
  </si>
  <si>
    <t>ЛТИЯ74112429300000000</t>
  </si>
  <si>
    <t>ЛТИЯ74112429400000000</t>
  </si>
  <si>
    <t>ЛТИЯ74112429500000000</t>
  </si>
  <si>
    <t>ЛТИЯ74112429700000000</t>
  </si>
  <si>
    <t>ЛТИЯ74112429900000000</t>
  </si>
  <si>
    <t>ЛТИЯ74112430000000000</t>
  </si>
  <si>
    <t>ЛТИЯ74112430000000001</t>
  </si>
  <si>
    <t>ЛТИЯ74112430400000000</t>
  </si>
  <si>
    <t>ЛТИЯ74112430500000000</t>
  </si>
  <si>
    <t>ЛТИЯ74112430600000000</t>
  </si>
  <si>
    <t>ЛТИЯ74112431000000000</t>
  </si>
  <si>
    <t>ЛТИЯ74112431100000000</t>
  </si>
  <si>
    <t>ЛТИЯ74112431200000000</t>
  </si>
  <si>
    <t>ЛТИЯ74112431300000000</t>
  </si>
  <si>
    <t>ЛТИЯ74112431400000000</t>
  </si>
  <si>
    <t>ЛТИЯ74112431500000000</t>
  </si>
  <si>
    <t>ЛТИЯ74112431600000000</t>
  </si>
  <si>
    <t>ЛТИЯ74112431700000000</t>
  </si>
  <si>
    <t>ЛТИЯ74112431800000000</t>
  </si>
  <si>
    <t>ЛТИЯ74112432200000000</t>
  </si>
  <si>
    <t>ЛТИЯ74112432300000000</t>
  </si>
  <si>
    <t>ЛТИЯ74112432400000000</t>
  </si>
  <si>
    <t>ЛТИЯ74112432500000000</t>
  </si>
  <si>
    <t>ЛТИЯ74112432600000000</t>
  </si>
  <si>
    <t>ЛТИЯ74112432700000000</t>
  </si>
  <si>
    <t>ЛТИЯ74112432800000000</t>
  </si>
  <si>
    <t>ЛТИЯ74112433000000000</t>
  </si>
  <si>
    <t>ЛТИЯ74112433300000000</t>
  </si>
  <si>
    <t>ЛТИЯ74112433500000000</t>
  </si>
  <si>
    <t>ЛТИЯ74112433500000001</t>
  </si>
  <si>
    <t>ЛТИЯ74112433600000000</t>
  </si>
  <si>
    <t>ЛТИЯ74112433600000001</t>
  </si>
  <si>
    <t>ЛТИЯ74112433700000000</t>
  </si>
  <si>
    <t>ЛТИЯ74112433800000000</t>
  </si>
  <si>
    <t>ЛТИЯ74112434300000000</t>
  </si>
  <si>
    <t>ЛТИЯ74112434500000000</t>
  </si>
  <si>
    <t>ЛТИЯ74112434500000001</t>
  </si>
  <si>
    <t>ЛТИЯ74112434700000000</t>
  </si>
  <si>
    <t>ЛТИЯ74112435300000000</t>
  </si>
  <si>
    <t>ЛТИЯ74112436400000000</t>
  </si>
  <si>
    <t>ЛТИЯ74112436500000000</t>
  </si>
  <si>
    <t>ЛТИЯ74112437400000000</t>
  </si>
  <si>
    <t>ЛТИЯ74112437500000000</t>
  </si>
  <si>
    <t>ЛТИЯ74112437700000000</t>
  </si>
  <si>
    <t>ЛТИЯ74112437800000000</t>
  </si>
  <si>
    <t>ЛТИЯ74112437900000000</t>
  </si>
  <si>
    <t>ЛТИЯ74112438000000000</t>
  </si>
  <si>
    <t>ЛТИЯ74112438100000000</t>
  </si>
  <si>
    <t>ЛТИЯ74112438100000001</t>
  </si>
  <si>
    <t>ЛТИЯ74112438200000000</t>
  </si>
  <si>
    <t>ЛТИЯ74112438300000000</t>
  </si>
  <si>
    <t>ЛТИЯ74112438400000000</t>
  </si>
  <si>
    <t>ЛТИЯ74112438400000001</t>
  </si>
  <si>
    <t>ЛТИЯ74112438400000003</t>
  </si>
  <si>
    <t>ЛТИЯ74112438400000004</t>
  </si>
  <si>
    <t>ЛТИЯ74112438400000005</t>
  </si>
  <si>
    <t>ЛТИЯ74112438400000006</t>
  </si>
  <si>
    <t>ЛТИЯ74112438400000007</t>
  </si>
  <si>
    <t>ЛТИЯ74112438400000010</t>
  </si>
  <si>
    <t>ЛТИЯ74112439100000000</t>
  </si>
  <si>
    <t>ЛТИЯ74112439200000000</t>
  </si>
  <si>
    <t>ЛТИЯ74112439600000000</t>
  </si>
  <si>
    <t>ЛТИЯ74112447900000000</t>
  </si>
  <si>
    <t>ЛТИЯ74112448000000000</t>
  </si>
  <si>
    <t>ЛТИЯ74112453700000000</t>
  </si>
  <si>
    <t>ЛТИЯ74112454300000000</t>
  </si>
  <si>
    <t>ЛТИЯ74112454500000000</t>
  </si>
  <si>
    <t>ЛТИЯ74112455900000000</t>
  </si>
  <si>
    <t>ЛТИЯ74112460800000000</t>
  </si>
  <si>
    <t>ЛТИЯ74112462500000000</t>
  </si>
  <si>
    <t>ЛТИЯ74112463600000000</t>
  </si>
  <si>
    <t>ЛТИЯ74112464100000000</t>
  </si>
  <si>
    <t>ЛТИЯ74112465400000000</t>
  </si>
  <si>
    <t>ЛТИЯ74112468800000000</t>
  </si>
  <si>
    <t>ЛТИЯ74112469000000000</t>
  </si>
  <si>
    <t>ЛТИЯ74112472700000000</t>
  </si>
  <si>
    <t>ЛТИЯ74112472800000000</t>
  </si>
  <si>
    <t>ЛТИЯ74112472900000000</t>
  </si>
  <si>
    <t>ЛТИЯ74112472900000001</t>
  </si>
  <si>
    <t>ЛТИЯ74112474400000000</t>
  </si>
  <si>
    <t>ЛТИЯ74112474700000000</t>
  </si>
  <si>
    <t>ЛТИЯ74112476600000000</t>
  </si>
  <si>
    <t>ЛТИЯ74112477200000000</t>
  </si>
  <si>
    <t>ЛТИЯ74112477200000001</t>
  </si>
  <si>
    <t>ЛТИЯ74112481000000000</t>
  </si>
  <si>
    <t>ЛТИЯ74112485100000000</t>
  </si>
  <si>
    <t>ЛТИЯ74112492000000000</t>
  </si>
  <si>
    <t>ЛТИЯ74112603500000000</t>
  </si>
  <si>
    <t>ЛТИЯ74112603500000001</t>
  </si>
  <si>
    <t>ЛТИЯ74112603500000002</t>
  </si>
  <si>
    <t>ЛТИЯ74112801400000000</t>
  </si>
  <si>
    <t>ЛТИЯ74112802000000000</t>
  </si>
  <si>
    <t>ЛТИЯ74112802300000000</t>
  </si>
  <si>
    <t>ЛТИЯ74112802400000000</t>
  </si>
  <si>
    <t>ЛТИЯ74112803100000000</t>
  </si>
  <si>
    <t>ЛТИЯ74112803200000000</t>
  </si>
  <si>
    <t>ЛТИЯ74112803300000000</t>
  </si>
  <si>
    <t>ЛТИЯ74112803400000000</t>
  </si>
  <si>
    <t>ЛТИЯ74112803800000000</t>
  </si>
  <si>
    <t>ЛТИЯ74112803900000000</t>
  </si>
  <si>
    <t>ЛТИЯ74112804000000000</t>
  </si>
  <si>
    <t>ЛТИЯ74112804100000000</t>
  </si>
  <si>
    <t>ЛТИЯ74112804200000000</t>
  </si>
  <si>
    <t>ЛТИЯ74112804400000000</t>
  </si>
  <si>
    <t>ЛТИЯ74112804500000000</t>
  </si>
  <si>
    <t>ЛТИЯ74112805100000000</t>
  </si>
  <si>
    <t>ЛТИЯ74112805400000000</t>
  </si>
  <si>
    <t>ЛТИЯ74112805600000000</t>
  </si>
  <si>
    <t>ЛТИЯ74112805700000000</t>
  </si>
  <si>
    <t>ЛТИЯ74112808800000001</t>
  </si>
  <si>
    <t>ЛТИЯ74112847800000000</t>
  </si>
  <si>
    <t>ЛТИЯ74112847900000000</t>
  </si>
  <si>
    <t>ЛТИЯ74112848000000000</t>
  </si>
  <si>
    <t>ЛТИЯ74112848300000000</t>
  </si>
  <si>
    <t>ЛТИЯ74112848500000000</t>
  </si>
  <si>
    <t>ЛТИЯ74113104700000000</t>
  </si>
  <si>
    <t>ЛТИЯ74113104900000000</t>
  </si>
  <si>
    <t>ЛТИЯ74113105000000000</t>
  </si>
  <si>
    <t>ЛТИЯ74113106600000000</t>
  </si>
  <si>
    <t>ЛТИЯ74113106600000001</t>
  </si>
  <si>
    <t>ЛТИЯ74113107100000000</t>
  </si>
  <si>
    <t>ЛТИЯ74113107100000001</t>
  </si>
  <si>
    <t>ЛТИЯ74113107800000000</t>
  </si>
  <si>
    <t>ЛТИЯ74113107800000001</t>
  </si>
  <si>
    <t>ЛТИЯ74113107900000000</t>
  </si>
  <si>
    <t>ЛТИЯ74113115800000000</t>
  </si>
  <si>
    <t>ЛТИЯ74113116000000001</t>
  </si>
  <si>
    <t>ЛТИЯ74113116100000001</t>
  </si>
  <si>
    <t>ЛТИЯ74113117400000000</t>
  </si>
  <si>
    <t>ЛТИЯ74113119200000000</t>
  </si>
  <si>
    <t>ЛТИЯ74113119200000001</t>
  </si>
  <si>
    <t>ЛТИЯ74113119500000000</t>
  </si>
  <si>
    <t>ЛТИЯ74113119800000000</t>
  </si>
  <si>
    <t>ЛТИЯ74113119900000000</t>
  </si>
  <si>
    <t>ЛТИЯ74113121300000000</t>
  </si>
  <si>
    <t>ЛТИЯ74113121400000000</t>
  </si>
  <si>
    <t>ЛТИЯ74113121600000000</t>
  </si>
  <si>
    <t>ЛТИЯ74113408600000000</t>
  </si>
  <si>
    <t>ЛТИЯ74113414100000000</t>
  </si>
  <si>
    <t>ЛТИЯ74113414100000001</t>
  </si>
  <si>
    <t>ЛТИЯ74113414400000000</t>
  </si>
  <si>
    <t>ЛТИЯ74113415400000000</t>
  </si>
  <si>
    <t>ЛТИЯ74113415500000000</t>
  </si>
  <si>
    <t>ЛТИЯ74113415600000000</t>
  </si>
  <si>
    <t>ЛТИЯ74113415800000000</t>
  </si>
  <si>
    <t>ЛТИЯ74113426100000001</t>
  </si>
  <si>
    <t>ЛТИЯ74113426600000000</t>
  </si>
  <si>
    <t>ЛТИЯ74113426600000001</t>
  </si>
  <si>
    <t>ЛТИЯ74113426700000000</t>
  </si>
  <si>
    <t>ЛТИЯ74113428200000000</t>
  </si>
  <si>
    <t>ЛТИЯ74113428200000001</t>
  </si>
  <si>
    <t>ЛТИЯ74113428200000002</t>
  </si>
  <si>
    <t>ЛТИЯ74113428300000000</t>
  </si>
  <si>
    <t>ЛТИЯ74113428500000000</t>
  </si>
  <si>
    <t>ЛТИЯ74113428600000000</t>
  </si>
  <si>
    <t>ЛТИЯ74113429500000000</t>
  </si>
  <si>
    <t>ЛТИЯ74113429500000001</t>
  </si>
  <si>
    <t>ЛТИЯ74113429600000000</t>
  </si>
  <si>
    <t>ЛТИЯ74113429600000001</t>
  </si>
  <si>
    <t>ЛТИЯ74113429700000000</t>
  </si>
  <si>
    <t>ЛТИЯ74113429700000001</t>
  </si>
  <si>
    <t>ЛТИЯ74113429800000000</t>
  </si>
  <si>
    <t>ЛТИЯ74113429800000001</t>
  </si>
  <si>
    <t>ЛТИЯ74113429900000000</t>
  </si>
  <si>
    <t>ЛТИЯ74113430000000000</t>
  </si>
  <si>
    <t>ЛТИЯ74113430100000000</t>
  </si>
  <si>
    <t>ЛТИЯ74113431100000000</t>
  </si>
  <si>
    <t>ЛТИЯ74113431100000001</t>
  </si>
  <si>
    <t>ЛТИЯ74113431200000000</t>
  </si>
  <si>
    <t>ЛТИЯ74113431200000001</t>
  </si>
  <si>
    <t>ЛТИЯ74113431300000000</t>
  </si>
  <si>
    <t>ЛТИЯ74113431300000001</t>
  </si>
  <si>
    <t>ЛТИЯ74113431500000000</t>
  </si>
  <si>
    <t>ЛТИЯ74113431600000000</t>
  </si>
  <si>
    <t>ЛТИЯ74113431600000001</t>
  </si>
  <si>
    <t>ЛТИЯ74113431700000000</t>
  </si>
  <si>
    <t>ЛТИЯ74113431700000001</t>
  </si>
  <si>
    <t>ЛТИЯ74113431800000000</t>
  </si>
  <si>
    <t>ЛТИЯ74113432000000000</t>
  </si>
  <si>
    <t>ЛТИЯ74113432000000001</t>
  </si>
  <si>
    <t>ЛТИЯ74113432100000000</t>
  </si>
  <si>
    <t>ЛТИЯ74113432100000001</t>
  </si>
  <si>
    <t>ЛТИЯ74113432500000000</t>
  </si>
  <si>
    <t>ЛТИЯ74113432600000000</t>
  </si>
  <si>
    <t>ЛТИЯ74113432700000000</t>
  </si>
  <si>
    <t>ЛТИЯ74113432800000001</t>
  </si>
  <si>
    <t>ЛТИЯ74113432900000000</t>
  </si>
  <si>
    <t>ЛТИЯ74113433100000000</t>
  </si>
  <si>
    <t>ЛТИЯ74113433400000000</t>
  </si>
  <si>
    <t>ЛТИЯ74113433500000000</t>
  </si>
  <si>
    <t>ЛТИЯ74113433600000000</t>
  </si>
  <si>
    <t>ЛТИЯ74113433700000000</t>
  </si>
  <si>
    <t>ЛТИЯ74113434700000000</t>
  </si>
  <si>
    <t>ЛТИЯ74113434700000001</t>
  </si>
  <si>
    <t>ЛТИЯ74113434700000002</t>
  </si>
  <si>
    <t>ЛТИЯ74113434800000000</t>
  </si>
  <si>
    <t>ЛТИЯ74113435200000000</t>
  </si>
  <si>
    <t>ЛТИЯ74113435500000000</t>
  </si>
  <si>
    <t>ЛТИЯ74113435800000000</t>
  </si>
  <si>
    <t>ЛТИЯ74113435900000000</t>
  </si>
  <si>
    <t>ЛТИЯ74113436000000000</t>
  </si>
  <si>
    <t>ЛТИЯ74113436300000000</t>
  </si>
  <si>
    <t>ЛТИЯ74113436300000001</t>
  </si>
  <si>
    <t>ЛТИЯ74113436500000000</t>
  </si>
  <si>
    <t>ЛТИЯ74113436500000001</t>
  </si>
  <si>
    <t>ЛТИЯ74113454800000000</t>
  </si>
  <si>
    <t>ЛТИЯ74113454900000000</t>
  </si>
  <si>
    <t>ЛТИЯ74113455400000000</t>
  </si>
  <si>
    <t>ЛТИЯ74113460500000000</t>
  </si>
  <si>
    <t>ЛТИЯ74113460600000000</t>
  </si>
  <si>
    <t>ЛТИЯ74113460600000001</t>
  </si>
  <si>
    <t>ЛТИЯ74113460600000002</t>
  </si>
  <si>
    <t>ЛТИЯ74113460600000003</t>
  </si>
  <si>
    <t>ЛТИЯ74113460600000004</t>
  </si>
  <si>
    <t>ЛТИЯ74113460600000005</t>
  </si>
  <si>
    <t>ЛТИЯ74113464300000000</t>
  </si>
  <si>
    <t>ЛТИЯ74113464600000000</t>
  </si>
  <si>
    <t>ЛТИЯ74113464700000000</t>
  </si>
  <si>
    <t>ЛТИЯ74113466800000000</t>
  </si>
  <si>
    <t>ЛТИЯ74113466800000001</t>
  </si>
  <si>
    <t>ЛТИЯ74113466900000000</t>
  </si>
  <si>
    <t>ЛТИЯ74113467000000000</t>
  </si>
  <si>
    <t>ЛТИЯ74113470500000000</t>
  </si>
  <si>
    <t>ЛТИЯ74113475500000000</t>
  </si>
  <si>
    <t>ЛТИЯ74113475500000001</t>
  </si>
  <si>
    <t>ЛТИЯ74113475500000002</t>
  </si>
  <si>
    <t>ЛТИЯ74113475500000003</t>
  </si>
  <si>
    <t>ЛТИЯ74113475500000008</t>
  </si>
  <si>
    <t>ЛТИЯ74113475500000010</t>
  </si>
  <si>
    <t>ЛТИЯ74113475500000012</t>
  </si>
  <si>
    <t>ЛТИЯ74113475500000013</t>
  </si>
  <si>
    <t>ЛТИЯ74113475500000014</t>
  </si>
  <si>
    <t>ЛТИЯ74113475800000000</t>
  </si>
  <si>
    <t>ЛТИЯ74113475900000000</t>
  </si>
  <si>
    <t>ЛТИЯ74113476000000000</t>
  </si>
  <si>
    <t>ЛТИЯ74113476100000000</t>
  </si>
  <si>
    <t>ЛТИЯ74113476200000000</t>
  </si>
  <si>
    <t>ЛТИЯ74113476400000000</t>
  </si>
  <si>
    <t>ЛТИЯ74113476500000000</t>
  </si>
  <si>
    <t>ЛТИЯ74113476600000000</t>
  </si>
  <si>
    <t>ЛТИЯ74113476700000000</t>
  </si>
  <si>
    <t>ЛТИЯ74113476800000000</t>
  </si>
  <si>
    <t>ЛТИЯ74113476900000000</t>
  </si>
  <si>
    <t>ЛТИЯ74113477000000000</t>
  </si>
  <si>
    <t>ЛТИЯ74113477100000000</t>
  </si>
  <si>
    <t>ЛТИЯ74113477200000000</t>
  </si>
  <si>
    <t>ЛТИЯ74113477200000001</t>
  </si>
  <si>
    <t>ЛТИЯ74113477200000002</t>
  </si>
  <si>
    <t>ЛТИЯ74113477300000000</t>
  </si>
  <si>
    <t>ЛТИЯ74113477300000001</t>
  </si>
  <si>
    <t>ЛТИЯ74113478300000000</t>
  </si>
  <si>
    <t>ЛТИЯ74113480500000000</t>
  </si>
  <si>
    <t>ЛТИЯ74113480600000000</t>
  </si>
  <si>
    <t>ЛТИЯ74113482600000000</t>
  </si>
  <si>
    <t>ЛТИЯ74113482600000001</t>
  </si>
  <si>
    <t>ЛТИЯ74113482700000000</t>
  </si>
  <si>
    <t>ЛТИЯ74113483300000000</t>
  </si>
  <si>
    <t>ЛТИЯ74113483500000000</t>
  </si>
  <si>
    <t>ЛТИЯ74113483600000000</t>
  </si>
  <si>
    <t>ЛТИЯ74113489100000000</t>
  </si>
  <si>
    <t>ЛТИЯ74113490400000000</t>
  </si>
  <si>
    <t>ЛТИЯ74113499300000000</t>
  </si>
  <si>
    <t>ЛТИЯ74113499300000001</t>
  </si>
  <si>
    <t>ЛТИЯ74113600700000000</t>
  </si>
  <si>
    <t>ЛТИЯ74113600800000000</t>
  </si>
  <si>
    <t>ЛТИЯ74113700700000000</t>
  </si>
  <si>
    <t>ЛТИЯ74113802100000000</t>
  </si>
  <si>
    <t>ЛТИЯ74113802100000001</t>
  </si>
  <si>
    <t>ЛТИЯ74113802200000000</t>
  </si>
  <si>
    <t>ЛТИЯ74113802200000001</t>
  </si>
  <si>
    <t>ЛТИЯ74113802300000000</t>
  </si>
  <si>
    <t>ЛТИЯ74113802600000003</t>
  </si>
  <si>
    <t>ЛТИЯ74113802700000000</t>
  </si>
  <si>
    <t>ЛТИЯ74113802700000006</t>
  </si>
  <si>
    <t>ЛТИЯ74113802700000007</t>
  </si>
  <si>
    <t>ЛТИЯ74113802700000011</t>
  </si>
  <si>
    <t>ЛТИЯ74113802700000013</t>
  </si>
  <si>
    <t>ЛТИЯ74113802800000001</t>
  </si>
  <si>
    <t>ЛТИЯ74113802800000006</t>
  </si>
  <si>
    <t>ЛТИЯ74113805200000000</t>
  </si>
  <si>
    <t>ЛТИЯ74113806900000000</t>
  </si>
  <si>
    <t>ЛТИЯ74113807900000000</t>
  </si>
  <si>
    <t>ЛТИЯ74113808000000000</t>
  </si>
  <si>
    <t>ЛТИЯ74113808100000000</t>
  </si>
  <si>
    <t>ЛТИЯ74113808800000000</t>
  </si>
  <si>
    <t>ЛТИЯ74113812300000000</t>
  </si>
  <si>
    <t>ЛТИЯ74113815500000000</t>
  </si>
  <si>
    <t>ЛТИЯ74113815500000001</t>
  </si>
  <si>
    <t>ЛТИЯ74113815500000002</t>
  </si>
  <si>
    <t>ЛТИЯ74113815600000000</t>
  </si>
  <si>
    <t>ЛТИЯ74113815600000001</t>
  </si>
  <si>
    <t>ЛТИЯ74113815600000002</t>
  </si>
  <si>
    <t>ЛТИЯ74113816500000000</t>
  </si>
  <si>
    <t>ЛТИЯ74113816600000000</t>
  </si>
  <si>
    <t>ЛТИЯ74113816800000000</t>
  </si>
  <si>
    <t>ЛТИЯ74113816900000000</t>
  </si>
  <si>
    <t>ЛТИЯ74113817500000000</t>
  </si>
  <si>
    <t>ЛТИЯ74113818200000000</t>
  </si>
  <si>
    <t>ЛТИЯ74113818300000000</t>
  </si>
  <si>
    <t>ЛТИЯ74113818400000000</t>
  </si>
  <si>
    <t>ЛТИЯ74113818500000000</t>
  </si>
  <si>
    <t>ЛТИЯ74113818600000000</t>
  </si>
  <si>
    <t>ЛТИЯ74113818700000000</t>
  </si>
  <si>
    <t>ЛТИЯ74113818800000000</t>
  </si>
  <si>
    <t>ЛТИЯ74113818900000000</t>
  </si>
  <si>
    <t>ЛТИЯ74113819000000000</t>
  </si>
  <si>
    <t>ЛТИЯ74113819100000000</t>
  </si>
  <si>
    <t>ЛТИЯ74113822900000000</t>
  </si>
  <si>
    <t>ЛТИЯ74113823200000000</t>
  </si>
  <si>
    <t>ЛТИЯ74113823200000001</t>
  </si>
  <si>
    <t>ЛТИЯ74113823200000002</t>
  </si>
  <si>
    <t>ЛТИЯ74113823200000003</t>
  </si>
  <si>
    <t>ЛТИЯ74113823300000000</t>
  </si>
  <si>
    <t>ЛТИЯ74113823300000001</t>
  </si>
  <si>
    <t>ЛТИЯ74113823300000002</t>
  </si>
  <si>
    <t>ЛТИЯ74113823300000003</t>
  </si>
  <si>
    <t>ЛТИЯ74113823400000000</t>
  </si>
  <si>
    <t>ЛТИЯ74113823400000001</t>
  </si>
  <si>
    <t>ЛТИЯ74113823400000002</t>
  </si>
  <si>
    <t>ЛТИЯ74113823400000003</t>
  </si>
  <si>
    <t>ЛТИЯ74113823400000004</t>
  </si>
  <si>
    <t>ЛТИЯ74113825800000000</t>
  </si>
  <si>
    <t>ЛТИЯ74113825800000001</t>
  </si>
  <si>
    <t>ЛТИЯ74113825800000002</t>
  </si>
  <si>
    <t>ЛТИЯ74113826100000000</t>
  </si>
  <si>
    <t>ЛТИЯ74113826100000001</t>
  </si>
  <si>
    <t>ЛТИЯ74113826100000002</t>
  </si>
  <si>
    <t>ЛТИЯ74113826100000003</t>
  </si>
  <si>
    <t>ЛТИЯ74114101500000000</t>
  </si>
  <si>
    <t>ЛТИЯ74114101600000000</t>
  </si>
  <si>
    <t>ЛТИЯ74114101700000000</t>
  </si>
  <si>
    <t>ЛТИЯ74114101800000000</t>
  </si>
  <si>
    <t>ЛТИЯ74114101800000001</t>
  </si>
  <si>
    <t>ЛТИЯ74114101900000000</t>
  </si>
  <si>
    <t>ЛТИЯ74114101900000001</t>
  </si>
  <si>
    <t>ЛТИЯ74114102000000000</t>
  </si>
  <si>
    <t>ЛТИЯ74114102000000001</t>
  </si>
  <si>
    <t>ЛТИЯ74114102100000000</t>
  </si>
  <si>
    <t>ЛТИЯ74114400200000003</t>
  </si>
  <si>
    <t>ЛТИЯ74114400200000009</t>
  </si>
  <si>
    <t>ЛТИЯ74114400200000010</t>
  </si>
  <si>
    <t>ЛТИЯ74114400200000011</t>
  </si>
  <si>
    <t>ЛТИЯ74114400200000013</t>
  </si>
  <si>
    <t>ЛТИЯ74114400200000018</t>
  </si>
  <si>
    <t>ЛТИЯ74114400200000021</t>
  </si>
  <si>
    <t>ЛТИЯ74114400300000000</t>
  </si>
  <si>
    <t>ЛТИЯ74114400300000001</t>
  </si>
  <si>
    <t>ЛТИЯ74114400300000006</t>
  </si>
  <si>
    <t>ЛТИЯ74114400300000033</t>
  </si>
  <si>
    <t>ЛТИЯ74114400300000034</t>
  </si>
  <si>
    <t>ЛТИЯ74114400400000002</t>
  </si>
  <si>
    <t>ЛТИЯ74114400400000003</t>
  </si>
  <si>
    <t>ЛТИЯ74114400400000010</t>
  </si>
  <si>
    <t>ЛТИЯ74114400400000012</t>
  </si>
  <si>
    <t>ЛТИЯ74114400400000016</t>
  </si>
  <si>
    <t>ЛТИЯ74114400400000018</t>
  </si>
  <si>
    <t>ЛТИЯ74114400400000022</t>
  </si>
  <si>
    <t>ЛТИЯ74114400400000034</t>
  </si>
  <si>
    <t>ЛТИЯ74114400400000036</t>
  </si>
  <si>
    <t>ЛТИЯ74114400400000037</t>
  </si>
  <si>
    <t>ЛТИЯ74114400400000040</t>
  </si>
  <si>
    <t>ЛТИЯ74114400400000042</t>
  </si>
  <si>
    <t>ЛТИЯ74114400400000043</t>
  </si>
  <si>
    <t>ЛТИЯ74114400400000093</t>
  </si>
  <si>
    <t>ЛТИЯ74114400400000094</t>
  </si>
  <si>
    <t>ЛТИЯ74114400400000107</t>
  </si>
  <si>
    <t>ЛТИЯ74114400400000109</t>
  </si>
  <si>
    <t>ЛТИЯ74114400400000110</t>
  </si>
  <si>
    <t>ЛТИЯ74114400400000111</t>
  </si>
  <si>
    <t>ЛТИЯ74114400400000112</t>
  </si>
  <si>
    <t>ЛТИЯ74114400500000000</t>
  </si>
  <si>
    <t>ЛТИЯ74114400600000000</t>
  </si>
  <si>
    <t>ЛТИЯ74114400700000000</t>
  </si>
  <si>
    <t>ЛТИЯ74114400800000000</t>
  </si>
  <si>
    <t>ЛТИЯ74114400900000000</t>
  </si>
  <si>
    <t>ЛТИЯ74114401100000000</t>
  </si>
  <si>
    <t>ЛТИЯ74114401200000000</t>
  </si>
  <si>
    <t>ЛТИЯ74114401300000000</t>
  </si>
  <si>
    <t>ЛТИЯ74114401400000000</t>
  </si>
  <si>
    <t>ЛТИЯ74114401500000000</t>
  </si>
  <si>
    <t>ЛТИЯ74114401600000000</t>
  </si>
  <si>
    <t>ЛТИЯ74114401700000000</t>
  </si>
  <si>
    <t>ЛТИЯ74114401900000000</t>
  </si>
  <si>
    <t>ЛТИЯ74114401900000001</t>
  </si>
  <si>
    <t>ЛТИЯ74114401900000002</t>
  </si>
  <si>
    <t>ЛТИЯ74114401900000003</t>
  </si>
  <si>
    <t>ЛТИЯ74114401900000004</t>
  </si>
  <si>
    <t>ЛТИЯ74114401900000006</t>
  </si>
  <si>
    <t>ЛТИЯ74114401900000007</t>
  </si>
  <si>
    <t>ЛТИЯ74114401900000008</t>
  </si>
  <si>
    <t>ЛТИЯ74114401900000009</t>
  </si>
  <si>
    <t>ЛТИЯ74114401900000010</t>
  </si>
  <si>
    <t>ЛТИЯ74114402000000000</t>
  </si>
  <si>
    <t>ЛТИЯ74114402000000001</t>
  </si>
  <si>
    <t>ЛТИЯ74114402100000000</t>
  </si>
  <si>
    <t>ЛТИЯ74114402100000001</t>
  </si>
  <si>
    <t>ЛТИЯ74114402200000000</t>
  </si>
  <si>
    <t>ЛТИЯ74114402300000001</t>
  </si>
  <si>
    <t>ЛТИЯ74114402400000000</t>
  </si>
  <si>
    <t>ЛТИЯ74114402400000001</t>
  </si>
  <si>
    <t>ЛТИЯ74114402500000000</t>
  </si>
  <si>
    <t>ЛТИЯ74114402600000000</t>
  </si>
  <si>
    <t>ЛТИЯ74114402700000000</t>
  </si>
  <si>
    <t>ЛТИЯ74114402700000001</t>
  </si>
  <si>
    <t>ЛТИЯ74114402700000002</t>
  </si>
  <si>
    <t>ЛТИЯ74114402700000003</t>
  </si>
  <si>
    <t>ЛТИЯ74114402800000000</t>
  </si>
  <si>
    <t>ЛТИЯ74114402900000000</t>
  </si>
  <si>
    <t>ЛТИЯ74114402900000001</t>
  </si>
  <si>
    <t>ЛТИЯ74114403000000000</t>
  </si>
  <si>
    <t>ЛТИЯ74114403100000000</t>
  </si>
  <si>
    <t>ЛТИЯ74114403200000000</t>
  </si>
  <si>
    <t>ЛТИЯ74114403300000000</t>
  </si>
  <si>
    <t>ЛТИЯ74114403400000000</t>
  </si>
  <si>
    <t>ЛТИЯ74114403500000000</t>
  </si>
  <si>
    <t>ЛТИЯ74114403800000000</t>
  </si>
  <si>
    <t>ЛТИЯ74114403800000001</t>
  </si>
  <si>
    <t>ЛТИЯ74114403800000002</t>
  </si>
  <si>
    <t>ЛТИЯ74114403900000000</t>
  </si>
  <si>
    <t>ЛТИЯ74114600200000000</t>
  </si>
  <si>
    <t>ЛТИЯ74114600300000000</t>
  </si>
  <si>
    <t>ЛТИЯ74114800200000000</t>
  </si>
  <si>
    <t>ЛТИЯ74114800300000000</t>
  </si>
  <si>
    <t>ЛТИЯ74114800400000000</t>
  </si>
  <si>
    <t>ЛТИЯ74114800400000001</t>
  </si>
  <si>
    <t>ЛТИЯ74114800500000000</t>
  </si>
  <si>
    <t>ЛТИЯ74116801700000000</t>
  </si>
  <si>
    <t>ЛТИЯ74116801700000001</t>
  </si>
  <si>
    <t>ЛТИЯ74120000900000000</t>
  </si>
  <si>
    <t>ЛТИЯ74121106200000000</t>
  </si>
  <si>
    <t>ЛТИЯ74121106200000001</t>
  </si>
  <si>
    <t>ЛТИЯ74121106300000000</t>
  </si>
  <si>
    <t>ЛТИЯ74121107000000000</t>
  </si>
  <si>
    <t>ЛТИЯ74121107200000000</t>
  </si>
  <si>
    <t>ЛТИЯ74121400400000000</t>
  </si>
  <si>
    <t>ЛТИЯ74121400400000001</t>
  </si>
  <si>
    <t>ЛТИЯ74121400500000000</t>
  </si>
  <si>
    <t>ЛТИЯ74121400500000001</t>
  </si>
  <si>
    <t>ЛТИЯ74121400600000000</t>
  </si>
  <si>
    <t>ЛТИЯ74121400900000000</t>
  </si>
  <si>
    <t>ЛТИЯ74121401100000000</t>
  </si>
  <si>
    <t>ЛТИЯ74121402900000000</t>
  </si>
  <si>
    <t>ЛТИЯ74121404300000000</t>
  </si>
  <si>
    <t>ЛТИЯ74121405900000000</t>
  </si>
  <si>
    <t>ЛТИЯ74121406000000000</t>
  </si>
  <si>
    <t>ЛТИЯ74121406700000000</t>
  </si>
  <si>
    <t>ЛТИЯ74121406800000000</t>
  </si>
  <si>
    <t>ЛТИЯ74121407000000000</t>
  </si>
  <si>
    <t>ЛТИЯ74121407100000000</t>
  </si>
  <si>
    <t>ЛТИЯ74121407200000000</t>
  </si>
  <si>
    <t>ЛТИЯ74121600400000000</t>
  </si>
  <si>
    <t>ЛТИЯ74121808500000000</t>
  </si>
  <si>
    <t>ЛТИЯ74122401600000000</t>
  </si>
  <si>
    <t>ЛТИЯ74122401700000000</t>
  </si>
  <si>
    <t>ЛТИЯ74122401800000000</t>
  </si>
  <si>
    <t>ЛТИЯ74122402100000000</t>
  </si>
  <si>
    <t>ЛТИЯ74122402200000000</t>
  </si>
  <si>
    <t>ЛТИЯ74122402300000000</t>
  </si>
  <si>
    <t>ЛТИЯ74122403700000000</t>
  </si>
  <si>
    <t>ЛТИЯ74122404600000000</t>
  </si>
  <si>
    <t>ЛТИЯ74122406100000000</t>
  </si>
  <si>
    <t>ЛТИЯ74123401700000000</t>
  </si>
  <si>
    <t>ЛТИЯ74123402000000000</t>
  </si>
  <si>
    <t>ЛТИЯ74123402500000000</t>
  </si>
  <si>
    <t>ЛТИЯ74123403000000000</t>
  </si>
  <si>
    <t>ЛТИЯ74124100900000000</t>
  </si>
  <si>
    <t>ЛТИЯ74124401400000000</t>
  </si>
  <si>
    <t>ЛТИЯ74125400200000000</t>
  </si>
  <si>
    <t>ЛТИЯ74126100600000000</t>
  </si>
  <si>
    <t>ЛТИЯ74126103300000000</t>
  </si>
  <si>
    <t>ЛТИЯ74126103300000001</t>
  </si>
  <si>
    <t>ЛТИЯ74126400100000000</t>
  </si>
  <si>
    <t>ЛТИЯ74126400500000000</t>
  </si>
  <si>
    <t>ЛТИЯ74126400600000000</t>
  </si>
  <si>
    <t>ЛТИЯ74126800300000000</t>
  </si>
  <si>
    <t>ЛТИЯ74127401000000000</t>
  </si>
  <si>
    <t>ЛТИЯ74127401100000000</t>
  </si>
  <si>
    <t>ЛТИЯ74131101900000000</t>
  </si>
  <si>
    <t>ЛТИЯ74131400900000000</t>
  </si>
  <si>
    <t>ЛТИЯ74131401000000000</t>
  </si>
  <si>
    <t>ЛТИЯ74131401100000000</t>
  </si>
  <si>
    <t>ЛТИЯ74131402500000000</t>
  </si>
  <si>
    <t>ЛТИЯ74131800600000000</t>
  </si>
  <si>
    <t>ЛТИЯ74133101000000000</t>
  </si>
  <si>
    <t>ЛТИЯ74133401000000000</t>
  </si>
  <si>
    <t>ЛТИЯ74133401100000000</t>
  </si>
  <si>
    <t>ЛТИЯ74133401100000001</t>
  </si>
  <si>
    <t>ЛТИЯ74133401700000000</t>
  </si>
  <si>
    <t>лтия74133800700000000</t>
  </si>
  <si>
    <t>ЛТИЯ74134400800000000</t>
  </si>
  <si>
    <t>ЛТИЯ74134400900000000</t>
  </si>
  <si>
    <t>ЛТИЯ74134400900000001</t>
  </si>
  <si>
    <t>ЛТИЯ74134400900000002</t>
  </si>
  <si>
    <t>ЛТИЯ74134400900000003</t>
  </si>
  <si>
    <t>ЛТИЯ74134400900000004</t>
  </si>
  <si>
    <t>ЛТИЯ74134401100000000</t>
  </si>
  <si>
    <t>ЛТИЯ74134401700000000</t>
  </si>
  <si>
    <t>ЛТИЯ74134402000000000</t>
  </si>
  <si>
    <t>ЛТИЯ74134402100000000</t>
  </si>
  <si>
    <t>ЛТИЯ74134402100000001</t>
  </si>
  <si>
    <t>ЛТИЯ74134402200000000</t>
  </si>
  <si>
    <t>ЛТИЯ74134402300000000</t>
  </si>
  <si>
    <t>ЛТИЯ74134403600000000</t>
  </si>
  <si>
    <t>ЛТИЯ74134404800000000</t>
  </si>
  <si>
    <t>ЛТИЯ74134404900000000</t>
  </si>
  <si>
    <t>ЛТИЯ74134404900000001</t>
  </si>
  <si>
    <t>ЛТИЯ74134600500000000</t>
  </si>
  <si>
    <t>ЛТИЯ74134600500000001</t>
  </si>
  <si>
    <t>ЛТИЯ74134600500000002</t>
  </si>
  <si>
    <t>ЛТИЯ74134600500000003</t>
  </si>
  <si>
    <t>ЛТИЯ74134600500000005</t>
  </si>
  <si>
    <t>ЛТИЯ74134800100000000</t>
  </si>
  <si>
    <t>ЛТИЯ74134800100000001</t>
  </si>
  <si>
    <t>ЛТИЯ74134800100000002</t>
  </si>
  <si>
    <t>ЛТИЯ74134800100000003</t>
  </si>
  <si>
    <t>ЛТИЯ74134800100000004</t>
  </si>
  <si>
    <t>ЛТИЯ74134800100000005</t>
  </si>
  <si>
    <t>ЛТИЯ74134800100000006</t>
  </si>
  <si>
    <t>ЛТИЯ74134800100000007</t>
  </si>
  <si>
    <t>ЛТИЯ74134800100000008</t>
  </si>
  <si>
    <t>ЛТИЯ74134800100000010</t>
  </si>
  <si>
    <t>ЛТИЯ74134800100000011</t>
  </si>
  <si>
    <t>ЛТИЯ74135400700000000</t>
  </si>
  <si>
    <t>ЛТИЯ74135401100000000</t>
  </si>
  <si>
    <t>ЛТИЯ74135401200000000</t>
  </si>
  <si>
    <t>ЛТИЯ74135402500000000</t>
  </si>
  <si>
    <t>ЛТИЯ74137600100000000</t>
  </si>
  <si>
    <t>ЛТИЯ74137600100000001</t>
  </si>
  <si>
    <t>ЛТИЯ74137600100000002</t>
  </si>
  <si>
    <t>ЛТИЯ74137600100000003</t>
  </si>
  <si>
    <t>ЛТИЯ74137600100000004</t>
  </si>
  <si>
    <t>ЛТИЯ74142400400000000</t>
  </si>
  <si>
    <t>ЛТИЯ74142401000000000</t>
  </si>
  <si>
    <t>ЛТИЯ74142401300000000</t>
  </si>
  <si>
    <t>ЛТИЯ74142401400000000</t>
  </si>
  <si>
    <t>ЛТИЯ74142415600000000</t>
  </si>
  <si>
    <t>ЛТИЯ74142416300000000</t>
  </si>
  <si>
    <t>ЛТИЯ74142416300000001</t>
  </si>
  <si>
    <t>ЛТИЯ74142416400000000</t>
  </si>
  <si>
    <t>ЛТИЯ74142416400000001</t>
  </si>
  <si>
    <t>ЛТИЯ74142416500000000</t>
  </si>
  <si>
    <t>ЛТИЯ74142416500000001</t>
  </si>
  <si>
    <t>ЛТИЯ74142801300000000</t>
  </si>
  <si>
    <t>ЛТИЯ74142801300000001</t>
  </si>
  <si>
    <t>ЛТИЯ74142801300000002</t>
  </si>
  <si>
    <t>ЛТИЯ74142801600000000</t>
  </si>
  <si>
    <t>ЛТИЯ74145100100000000</t>
  </si>
  <si>
    <t>ЛТИЯ74147100200000000</t>
  </si>
  <si>
    <t>ЛТИЯ74147100300000000</t>
  </si>
  <si>
    <t>ЛТИЯ74151200200000001</t>
  </si>
  <si>
    <t>ЛТИЯ74151200300000000</t>
  </si>
  <si>
    <t>ЛТИЯ74151200400000000</t>
  </si>
  <si>
    <t>ЛТИЯ74151200500000000</t>
  </si>
  <si>
    <t>ЛТИЯ74151200600000000</t>
  </si>
  <si>
    <t>ЛТИЯ74151200700000000</t>
  </si>
  <si>
    <t>ЛТИЯ74151200800000000</t>
  </si>
  <si>
    <t>ЛТИЯ74151200900000000</t>
  </si>
  <si>
    <t>ЛТИЯ74151201200000000</t>
  </si>
  <si>
    <t>ЛТИЯ74151201600000000</t>
  </si>
  <si>
    <t>ЛТИЯ74151201600000001</t>
  </si>
  <si>
    <t>ЛТИЯ74151201700000000</t>
  </si>
  <si>
    <t>ЛТИЯ74152200800000000</t>
  </si>
  <si>
    <t>ЛТИЯ74154200100000000</t>
  </si>
  <si>
    <t>ЛТИЯ74154200200000000</t>
  </si>
  <si>
    <t>ЛТИЯ74154200500000000</t>
  </si>
  <si>
    <t>ЛТИЯ74154200900000000</t>
  </si>
  <si>
    <t>ЛТИЯ74154201000000000</t>
  </si>
  <si>
    <t>ЛТИЯ74154201100000000</t>
  </si>
  <si>
    <t>ЛТИЯ74154201200000000</t>
  </si>
  <si>
    <t>ЛТИЯ74154201400000000</t>
  </si>
  <si>
    <t>ЛТИЯ74154201500000000</t>
  </si>
  <si>
    <t>ЛТИЯ74154201600000000</t>
  </si>
  <si>
    <t>ЛТИЯ74154201700000000</t>
  </si>
  <si>
    <t>ЛТИЯ74154201800000000</t>
  </si>
  <si>
    <t>ЛТИЯ74155200700000000</t>
  </si>
  <si>
    <t>ЛТИЯ74155200800000000</t>
  </si>
  <si>
    <t>ЛТИЯ74155200800000001</t>
  </si>
  <si>
    <t>ЛТИЯ74155201000000000</t>
  </si>
  <si>
    <t>ЛТИЯ74155201100000000</t>
  </si>
  <si>
    <t>ЛТИЯ74155201500000000</t>
  </si>
  <si>
    <t>ЛТИЯ74161200100000000</t>
  </si>
  <si>
    <t>ЛТИЯ74162200500000000</t>
  </si>
  <si>
    <t>ЛТИЯ74215200200000000</t>
  </si>
  <si>
    <t>ЛТИЯ74221200300000000</t>
  </si>
  <si>
    <t>ЛТИЯ74221200300000001</t>
  </si>
  <si>
    <t>ЛТИЯ74221200400000000</t>
  </si>
  <si>
    <t>ЛТИЯ74221200500000000</t>
  </si>
  <si>
    <t>ЛТИЯ74221200500000001</t>
  </si>
  <si>
    <t>ЛТИЯ74221200800000000</t>
  </si>
  <si>
    <t>ЛТИЯ74221200800000001</t>
  </si>
  <si>
    <t>ЛТИЯ74221201200000000</t>
  </si>
  <si>
    <t>ЛТИЯ74222400700000000</t>
  </si>
  <si>
    <t>ЛТИЯ74222400700000001</t>
  </si>
  <si>
    <t>ЛТИЯ74222400800000000</t>
  </si>
  <si>
    <t>ЛТИЯ74222400900000000</t>
  </si>
  <si>
    <t>ЛТИЯ74222401000000000</t>
  </si>
  <si>
    <t>ЛТИЯ74222401100000000</t>
  </si>
  <si>
    <t>ЛТИЯ74511200200000000</t>
  </si>
  <si>
    <t>ЛТИЯ74511200400000000</t>
  </si>
  <si>
    <t>ЛТИЯ74511205700000000</t>
  </si>
  <si>
    <t>ЛТИЯ74511205800000000</t>
  </si>
  <si>
    <t>ЛТИЯ74511206000000000</t>
  </si>
  <si>
    <t>ЛТИЯ74511206100000000</t>
  </si>
  <si>
    <t>ЛТИЯ74511206200000000</t>
  </si>
  <si>
    <t>ЛТИЯ74511206300000000</t>
  </si>
  <si>
    <t>ЛТИЯ74511400100000000</t>
  </si>
  <si>
    <t>ЛТИЯ74511400100000001</t>
  </si>
  <si>
    <t>ЛТИЯ74511400200000000</t>
  </si>
  <si>
    <t>ЛТИЯ74511400200000001</t>
  </si>
  <si>
    <t>ЛТИЯ74511400300000000</t>
  </si>
  <si>
    <t>ЛТИЯ74511400600000000</t>
  </si>
  <si>
    <t>ЛТИЯ74511400800000000</t>
  </si>
  <si>
    <t>ЛТИЯ74512402200000000</t>
  </si>
  <si>
    <t>ЛТИЯ74512402200000001</t>
  </si>
  <si>
    <t>ЛТИЯ74512402300000000</t>
  </si>
  <si>
    <t>ЛТИЯ74512440700000000</t>
  </si>
  <si>
    <t>ЛТИЯ74512440700000002</t>
  </si>
  <si>
    <t>ЛТИЯ74512440700000003</t>
  </si>
  <si>
    <t>ЛТИЯ74515200100000000</t>
  </si>
  <si>
    <t>ЛТИЯ74520002800000000</t>
  </si>
  <si>
    <t>ЛТИЯ74521102100000000</t>
  </si>
  <si>
    <t>ЛТИЯ74521102100000001</t>
  </si>
  <si>
    <t>ЛТИЯ74521102200000000</t>
  </si>
  <si>
    <t>ЛТИЯ74521102500000000</t>
  </si>
  <si>
    <t>ЛТИЯ74521102600000000</t>
  </si>
  <si>
    <t>ЛТИЯ74521102700000000</t>
  </si>
  <si>
    <t>ЛТИЯ74521102800000000</t>
  </si>
  <si>
    <t>ЛТИЯ74521102900000000</t>
  </si>
  <si>
    <t>ЛТИЯ74521103000000000</t>
  </si>
  <si>
    <t>ЛТИЯ74521103800000000</t>
  </si>
  <si>
    <t>ЛТИЯ74521105500000000</t>
  </si>
  <si>
    <t>ЛТИЯ74521105800000000</t>
  </si>
  <si>
    <t>ЛТИЯ74521105800000001</t>
  </si>
  <si>
    <t>ЛТИЯ74521106900000000</t>
  </si>
  <si>
    <t>ЛТИЯ74521204500000000</t>
  </si>
  <si>
    <t>ЛТИЯ74521204700000000</t>
  </si>
  <si>
    <t>ЛТИЯ74521205200000000</t>
  </si>
  <si>
    <t>ЛТИЯ74521205200000001</t>
  </si>
  <si>
    <t>ЛТИЯ74521205400000000</t>
  </si>
  <si>
    <t>ЛТИЯ74521205500000000</t>
  </si>
  <si>
    <t>ЛТИЯ74521205600000000</t>
  </si>
  <si>
    <t>ЛТИЯ74521205600000001</t>
  </si>
  <si>
    <t>ЛТИЯ74521205700000000</t>
  </si>
  <si>
    <t>ЛТИЯ74521205800000000</t>
  </si>
  <si>
    <t>ЛТИЯ74521206400000000</t>
  </si>
  <si>
    <t>ЛТИЯ74521207400000000</t>
  </si>
  <si>
    <t>ЛТИЯ74521207400000001</t>
  </si>
  <si>
    <t>ЛТИЯ74521207500000000</t>
  </si>
  <si>
    <t>ЛТИЯ74521207600000000</t>
  </si>
  <si>
    <t>ЛТИЯ74521207600000001</t>
  </si>
  <si>
    <t>ЛТИЯ74521209500000000</t>
  </si>
  <si>
    <t>ЛТИЯ74521211500000000</t>
  </si>
  <si>
    <t>ЛТИЯ74521211700000000</t>
  </si>
  <si>
    <t>ЛТИЯ74521212400000000</t>
  </si>
  <si>
    <t>ЛТИЯ74521213700000000</t>
  </si>
  <si>
    <t>ЛТИЯ74521500400000000</t>
  </si>
  <si>
    <t>ЛТИЯ74521600500000000</t>
  </si>
  <si>
    <t>ЛТИЯ74521600500000001</t>
  </si>
  <si>
    <t>ЛТИЯ74521600600000000</t>
  </si>
  <si>
    <t>ЛТИЯ74521600700000000</t>
  </si>
  <si>
    <t>ЛТИЯ74521600800000000</t>
  </si>
  <si>
    <t>ЛТИЯ74522104900000000</t>
  </si>
  <si>
    <t>ЛТИЯ74522104900000001</t>
  </si>
  <si>
    <t>ЛТИЯ74522105000000000</t>
  </si>
  <si>
    <t>ЛТИЯ74522105000000001</t>
  </si>
  <si>
    <t>ЛТИЯ74522105000000002</t>
  </si>
  <si>
    <t>ЛТИЯ74522106300000000</t>
  </si>
  <si>
    <t>ЛТИЯ74522106800000000</t>
  </si>
  <si>
    <t>ЛТИЯ74522204400000000</t>
  </si>
  <si>
    <t>ЛТИЯ74522204500000000</t>
  </si>
  <si>
    <t>ЛТИЯ74522204500000001</t>
  </si>
  <si>
    <t>ЛТИЯ74522204600000000</t>
  </si>
  <si>
    <t>ЛТИЯ74522205200000000</t>
  </si>
  <si>
    <t>ЛТИЯ74522205300000000</t>
  </si>
  <si>
    <t>ЛТИЯ74522205600000000</t>
  </si>
  <si>
    <t>ЛТИЯ74522207200000000</t>
  </si>
  <si>
    <t>ЛТИЯ74522207200000001</t>
  </si>
  <si>
    <t>ЛТИЯ74522207300000000</t>
  </si>
  <si>
    <t>ЛТИЯ74522207400000000</t>
  </si>
  <si>
    <t>ЛТИЯ74522207500000000</t>
  </si>
  <si>
    <t>ЛТИЯ74522207500000001</t>
  </si>
  <si>
    <t>ЛТИЯ74522208800000000</t>
  </si>
  <si>
    <t>ЛТИЯ74522210700000000</t>
  </si>
  <si>
    <t>ЛТИЯ74522210800000000</t>
  </si>
  <si>
    <t>ЛТИЯ74522210900000000</t>
  </si>
  <si>
    <t>ЛТИЯ74522211000000000</t>
  </si>
  <si>
    <t>ЛТИЯ74522211000000001</t>
  </si>
  <si>
    <t>ЛТИЯ74522211100000000</t>
  </si>
  <si>
    <t>ЛТИЯ74522211100000001</t>
  </si>
  <si>
    <t>ЛТИЯ74522211500000000</t>
  </si>
  <si>
    <t>ЛТИЯ74522211500000001</t>
  </si>
  <si>
    <t>ЛТИЯ74522216100000000</t>
  </si>
  <si>
    <t>ЛТИЯ74522216200000000</t>
  </si>
  <si>
    <t>ЛТИЯ74522216200000001</t>
  </si>
  <si>
    <t>ЛТИЯ74522508500000000</t>
  </si>
  <si>
    <t>ЛТИЯ74522509300000000</t>
  </si>
  <si>
    <t>ЛТИЯ74522601800000000</t>
  </si>
  <si>
    <t>ЛТИЯ74522601900000000</t>
  </si>
  <si>
    <t>ЛТИЯ74522602000000000</t>
  </si>
  <si>
    <t>ЛТИЯ74522602200000000</t>
  </si>
  <si>
    <t>ЛТИЯ74523202400000000</t>
  </si>
  <si>
    <t>ЛТИЯ74523202600000000</t>
  </si>
  <si>
    <t>ЛТИЯ74525200200000000</t>
  </si>
  <si>
    <t>ЛТИЯ74525200300000000</t>
  </si>
  <si>
    <t>ЛТИЯ74525200400000000</t>
  </si>
  <si>
    <t>ЛТИЯ74525200500000000</t>
  </si>
  <si>
    <t>ЛТИЯ74525200800000000</t>
  </si>
  <si>
    <t>ЛТИЯ74525201000000000</t>
  </si>
  <si>
    <t>ЛТИЯ74525201100000000</t>
  </si>
  <si>
    <t>ЛТИЯ74525201200000000</t>
  </si>
  <si>
    <t>ЛТИЯ74525201200000001</t>
  </si>
  <si>
    <t>ЛТИЯ74525201200000002</t>
  </si>
  <si>
    <t>ЛТИЯ74525201500000000</t>
  </si>
  <si>
    <t>ЛТИЯ74525201700000000</t>
  </si>
  <si>
    <t>ЛТИЯ74525201800000000</t>
  </si>
  <si>
    <t>ЛТИЯ74525201900000000</t>
  </si>
  <si>
    <t>ЛТИЯ74525202000000000</t>
  </si>
  <si>
    <t>ЛТИЯ74525202100000000</t>
  </si>
  <si>
    <t>ЛТИЯ74525202200000000</t>
  </si>
  <si>
    <t>ЛТИЯ74525202300000000</t>
  </si>
  <si>
    <t>ЛТИЯ74525202400000000</t>
  </si>
  <si>
    <t>ЛТИЯ74525203000000000</t>
  </si>
  <si>
    <t>ЛТИЯ74525203000000001</t>
  </si>
  <si>
    <t>ЛТИЯ74525203300000000</t>
  </si>
  <si>
    <t>ЛТИЯ74525203300000001</t>
  </si>
  <si>
    <t>ЛТИЯ74525203700000000</t>
  </si>
  <si>
    <t>ЛТИЯ74525203800000000</t>
  </si>
  <si>
    <t>ЛТИЯ74525203900000000</t>
  </si>
  <si>
    <t>ЛТИЯ74525204000000000</t>
  </si>
  <si>
    <t>ЛТИЯ74525204100000000</t>
  </si>
  <si>
    <t>ЛТИЯ74525204200000000</t>
  </si>
  <si>
    <t>ЛТИЯ74525204300000000</t>
  </si>
  <si>
    <t>ЛТИЯ74525204700000000</t>
  </si>
  <si>
    <t>ЛТИЯ74525205100000000</t>
  </si>
  <si>
    <t>ЛТИЯ74527500100000000</t>
  </si>
  <si>
    <t>ЛТИЯ74527500100000001</t>
  </si>
  <si>
    <t>ЛТИЯ74527500300000000</t>
  </si>
  <si>
    <t>ЛТИЯ74530002300000000</t>
  </si>
  <si>
    <t>ЛТИЯ74531102100000000</t>
  </si>
  <si>
    <t>ЛТИЯ74531103600000000</t>
  </si>
  <si>
    <t>ЛТИЯ74531111500000000</t>
  </si>
  <si>
    <t>ЛТИЯ74531111600000000</t>
  </si>
  <si>
    <t>ЛТИЯ74531115200000000</t>
  </si>
  <si>
    <t>ЛТИЯ74531202000000000</t>
  </si>
  <si>
    <t>ЛТИЯ74531204000000000</t>
  </si>
  <si>
    <t>ЛТИЯ74531204100000000</t>
  </si>
  <si>
    <t>ЛТИЯ74531206600000000</t>
  </si>
  <si>
    <t>ЛТИЯ74531209600000000</t>
  </si>
  <si>
    <t>ЛТИЯ74531212100000000</t>
  </si>
  <si>
    <t>ЛТИЯ74531300200000000</t>
  </si>
  <si>
    <t>ЛТИЯ74531300400000000</t>
  </si>
  <si>
    <t>ЛТИЯ74532103400000000</t>
  </si>
  <si>
    <t>ЛТИЯ74532103400000001</t>
  </si>
  <si>
    <t>ЛТИЯ74532103800000000</t>
  </si>
  <si>
    <t>ЛТИЯ74532103900000000</t>
  </si>
  <si>
    <t>ЛТИЯ74532104000000000</t>
  </si>
  <si>
    <t>ЛТИЯ74532108900000000</t>
  </si>
  <si>
    <t>ЛТИЯ74532203100000000</t>
  </si>
  <si>
    <t>ЛТИЯ74532203200000000</t>
  </si>
  <si>
    <t>ЛТИЯ74532203300000000</t>
  </si>
  <si>
    <t>ЛТИЯ74532203400000000</t>
  </si>
  <si>
    <t>ЛТИЯ74532204500000001</t>
  </si>
  <si>
    <t>ЛТИЯ74532204600000001</t>
  </si>
  <si>
    <t>ЛТИЯ74532204800000000</t>
  </si>
  <si>
    <t>ЛТИЯ74532205700000000</t>
  </si>
  <si>
    <t>ЛТИЯ74532205700000001</t>
  </si>
  <si>
    <t>ЛТИЯ74532205700000002</t>
  </si>
  <si>
    <t>ЛТИЯ74532205700000003</t>
  </si>
  <si>
    <t>ЛТИЯ74532205700000004</t>
  </si>
  <si>
    <t>ЛТИЯ74532206300000000</t>
  </si>
  <si>
    <t>ЛТИЯ74532206800000000</t>
  </si>
  <si>
    <t>ЛТИЯ74532206900000000</t>
  </si>
  <si>
    <t>ЛТИЯ74532206900000001</t>
  </si>
  <si>
    <t>ЛТИЯ74532212600000000</t>
  </si>
  <si>
    <t>ЛТИЯ74532212600000001</t>
  </si>
  <si>
    <t>ЛТИЯ74532213600000000</t>
  </si>
  <si>
    <t>ЛТИЯ74532216600000000</t>
  </si>
  <si>
    <t>ЛТИЯ74532216700000000</t>
  </si>
  <si>
    <t>ЛТИЯ74532216800000000</t>
  </si>
  <si>
    <t>ЛТИЯ74532216800000001</t>
  </si>
  <si>
    <t>ЛТИЯ74532217100000000</t>
  </si>
  <si>
    <t>ЛТИЯ74532217300000000</t>
  </si>
  <si>
    <t>ЛТИЯ74532218800000000</t>
  </si>
  <si>
    <t>ЛТИЯ74532220000000000</t>
  </si>
  <si>
    <t>ЛТИЯ74532220100000000</t>
  </si>
  <si>
    <t>ЛТИЯ74532220200000000</t>
  </si>
  <si>
    <t>ЛТИЯ74532220600000000</t>
  </si>
  <si>
    <t>ЛТИЯ74532220700000000</t>
  </si>
  <si>
    <t>ЛТИЯ74532220800000000</t>
  </si>
  <si>
    <t>ЛТИЯ74532503400000000</t>
  </si>
  <si>
    <t>ЛТИЯ74534600300000000</t>
  </si>
  <si>
    <t>ЛТИЯ74534600300000001</t>
  </si>
  <si>
    <t>ЛТИЯ74535202800000000</t>
  </si>
  <si>
    <t>ЛТИЯ74535202800000001</t>
  </si>
  <si>
    <t>ЛТИЯ74535203300000000</t>
  </si>
  <si>
    <t>ЛТИЯ74535203400000000</t>
  </si>
  <si>
    <t>ЛТИЯ74535203400000001</t>
  </si>
  <si>
    <t>ЛТИЯ74535203500000000</t>
  </si>
  <si>
    <t>ЛТИЯ74535203700000000</t>
  </si>
  <si>
    <t>ЛТИЯ74535203800000000</t>
  </si>
  <si>
    <t>ЛТИЯ74535204200000000</t>
  </si>
  <si>
    <t>ЛТИЯ74535206700000000</t>
  </si>
  <si>
    <t>ЛТИЯ74535206900000000</t>
  </si>
  <si>
    <t>ЛТИЯ74535207100000000</t>
  </si>
  <si>
    <t>ЛТИЯ74535207200000000</t>
  </si>
  <si>
    <t>ЛТИЯ74535600100000000</t>
  </si>
  <si>
    <t>ЛТИЯ74535600400000000</t>
  </si>
  <si>
    <t>ЛТИЯ74535600400000001</t>
  </si>
  <si>
    <t>ЛТИЯ74535600400000002</t>
  </si>
  <si>
    <t>ЛТИЯ74535600500000000</t>
  </si>
  <si>
    <t>ЛТИЯ74535600500000001</t>
  </si>
  <si>
    <t>ЛТИЯ74536400600000000</t>
  </si>
  <si>
    <t>ЛТИЯ74536400700000000</t>
  </si>
  <si>
    <t>ЛТИЯ74541800600000000</t>
  </si>
  <si>
    <t>ЛТИЯ74541801800000000</t>
  </si>
  <si>
    <t>ЛТИЯ74541801900000000</t>
  </si>
  <si>
    <t>ЛТИЯ74542203200000000</t>
  </si>
  <si>
    <t>ЛТИЯ74542203300000000</t>
  </si>
  <si>
    <t>ЛТИЯ74542203400000000</t>
  </si>
  <si>
    <t>ЛТИЯ74542203500000000</t>
  </si>
  <si>
    <t>ЛТИЯ74542204700000000</t>
  </si>
  <si>
    <t>ЛТИЯ74542204800000000</t>
  </si>
  <si>
    <t>ЛТИЯ74542204900000000</t>
  </si>
  <si>
    <t>ЛТИЯ74542205000000000</t>
  </si>
  <si>
    <t>ЛТИЯ74542205100000000</t>
  </si>
  <si>
    <t>ЛТИЯ74542205100000001</t>
  </si>
  <si>
    <t>ЛТИЯ74542205200000000</t>
  </si>
  <si>
    <t>ЛТИЯ74542205800000000</t>
  </si>
  <si>
    <t>ЛТИЯ74542205800000001</t>
  </si>
  <si>
    <t>ЛТИЯ74542206100000000</t>
  </si>
  <si>
    <t>ЛТИЯ74542206300000000</t>
  </si>
  <si>
    <t>ЛТИЯ74542206400000000</t>
  </si>
  <si>
    <t>ЛТИЯ74542206500000000</t>
  </si>
  <si>
    <t>ЛТИЯ74542206600000000</t>
  </si>
  <si>
    <t>ЛТИЯ74542210900000000</t>
  </si>
  <si>
    <t>ЛТИЯ74542210900000001</t>
  </si>
  <si>
    <t>ЛТИЯ74542301700000000</t>
  </si>
  <si>
    <t>ЛТИЯ74542301800000000</t>
  </si>
  <si>
    <t>ЛТИЯ74542302400000000</t>
  </si>
  <si>
    <t>ЛТИЯ74542302500000000</t>
  </si>
  <si>
    <t>ЛТИЯ74542302900000000</t>
  </si>
  <si>
    <t>ЛТИЯ74542303000000000</t>
  </si>
  <si>
    <t>ЛТИЯ74542303700000000</t>
  </si>
  <si>
    <t>ЛТИЯ74542304300000000</t>
  </si>
  <si>
    <t>ЛТИЯ74542304400000000</t>
  </si>
  <si>
    <t>ЛТИЯ74542304800000000</t>
  </si>
  <si>
    <t>ЛТИЯ74542304800000001</t>
  </si>
  <si>
    <t>ЛТИЯ74542304800000002</t>
  </si>
  <si>
    <t>ЛТИЯ74542304800000003</t>
  </si>
  <si>
    <t>ЛТИЯ74542304800000004</t>
  </si>
  <si>
    <t>ЛТИЯ74542304800000005</t>
  </si>
  <si>
    <t>ЛТИЯ74542304800000006</t>
  </si>
  <si>
    <t>ЛТИЯ74542304900000000</t>
  </si>
  <si>
    <t>ЛТИЯ74542305100000000</t>
  </si>
  <si>
    <t>ЛТИЯ74542306000000000</t>
  </si>
  <si>
    <t>ЛТИЯ74542500800000000</t>
  </si>
  <si>
    <t>ЛТИЯ74542500800000002</t>
  </si>
  <si>
    <t>ЛТИЯ74542500900000000</t>
  </si>
  <si>
    <t>ЛТИЯ74542500900000001</t>
  </si>
  <si>
    <t>ЛТИЯ74542500900000003</t>
  </si>
  <si>
    <t>ЛТИЯ74542800100000000</t>
  </si>
  <si>
    <t>ЛТИЯ74542800100000001</t>
  </si>
  <si>
    <t>ЛТИЯ74542800100000002</t>
  </si>
  <si>
    <t>ЛТИЯ74542800200000000</t>
  </si>
  <si>
    <t>ЛТИЯ74542800200000001</t>
  </si>
  <si>
    <t>ЛТИЯ74544201200000000</t>
  </si>
  <si>
    <t>ЛТИЯ74545500200000000</t>
  </si>
  <si>
    <t>ЛТИЯ74545500200000001</t>
  </si>
  <si>
    <t>ЛТИЯ74546406300000000</t>
  </si>
  <si>
    <t>ЛТИЯ74546406400000000</t>
  </si>
  <si>
    <t>ЛТИЯ74546406700000000</t>
  </si>
  <si>
    <t>ЛТИЯ74546408400000000</t>
  </si>
  <si>
    <t>ЛТИЯ74551103500000000</t>
  </si>
  <si>
    <t>ЛТИЯ74551103500000001</t>
  </si>
  <si>
    <t>ЛТИЯ74551201500000000</t>
  </si>
  <si>
    <t>ЛТИЯ74551203500000000</t>
  </si>
  <si>
    <t>ЛТИЯ74551203600000000</t>
  </si>
  <si>
    <t>ЛТИЯ74551203700000000</t>
  </si>
  <si>
    <t>ЛТИЯ74551203700000001</t>
  </si>
  <si>
    <t>ЛТИЯ74551204000000000</t>
  </si>
  <si>
    <t>ЛТИЯ74551204200000000</t>
  </si>
  <si>
    <t>ЛТИЯ74551204300000000</t>
  </si>
  <si>
    <t>ЛТИЯ74551204400000000</t>
  </si>
  <si>
    <t>ЛТИЯ74551204500000000</t>
  </si>
  <si>
    <t>ЛТИЯ74551208200000000</t>
  </si>
  <si>
    <t>ЛТИЯ74551208300000000</t>
  </si>
  <si>
    <t>ЛТИЯ74551209900000000</t>
  </si>
  <si>
    <t>ЛТИЯ74551299800000000</t>
  </si>
  <si>
    <t>ЛТИЯ74551300700000000</t>
  </si>
  <si>
    <t>ЛТИЯ74551300800000000</t>
  </si>
  <si>
    <t>ЛТИЯ74551300900000000</t>
  </si>
  <si>
    <t>ЛТИЯ74551303200000000</t>
  </si>
  <si>
    <t>ЛТИЯ74551500400000000</t>
  </si>
  <si>
    <t>ЛТИЯ74551500400000001</t>
  </si>
  <si>
    <t>ЛТИЯ74552200500000000</t>
  </si>
  <si>
    <t>ЛТИЯ74552200600000000</t>
  </si>
  <si>
    <t>ЛТИЯ74552200900000000</t>
  </si>
  <si>
    <t>ЛТИЯ74552201000000000</t>
  </si>
  <si>
    <t>ЛТИЯ74552201000000001</t>
  </si>
  <si>
    <t>ЛТИЯ74552201200000000</t>
  </si>
  <si>
    <t>ЛТИЯ74552201300000000</t>
  </si>
  <si>
    <t>ЛТИЯ74552201400000000</t>
  </si>
  <si>
    <t>ЛТИЯ74552201500000000</t>
  </si>
  <si>
    <t>ЛТИЯ74552202400000000</t>
  </si>
  <si>
    <t>ЛТИЯ74552202800000000</t>
  </si>
  <si>
    <t>ЛТИЯ74552202900000000</t>
  </si>
  <si>
    <t>ЛТИЯ74553100800000000</t>
  </si>
  <si>
    <t>ЛТИЯ74553100900000000</t>
  </si>
  <si>
    <t>ЛТИЯ74553101000000000</t>
  </si>
  <si>
    <t>ЛТИЯ74553101100000000</t>
  </si>
  <si>
    <t>ЛТИЯ74553101200000000</t>
  </si>
  <si>
    <t>ЛТИЯ74553201200000000</t>
  </si>
  <si>
    <t>ЛТИЯ74553201500000000</t>
  </si>
  <si>
    <t>ЛТИЯ74553201500000001</t>
  </si>
  <si>
    <t>ЛТИЯ74553201800000000</t>
  </si>
  <si>
    <t>ЛТИЯ74553206200000000</t>
  </si>
  <si>
    <t>ЛТИЯ74553206300000000</t>
  </si>
  <si>
    <t>ЛТИЯ74553301300000000</t>
  </si>
  <si>
    <t>ЛТИЯ74553301300000001</t>
  </si>
  <si>
    <t>ЛТИЯ74553301700000000</t>
  </si>
  <si>
    <t>ЛТИЯ74553500500000000</t>
  </si>
  <si>
    <t>ЛТИЯ74553500600000000</t>
  </si>
  <si>
    <t>ЛТИЯ74553500800000000</t>
  </si>
  <si>
    <t>ЛТИЯ74553502700000000</t>
  </si>
  <si>
    <t>ЛТИЯ74553503700000000</t>
  </si>
  <si>
    <t>ЛТИЯ74553505000000000</t>
  </si>
  <si>
    <t>ЛТИЯ74553601400000000</t>
  </si>
  <si>
    <t>ЛТИЯ74553601600000000</t>
  </si>
  <si>
    <t>ЛТИЯ74557200100000000</t>
  </si>
  <si>
    <t>ЛТИЯ74564201000000000</t>
  </si>
  <si>
    <t>ЛТИЯ74564201000000001</t>
  </si>
  <si>
    <t>ЛТИЯ74564201100000000</t>
  </si>
  <si>
    <t>ЛТИЯ74566500100000000</t>
  </si>
  <si>
    <t>ЛТИЯ74611102400000000</t>
  </si>
  <si>
    <t>ЛТИЯ74611102500000000</t>
  </si>
  <si>
    <t>ЛТИЯ74611102600000000</t>
  </si>
  <si>
    <t>ЛТИЯ74611102700000000</t>
  </si>
  <si>
    <t>ЛТИЯ74611102900000000</t>
  </si>
  <si>
    <t>ЛТИЯ74611103200000000</t>
  </si>
  <si>
    <t>ЛТИЯ74611103300000000</t>
  </si>
  <si>
    <t>ЛТИЯ74611201400000000</t>
  </si>
  <si>
    <t>ЛТИЯ74611202100000000</t>
  </si>
  <si>
    <t>ЛТИЯ74611202400000000</t>
  </si>
  <si>
    <t>ЛТИЯ74611202500000000</t>
  </si>
  <si>
    <t>ЛТИЯ74611202600000000</t>
  </si>
  <si>
    <t>ЛТИЯ74611202700000000</t>
  </si>
  <si>
    <t>ЛТИЯ74611202800000000</t>
  </si>
  <si>
    <t>ЛТИЯ74611202900000000</t>
  </si>
  <si>
    <t>ЛТИЯ74611203000000000</t>
  </si>
  <si>
    <t>ЛТИЯ74611203100000000</t>
  </si>
  <si>
    <t>ЛТИЯ74611203200000000</t>
  </si>
  <si>
    <t>ЛТИЯ74611203300000000</t>
  </si>
  <si>
    <t>ЛТИЯ74611203600000000</t>
  </si>
  <si>
    <t>ЛТИЯ74611203700000000</t>
  </si>
  <si>
    <t>ЛТИЯ74611203900000000</t>
  </si>
  <si>
    <t>ЛТИЯ74611203900000001</t>
  </si>
  <si>
    <t>ЛТИЯ74611207800000000</t>
  </si>
  <si>
    <t>ЛТИЯ74611209200000000</t>
  </si>
  <si>
    <t>ЛТИЯ74611209300000000</t>
  </si>
  <si>
    <t>ЛТИЯ74611209400000000</t>
  </si>
  <si>
    <t>ЛТИЯ74611212600000000</t>
  </si>
  <si>
    <t>ЛТИЯ74611212700000000</t>
  </si>
  <si>
    <t>ЛТИЯ74611212800000000</t>
  </si>
  <si>
    <t>ЛТИЯ74611212900000000</t>
  </si>
  <si>
    <t>ЛТИЯ74611213000000000</t>
  </si>
  <si>
    <t>ЛТИЯ74611213100000000</t>
  </si>
  <si>
    <t>ЛТИЯ74611213200000000</t>
  </si>
  <si>
    <t>ЛТИЯ74611213300000000</t>
  </si>
  <si>
    <t>ЛТИЯ74611213400000000</t>
  </si>
  <si>
    <t>ЛТИЯ74611213400000001</t>
  </si>
  <si>
    <t>ЛТИЯ74611213400000002</t>
  </si>
  <si>
    <t>ЛТИЯ74611213500000000</t>
  </si>
  <si>
    <t>ЛТИЯ74611213600000000</t>
  </si>
  <si>
    <t>ЛТИЯ74611213700000000</t>
  </si>
  <si>
    <t>ЛТИЯ74611213800000000</t>
  </si>
  <si>
    <t>ЛТИЯ74611213900000000</t>
  </si>
  <si>
    <t>ЛТИЯ74611214000000000</t>
  </si>
  <si>
    <t>ЛТИЯ74611214100000000</t>
  </si>
  <si>
    <t>ЛТИЯ74611214800000000</t>
  </si>
  <si>
    <t>ЛТИЯ74611214900000000</t>
  </si>
  <si>
    <t>ЛТИЯ74611215000000000</t>
  </si>
  <si>
    <t>ЛТИЯ74611215400000000</t>
  </si>
  <si>
    <t>ЛТИЯ74611400300000000</t>
  </si>
  <si>
    <t>ЛТИЯ74611400300000001</t>
  </si>
  <si>
    <t>ЛТИЯ74611501300000000</t>
  </si>
  <si>
    <t>ЛТИЯ74611501300000001</t>
  </si>
  <si>
    <t>ЛТИЯ74611501400000000</t>
  </si>
  <si>
    <t>ЛТИЯ74611501600000000</t>
  </si>
  <si>
    <t>ЛТИЯ74611501700000000</t>
  </si>
  <si>
    <t>ЛТИЯ74611501800000000</t>
  </si>
  <si>
    <t>ЛТИЯ74611501900000000</t>
  </si>
  <si>
    <t>ЛТИЯ74611501900000001</t>
  </si>
  <si>
    <t>ЛТИЯ74611502000000000</t>
  </si>
  <si>
    <t>ЛТИЯ74611502100000000</t>
  </si>
  <si>
    <t>ЛТИЯ74611502200000000</t>
  </si>
  <si>
    <t>ЛТИЯ74611502300000000</t>
  </si>
  <si>
    <t>ЛТИЯ74611502300000001</t>
  </si>
  <si>
    <t>ЛТИЯ74611502400000000</t>
  </si>
  <si>
    <t>ЛТИЯ74611502500000000</t>
  </si>
  <si>
    <t>ЛТИЯ74611502600000000</t>
  </si>
  <si>
    <t>ЛТИЯ74611504300000000</t>
  </si>
  <si>
    <t>ЛТИЯ74611504400000000</t>
  </si>
  <si>
    <t>ЛТИЯ74611504500000000</t>
  </si>
  <si>
    <t>ЛТИЯ74611600300000000</t>
  </si>
  <si>
    <t>ЛТИЯ74612101800000000</t>
  </si>
  <si>
    <t>ЛТИЯ74612101800000001</t>
  </si>
  <si>
    <t>ЛТИЯ74612101900000000</t>
  </si>
  <si>
    <t>ЛТИЯ74612101900000001</t>
  </si>
  <si>
    <t>ЛТИЯ74612103100000000</t>
  </si>
  <si>
    <t>ЛТИЯ74612103200000000</t>
  </si>
  <si>
    <t>ЛТИЯ74612103200000001</t>
  </si>
  <si>
    <t>ЛТИЯ74612104200000000</t>
  </si>
  <si>
    <t>ЛТИЯ74612104200000001</t>
  </si>
  <si>
    <t>ЛТИЯ74612104400000000</t>
  </si>
  <si>
    <t>ЛТИЯ74612302800000000</t>
  </si>
  <si>
    <t>ЛТИЯ74612302800000001</t>
  </si>
  <si>
    <t>ЛТИЯ74612303000000000</t>
  </si>
  <si>
    <t>ЛТИЯ74612303000000001</t>
  </si>
  <si>
    <t>ЛТИЯ74612303200000000</t>
  </si>
  <si>
    <t>ЛТИЯ74612303400000000</t>
  </si>
  <si>
    <t>ЛТИЯ74612303500000000</t>
  </si>
  <si>
    <t>ЛТИЯ74612303500000001</t>
  </si>
  <si>
    <t>ЛТИЯ74612305700000000</t>
  </si>
  <si>
    <t>ЛТИЯ74612500800000000</t>
  </si>
  <si>
    <t>ЛТИЯ74612500900000000</t>
  </si>
  <si>
    <t>ЛТИЯ74612501000000000</t>
  </si>
  <si>
    <t>ЛТИЯ74612501100000000</t>
  </si>
  <si>
    <t>ЛТИЯ74612501200000000</t>
  </si>
  <si>
    <t>ЛТИЯ74612600700000000</t>
  </si>
  <si>
    <t>ЛТИЯ74612700100000000</t>
  </si>
  <si>
    <t>ЛТИЯ74612700200000000</t>
  </si>
  <si>
    <t>ЛТИЯ74615200500000001</t>
  </si>
  <si>
    <t>ЛТИЯ74615200600000001</t>
  </si>
  <si>
    <t>ЛТИЯ74615200900000000</t>
  </si>
  <si>
    <t>ЛТИЯ74615200900000001</t>
  </si>
  <si>
    <t>ЛТИЯ74621200900000000</t>
  </si>
  <si>
    <t>ЛТИЯ74621200900000001</t>
  </si>
  <si>
    <t>ЛТИЯ74621201000000000</t>
  </si>
  <si>
    <t>ЛТИЯ74621201100000000</t>
  </si>
  <si>
    <t>ЛТИЯ74621201200000000</t>
  </si>
  <si>
    <t>ЛТИЯ74621201200000001</t>
  </si>
  <si>
    <t>ЛТИЯ74621201200000002</t>
  </si>
  <si>
    <t>ЛТИЯ74621201900000000</t>
  </si>
  <si>
    <t>ЛТИЯ74621203400000000</t>
  </si>
  <si>
    <t>ЛТИЯ74621204300000000</t>
  </si>
  <si>
    <t>ЛТИЯ74621204400000000</t>
  </si>
  <si>
    <t>ЛТИЯ74621204400000001</t>
  </si>
  <si>
    <t>ЛТИЯ74621500100000000</t>
  </si>
  <si>
    <t>ЛТИЯ74621500200000000</t>
  </si>
  <si>
    <t>ЛТИЯ74621500300000000</t>
  </si>
  <si>
    <t>ЛТИЯ74621500300000001</t>
  </si>
  <si>
    <t>ЛТИЯ74621500400000000</t>
  </si>
  <si>
    <t>ЛТИЯ74621500600000000</t>
  </si>
  <si>
    <t>ЛТИЯ74621500600000001</t>
  </si>
  <si>
    <t>ЛТИЯ74621500700000000</t>
  </si>
  <si>
    <t>ЛТИЯ74621500700000001</t>
  </si>
  <si>
    <t>ЛТИЯ74621500800000000</t>
  </si>
  <si>
    <t>ЛТИЯ74621500800000001</t>
  </si>
  <si>
    <t>ЛТИЯ74621500900000000</t>
  </si>
  <si>
    <t>ЛТИЯ74621500900000001</t>
  </si>
  <si>
    <t>ЛТИЯ74621501000000000</t>
  </si>
  <si>
    <t>ЛТИЯ74621501100000000</t>
  </si>
  <si>
    <t>ЛТИЯ74622300100000000</t>
  </si>
  <si>
    <t>ЛТИЯ74626100100000000</t>
  </si>
  <si>
    <t>ЛТИЯ74661100900000000</t>
  </si>
  <si>
    <t>ЛТИЯ74661200800000000</t>
  </si>
  <si>
    <t>ЛТИЯ74661200900000000</t>
  </si>
  <si>
    <t>ЛТИЯ74661201400000000</t>
  </si>
  <si>
    <t>ЛТИЯ74661201500000000</t>
  </si>
  <si>
    <t>ЛТИЯ74662105100000000</t>
  </si>
  <si>
    <t>ЛТИЯ74662105100000001</t>
  </si>
  <si>
    <t>ЛТИЯ74662105200000000</t>
  </si>
  <si>
    <t>ЛТИЯ74662105300000000</t>
  </si>
  <si>
    <t>ЛТИЯ74662105400000000</t>
  </si>
  <si>
    <t>ЛТИЯ74662105500000000</t>
  </si>
  <si>
    <t>ЛТИЯ74662105600000000</t>
  </si>
  <si>
    <t>ЛТИЯ74662105700000000</t>
  </si>
  <si>
    <t>ЛТИЯ74662105800000000</t>
  </si>
  <si>
    <t>ЛТИЯ74662105900000000</t>
  </si>
  <si>
    <t>ЛТИЯ74662106000000000</t>
  </si>
  <si>
    <t>ЛТИЯ74662106100000000</t>
  </si>
  <si>
    <t>ЛТИЯ74662106200000000</t>
  </si>
  <si>
    <t>ЛТИЯ74662502000000000</t>
  </si>
  <si>
    <t>ЛТИЯ74662502100000000</t>
  </si>
  <si>
    <t>ЛТИЯ74671101300000000</t>
  </si>
  <si>
    <t>ЛТИЯ74677100300000000</t>
  </si>
  <si>
    <t>ЛТИЯ74677100300000001</t>
  </si>
  <si>
    <t>ЛТИЯ74711104700000000</t>
  </si>
  <si>
    <t>ЛТИЯ74711104800000000</t>
  </si>
  <si>
    <t>ЛТИЯ74711104900000000</t>
  </si>
  <si>
    <t>ЛТИЯ74711104900000001</t>
  </si>
  <si>
    <t>ЛТИЯ74711300100000000</t>
  </si>
  <si>
    <t>ЛТИЯ74711300200000000</t>
  </si>
  <si>
    <t>ЛТИЯ74731112600000000</t>
  </si>
  <si>
    <t>ЛТИЯ74731112800000000</t>
  </si>
  <si>
    <t>ЛТИЯ74731113000000000</t>
  </si>
  <si>
    <t>ЛТИЯ74733100300000000</t>
  </si>
  <si>
    <t>ЛТИЯ74733100300000001</t>
  </si>
  <si>
    <t>ЛТИЯ74775104700000000</t>
  </si>
  <si>
    <t>ЛТИЯ74775104700000001</t>
  </si>
  <si>
    <t>ЛТИЯ74775104700000002</t>
  </si>
  <si>
    <t>ЛТИЯ74775104700000003</t>
  </si>
  <si>
    <t>ЛТИЯ74775104800000000</t>
  </si>
  <si>
    <t>ЛТИЯ74775104800000001</t>
  </si>
  <si>
    <t>ЛТИЯ74775104800000002</t>
  </si>
  <si>
    <t>ЛТИЯ74775104800000003</t>
  </si>
  <si>
    <t>ЛТИЯ74775104900000003</t>
  </si>
  <si>
    <t>ЛТИЯ74775104900000004</t>
  </si>
  <si>
    <t>ЛТИЯ74775104900000005</t>
  </si>
  <si>
    <t>ЛТИЯ74775104900000006</t>
  </si>
  <si>
    <t>ЛТИЯ74775104900000007</t>
  </si>
  <si>
    <t>ЛТИЯ74775104900000008</t>
  </si>
  <si>
    <t>ЛТИЯ74775104900000009</t>
  </si>
  <si>
    <t>ЛТИЯ74775104900000010</t>
  </si>
  <si>
    <t>ЛТИЯ74775104900000011</t>
  </si>
  <si>
    <t>ЛТИЯ74775104900000012</t>
  </si>
  <si>
    <t>ЛТИЯ74775104900000013</t>
  </si>
  <si>
    <t>ЛТИЯ74775106000000000</t>
  </si>
  <si>
    <t>ЛТИЯ74775106100000000</t>
  </si>
  <si>
    <t>ЛТИЯ74775106200000000</t>
  </si>
  <si>
    <t>ЛТИЯ74775106400000000</t>
  </si>
  <si>
    <t>ЛТИЯ74775106500000000</t>
  </si>
  <si>
    <t>ЛТИЯ74775106600000000</t>
  </si>
  <si>
    <t>ЛТИЯ75131200100000000</t>
  </si>
  <si>
    <t>ЛТИЯ75212800200000000</t>
  </si>
  <si>
    <t>ЛТИЯ75251301000000001</t>
  </si>
  <si>
    <t>ЛТИЯ75265100800000000</t>
  </si>
  <si>
    <t>ЛТИЯ75268100200000000</t>
  </si>
  <si>
    <t>ЛТИЯ75268100200000001</t>
  </si>
  <si>
    <t>ЛТИЯ75268100200000002</t>
  </si>
  <si>
    <t>ЛТИЯ75268100200000003</t>
  </si>
  <si>
    <t>ЛТИЯ75268100300000000</t>
  </si>
  <si>
    <t>ЛТИЯ75268100300000001</t>
  </si>
  <si>
    <t>ЛТИЯ75268100300000002</t>
  </si>
  <si>
    <t>ЛТИЯ75268100600000000</t>
  </si>
  <si>
    <t>ЛТИЯ75269400300000000</t>
  </si>
  <si>
    <t>ЛТИЯ75311300100000000</t>
  </si>
  <si>
    <t>ЛТИЯ75312601300000000</t>
  </si>
  <si>
    <t>ЛТИЯ75312601400000000</t>
  </si>
  <si>
    <t>ЛТИЯ75331200300000000</t>
  </si>
  <si>
    <t>ЛТИЯ75331200400000000</t>
  </si>
  <si>
    <t>ЛТИЯ75331200500000000</t>
  </si>
  <si>
    <t>ЛТИЯ75342500100000000</t>
  </si>
  <si>
    <t>ЛТИЯ75351100200000000</t>
  </si>
  <si>
    <t>ЛТИЯ75351100200000002</t>
  </si>
  <si>
    <t>ЛТИЯ75361600100000000</t>
  </si>
  <si>
    <t>ЛТИЯ75373200100000000</t>
  </si>
  <si>
    <t>ЛТИЯ75414113500000000</t>
  </si>
  <si>
    <t>ЛТИЯ75414113500000001</t>
  </si>
  <si>
    <t>ЛТИЯ75414113500000002</t>
  </si>
  <si>
    <t>ЛТИЯ75414113500000003</t>
  </si>
  <si>
    <t>ЛТИЯ75414113500000004</t>
  </si>
  <si>
    <t>ЛТИЯ75414113500000005</t>
  </si>
  <si>
    <t>ЛТИЯ75414113500000006</t>
  </si>
  <si>
    <t>ЛТИЯ75414113500000007</t>
  </si>
  <si>
    <t>ЛТИЯ75414113600000000</t>
  </si>
  <si>
    <t>ЛТИЯ75414113700000000</t>
  </si>
  <si>
    <t>ЛТИЯ75414113800000000</t>
  </si>
  <si>
    <t>ЛТИЯ75414115600000000</t>
  </si>
  <si>
    <t>ЛТИЯ75414115600000001</t>
  </si>
  <si>
    <t>ЛТИЯ75414115600000002</t>
  </si>
  <si>
    <t>ЛТИЯ75414115600000003</t>
  </si>
  <si>
    <t>ЛТИЯ75414115600000004</t>
  </si>
  <si>
    <t>ЛТИЯ75414115600000005</t>
  </si>
  <si>
    <t>ЛТИЯ75414115600000006</t>
  </si>
  <si>
    <t>ЛТИЯ75414115600000007</t>
  </si>
  <si>
    <t>ЛТИЯ75414115600000008</t>
  </si>
  <si>
    <t>ЛТИЯ75414115600000009</t>
  </si>
  <si>
    <t>ЛТИЯ75414115700000000</t>
  </si>
  <si>
    <t>ЛТИЯ75414115700000001</t>
  </si>
  <si>
    <t>ЛТИЯ75414115700000002</t>
  </si>
  <si>
    <t>ЛТИЯ75414115900000000</t>
  </si>
  <si>
    <t>ЛТИЯ75414117000000000</t>
  </si>
  <si>
    <t>ЛТИЯ75414117000000001</t>
  </si>
  <si>
    <t>ЛТИЯ75415202700000000</t>
  </si>
  <si>
    <t>ЛТИЯ75415202700000001</t>
  </si>
  <si>
    <t>ЛТИЯ75430003100000000</t>
  </si>
  <si>
    <t>ЛТИЯ75430003200000000</t>
  </si>
  <si>
    <t>ЛТИЯ75430003301О0пись</t>
  </si>
  <si>
    <t>ЛТИЯ75430003400000000</t>
  </si>
  <si>
    <t>ЛТИЯ75430003500000000</t>
  </si>
  <si>
    <t>ЛТИЯ75430004300000000</t>
  </si>
  <si>
    <t>ЛТИЯ75430004400000000</t>
  </si>
  <si>
    <t>ЛТИЯ75430004500000000</t>
  </si>
  <si>
    <t>ЛТИЯ75430004501О0пись</t>
  </si>
  <si>
    <t>ЛТИЯ75430004600000000</t>
  </si>
  <si>
    <t>ЛТИЯ75430005006О0пись</t>
  </si>
  <si>
    <t>ЛТИЯ75430005011О0пись</t>
  </si>
  <si>
    <t>ЛТИЯ75430011100000000</t>
  </si>
  <si>
    <t>ЛТИЯ75430011200000000</t>
  </si>
  <si>
    <t>ЛТИЯ75430011300000000</t>
  </si>
  <si>
    <t>ЛТИЯ75430011400000000</t>
  </si>
  <si>
    <t>ЛТИЯ75430011500000000</t>
  </si>
  <si>
    <t>ЛТИЯ75430025400О0пись</t>
  </si>
  <si>
    <t>ЛТИЯ75430025401О0пись</t>
  </si>
  <si>
    <t>ЛТИЯ75430025500О0пись</t>
  </si>
  <si>
    <t>ЛТИЯ75430025600О0пись</t>
  </si>
  <si>
    <t>ЛТИЯ75430025700000000</t>
  </si>
  <si>
    <t>ЛТИЯ75430025900000000</t>
  </si>
  <si>
    <t>ЛТИЯ75430026100000000</t>
  </si>
  <si>
    <t>ЛТИЯ75430026400000000</t>
  </si>
  <si>
    <t>ЛТИЯ75430026400000001</t>
  </si>
  <si>
    <t>ЛТИЯ75430033700000000</t>
  </si>
  <si>
    <t>ЛТИЯ75430033700000001</t>
  </si>
  <si>
    <t>ЛТИЯ75430033800000000</t>
  </si>
  <si>
    <t>ЛТИЯ75431201500000000</t>
  </si>
  <si>
    <t>ЛТИЯ75431201500000001</t>
  </si>
  <si>
    <t>ЛТИЯ75431201500000002</t>
  </si>
  <si>
    <t>ЛТИЯ75431201500000003</t>
  </si>
  <si>
    <t>ЛТИЯ75431201500000004</t>
  </si>
  <si>
    <t>ЛТИЯ75431201500000005</t>
  </si>
  <si>
    <t>ЛТИЯ75431201500000006</t>
  </si>
  <si>
    <t>ЛТИЯ75431201500000007</t>
  </si>
  <si>
    <t>ЛТИЯ75431201500000008</t>
  </si>
  <si>
    <t>ЛТИЯ75431201500000009</t>
  </si>
  <si>
    <t>ЛТИЯ75431201500000010</t>
  </si>
  <si>
    <t>ЛТИЯ75431201500000011</t>
  </si>
  <si>
    <t>ЛТИЯ75431201500000012</t>
  </si>
  <si>
    <t>ЛТИЯ75431201500000013</t>
  </si>
  <si>
    <t>ЛТИЯ75431201500000014</t>
  </si>
  <si>
    <t>ЛТИЯ75431201500000015</t>
  </si>
  <si>
    <t>ЛТИЯ75431201500000016</t>
  </si>
  <si>
    <t>ЛТИЯ75431201500000017</t>
  </si>
  <si>
    <t>ЛТИЯ75431201500000018</t>
  </si>
  <si>
    <t>ЛТИЯ75431201600000000</t>
  </si>
  <si>
    <t>ЛТИЯ75431201600000001</t>
  </si>
  <si>
    <t>ЛТИЯ75431201600000002</t>
  </si>
  <si>
    <t>ЛТИЯ75431201600000003</t>
  </si>
  <si>
    <t>ЛТИЯ75431203800000000</t>
  </si>
  <si>
    <t>ЛТИЯ75431203800000001</t>
  </si>
  <si>
    <t>ЛТИЯ75431203800000002</t>
  </si>
  <si>
    <t>ЛТИЯ75431204000000000</t>
  </si>
  <si>
    <t>ЛТИЯ75431204000000001</t>
  </si>
  <si>
    <t>ЛТИЯ75431204000000002</t>
  </si>
  <si>
    <t>ЛТИЯ75431204000000003</t>
  </si>
  <si>
    <t>ЛТИЯ75431204000000004</t>
  </si>
  <si>
    <t>ЛТИЯ75431204000000005</t>
  </si>
  <si>
    <t>ЛТИЯ75431204000000006</t>
  </si>
  <si>
    <t>ЛТИЯ75431204100000006</t>
  </si>
  <si>
    <t>ЛТИЯ75431204100000011</t>
  </si>
  <si>
    <t>ЛТИЯ75431210100000001</t>
  </si>
  <si>
    <t>ЛТИЯ75431210100000005</t>
  </si>
  <si>
    <t>ЛТИЯ75431210100000006</t>
  </si>
  <si>
    <t>ЛТИЯ75431210100000011</t>
  </si>
  <si>
    <t>ЛТИЯ75431210100000012</t>
  </si>
  <si>
    <t>ЛТИЯ75431210100000013</t>
  </si>
  <si>
    <t>ЛТИЯ75431210100000014</t>
  </si>
  <si>
    <t>ЛТИЯ75431210100000016</t>
  </si>
  <si>
    <t>ЛТИЯ75431210100000017</t>
  </si>
  <si>
    <t>ЛТИЯ75431210800000000</t>
  </si>
  <si>
    <t>ЛТИЯ75431210900000000</t>
  </si>
  <si>
    <t>ЛТИЯ75431211000000000</t>
  </si>
  <si>
    <t>ЛТИЯ75431212100000000</t>
  </si>
  <si>
    <t>ЛТИЯ75431212100000001</t>
  </si>
  <si>
    <t>ЛТИЯ75431212100000002</t>
  </si>
  <si>
    <t>ЛТИЯ75431212100000003</t>
  </si>
  <si>
    <t>ЛТИЯ75431212100000004</t>
  </si>
  <si>
    <t>ЛТИЯ75431212100000005</t>
  </si>
  <si>
    <t>ЛТИЯ75431212100000006</t>
  </si>
  <si>
    <t>ЛТИЯ75431212100000007</t>
  </si>
  <si>
    <t>ЛТИЯ75431212100000010</t>
  </si>
  <si>
    <t>ЛТИЯ75431212100000012</t>
  </si>
  <si>
    <t>ЛТИЯ75431212100000014</t>
  </si>
  <si>
    <t>ЛТИЯ75431212200000000</t>
  </si>
  <si>
    <t>ЛТИЯ75431212200000001</t>
  </si>
  <si>
    <t>ЛТИЯ75431212200000002</t>
  </si>
  <si>
    <t>ЛТИЯ75431212200000003</t>
  </si>
  <si>
    <t>ЛТИЯ75431212200000004</t>
  </si>
  <si>
    <t>ЛТИЯ75431212300000000</t>
  </si>
  <si>
    <t>ЛТИЯ75431212400000000</t>
  </si>
  <si>
    <t>ЛТИЯ75431212400000001</t>
  </si>
  <si>
    <t>ЛТИЯ75431212500000000</t>
  </si>
  <si>
    <t>ЛТИЯ75431212600000000</t>
  </si>
  <si>
    <t>ЛТИЯ75431212700000000</t>
  </si>
  <si>
    <t>ЛТИЯ75431212700000001</t>
  </si>
  <si>
    <t>ЛТИЯ75431212700000002</t>
  </si>
  <si>
    <t>ЛТИЯ75431212700000003</t>
  </si>
  <si>
    <t>ЛТИЯ75431212700000004</t>
  </si>
  <si>
    <t>ЛТИЯ75431213000000000</t>
  </si>
  <si>
    <t>ЛТИЯ75431213100000000</t>
  </si>
  <si>
    <t>ЛТИЯ75431213200000000</t>
  </si>
  <si>
    <t>ЛТИЯ75434204900000000</t>
  </si>
  <si>
    <t>ЛТИЯ75434205200000000</t>
  </si>
  <si>
    <t>ЛТИЯ75434205200000007</t>
  </si>
  <si>
    <t>ЛТИЯ75434205200000008</t>
  </si>
  <si>
    <t>ЛТИЯ75434205200000009</t>
  </si>
  <si>
    <t>ЛТИЯ75434205200000010</t>
  </si>
  <si>
    <t>ЛТИЯ75434205200000011</t>
  </si>
  <si>
    <t>ЛТИЯ75434205200000012</t>
  </si>
  <si>
    <t>ЛТИЯ75434205200000023</t>
  </si>
  <si>
    <t>ЛТИЯ75434205200000024</t>
  </si>
  <si>
    <t>ЛТИЯ75434205200000025</t>
  </si>
  <si>
    <t>ЛТИЯ75434205200000026</t>
  </si>
  <si>
    <t>ЛТИЯ75434205200000027</t>
  </si>
  <si>
    <t>ЛТИЯ75434205200000028</t>
  </si>
  <si>
    <t>ЛТИЯ75434205200000029</t>
  </si>
  <si>
    <t>ЛТИЯ75434205200000030</t>
  </si>
  <si>
    <t>ЛТИЯ75434205300000000</t>
  </si>
  <si>
    <t>ЛТИЯ75434205400000000</t>
  </si>
  <si>
    <t>ЛТИЯ75434205400000001</t>
  </si>
  <si>
    <t>ЛТИЯ75434205400000002</t>
  </si>
  <si>
    <t>ЛТИЯ75434205500000000</t>
  </si>
  <si>
    <t>ЛТИЯ75434205500000001</t>
  </si>
  <si>
    <t>ЛТИЯ75434205500000002</t>
  </si>
  <si>
    <t>ЛТИЯ75434205500000003</t>
  </si>
  <si>
    <t>ЛТИЯ75434205500000004</t>
  </si>
  <si>
    <t>ЛТИЯ75434205500000005</t>
  </si>
  <si>
    <t>ЛТИЯ75434205500000006</t>
  </si>
  <si>
    <t>ЛТИЯ75434205500000007</t>
  </si>
  <si>
    <t>ЛТИЯ75434205500000008</t>
  </si>
  <si>
    <t>ЛТИЯ75434212700000000</t>
  </si>
  <si>
    <t>ЛТИЯ75434213200000000</t>
  </si>
  <si>
    <t>ЛТИЯ75434213200000001</t>
  </si>
  <si>
    <t>ЛТИЯ75434214600000000</t>
  </si>
  <si>
    <t>ЛТИЯ75434215900000000</t>
  </si>
  <si>
    <t>ЛТИЯ75434216700000000</t>
  </si>
  <si>
    <t>ЛТИЯ75434218200000000</t>
  </si>
  <si>
    <t>ЛТИЯ75434218200000001</t>
  </si>
  <si>
    <t>ЛТИЯ75434218200000002</t>
  </si>
  <si>
    <t>ЛТИЯ75434218500000000</t>
  </si>
  <si>
    <t>ЛТИЯ75434218600000000</t>
  </si>
  <si>
    <t>ЛТИЯ75434218600000001</t>
  </si>
  <si>
    <t>ЛТИЯ75440001900000000</t>
  </si>
  <si>
    <t>ЛТИЯ75440001900000001</t>
  </si>
  <si>
    <t>ЛТИЯ75440001900000002</t>
  </si>
  <si>
    <t>ЛТИЯ75440001900000003</t>
  </si>
  <si>
    <t>ЛТИЯ75440001900000004</t>
  </si>
  <si>
    <t>ЛТИЯ75446302400000002</t>
  </si>
  <si>
    <t>ЛТИЯ75446302400000009</t>
  </si>
  <si>
    <t>ЛТИЯ75446302400000010</t>
  </si>
  <si>
    <t>ЛТИЯ75446302400000011</t>
  </si>
  <si>
    <t>ЛТИЯ75446302400000012</t>
  </si>
  <si>
    <t>ЛТИЯ75446302400000014</t>
  </si>
  <si>
    <t>ЛТИЯ75446302400000015</t>
  </si>
  <si>
    <t>ЛТИЯ75446302400000023</t>
  </si>
  <si>
    <t>ЛТИЯ75446302400000024</t>
  </si>
  <si>
    <t>ЛТИЯ75446302400000025</t>
  </si>
  <si>
    <t>ЛТИЯ75446302400000026</t>
  </si>
  <si>
    <t>ЛТИЯ75446302400000031</t>
  </si>
  <si>
    <t>ЛТИЯ75446302400000044</t>
  </si>
  <si>
    <t>ЛТИЯ75446302400000045</t>
  </si>
  <si>
    <t>ЛТИЯ75446302400000046</t>
  </si>
  <si>
    <t>ЛТИЯ75446302400000047</t>
  </si>
  <si>
    <t>ЛТИЯ75446302400000064</t>
  </si>
  <si>
    <t>ЛТИЯ75446302400000065</t>
  </si>
  <si>
    <t>ЛТИЯ75446302400000066</t>
  </si>
  <si>
    <t>ЛТИЯ75446302400000067</t>
  </si>
  <si>
    <t>ЛТИЯ75446302400000073</t>
  </si>
  <si>
    <t>ЛТИЯ75446302400000074</t>
  </si>
  <si>
    <t>ЛТИЯ75446302400000075</t>
  </si>
  <si>
    <t>ЛТИЯ75446302400000076</t>
  </si>
  <si>
    <t>ЛТИЯ75446302400000082</t>
  </si>
  <si>
    <t>ЛТИЯ75446302400000083</t>
  </si>
  <si>
    <t>ЛТИЯ75446302400000091</t>
  </si>
  <si>
    <t>ЛТИЯ75446302400000096</t>
  </si>
  <si>
    <t>ЛТИЯ75446918601О0пись</t>
  </si>
  <si>
    <t>ЛТИЯ75446918602О0пись</t>
  </si>
  <si>
    <t>ЛТИЯ75446918800000000</t>
  </si>
  <si>
    <t>ЛТИЯ75446918803О0пись</t>
  </si>
  <si>
    <t>ЛТИЯ75446919100000001</t>
  </si>
  <si>
    <t>ЛТИЯ75446919200000001</t>
  </si>
  <si>
    <t>ЛТИЯ75446919203О0пись</t>
  </si>
  <si>
    <t>ЛТИЯ75446919300000001</t>
  </si>
  <si>
    <t>ЛТИЯ75446919300000002</t>
  </si>
  <si>
    <t>ЛТИЯ75446919400000001</t>
  </si>
  <si>
    <t>ЛТИЯ75446919500000000</t>
  </si>
  <si>
    <t>ЛТИЯ75446919600000001</t>
  </si>
  <si>
    <t>ЛТИЯ75446919603О0пись</t>
  </si>
  <si>
    <t>ЛТИЯ75452100100000000</t>
  </si>
  <si>
    <t>ЛТИЯ75452100300000000</t>
  </si>
  <si>
    <t>ЛТИЯ75744300200000000</t>
  </si>
  <si>
    <t>ЛТИЯ75744300200000001</t>
  </si>
  <si>
    <t>ЛТИЯ75744300300000000</t>
  </si>
  <si>
    <t>ЛТИЯ75744300300000001</t>
  </si>
  <si>
    <t>ЛТИЯ75744700200000000</t>
  </si>
  <si>
    <t>ЛТИЯ75744700200000001</t>
  </si>
  <si>
    <t>ЛТИЯ75744700300000000</t>
  </si>
  <si>
    <t>ЛТИЯ75744700500000000</t>
  </si>
  <si>
    <t>ЛТИЯ75744700600000000</t>
  </si>
  <si>
    <t>ЛТИЯ75744700700000000</t>
  </si>
  <si>
    <t>ЛТИЯ75744700700000001</t>
  </si>
  <si>
    <t>ЛТИЯ75744700700000002</t>
  </si>
  <si>
    <t>ЛТИЯ75744700800000000</t>
  </si>
  <si>
    <t>ЛТИЯ75744700900000000</t>
  </si>
  <si>
    <t>ЛТИЯ75745100100000000</t>
  </si>
  <si>
    <t>ЛТИЯ75745100100000001</t>
  </si>
  <si>
    <t>ЛТИЯ75745100100000002</t>
  </si>
  <si>
    <t>ЛТИЯ75746101000000000</t>
  </si>
  <si>
    <t>ЛТИЯ75746101400000000</t>
  </si>
  <si>
    <t>ЛТИЯ75746200100000000</t>
  </si>
  <si>
    <t>ЛТИЯ75746200200000000</t>
  </si>
  <si>
    <t>ЛТИЯ75746200300000000</t>
  </si>
  <si>
    <t>ЛТИЯ75746200400000000</t>
  </si>
  <si>
    <t>ЛТИЯ75746200500000000</t>
  </si>
  <si>
    <t>ЛТИЯ75746200600000000</t>
  </si>
  <si>
    <t>ЛТИЯ75746200600000001</t>
  </si>
  <si>
    <t>ЛТИЯ75746200700000000</t>
  </si>
  <si>
    <t>ЛТИЯ75746700400000000</t>
  </si>
  <si>
    <t>ЛТИЯ75747200200000000</t>
  </si>
  <si>
    <t>ЛТИЯ75747200300000000</t>
  </si>
  <si>
    <t>ЛТИЯ75747200400000000</t>
  </si>
  <si>
    <t>ЛТИЯ75747200500000000</t>
  </si>
  <si>
    <t>ЛТИЯ75747200600000000</t>
  </si>
  <si>
    <t>ЛТИЯ75747301200000000</t>
  </si>
  <si>
    <t>ЛТИЯ75747301400000000</t>
  </si>
  <si>
    <t>ЛТИЯ75747302400000000</t>
  </si>
  <si>
    <t>ЛТИЯ75747400400000000</t>
  </si>
  <si>
    <t>ЛТИЯ75747400500000000</t>
  </si>
  <si>
    <t>ЛТИЯ75747401300000000</t>
  </si>
  <si>
    <t>ЛТИЯ75747401400000000</t>
  </si>
  <si>
    <t>ЛТИЯ75747900100000000</t>
  </si>
  <si>
    <t>ЛТИЯ75751300200000000</t>
  </si>
  <si>
    <t>ЛТИЯ75751300300000000</t>
  </si>
  <si>
    <t>ЛТИЯ75751300400000000</t>
  </si>
  <si>
    <t>ЛТИЯ75751302000000000</t>
  </si>
  <si>
    <t>ЛТИЯ75751302100000000</t>
  </si>
  <si>
    <t>ЛТИЯ75751302200000000</t>
  </si>
  <si>
    <t>ЛТИЯ75751302400000000</t>
  </si>
  <si>
    <t>ЛТИЯ75751302500000000</t>
  </si>
  <si>
    <t>ЛТИЯ75751302700000000</t>
  </si>
  <si>
    <t>ЛТИЯ75751302800000000</t>
  </si>
  <si>
    <t>ЛТИЯ75751304100000000</t>
  </si>
  <si>
    <t>ЛТИЯ75753300200000000</t>
  </si>
  <si>
    <t>ЛТИЯ75753300200000001</t>
  </si>
  <si>
    <t>ЛТИЯ75753300600000000</t>
  </si>
  <si>
    <t>ЛТИЯ75753300700000000</t>
  </si>
  <si>
    <t>ЛТИЯ75753300800000000</t>
  </si>
  <si>
    <t>ЛТИЯ75753300900000000</t>
  </si>
  <si>
    <t>ЛТИЯ75753301000000000</t>
  </si>
  <si>
    <t>ЛТИЯ75753301100000000</t>
  </si>
  <si>
    <t>ЛТИЯ75753301200000000</t>
  </si>
  <si>
    <t>ЛТИЯ75753400100000000</t>
  </si>
  <si>
    <t>ЛТИЯ75753400300000000</t>
  </si>
  <si>
    <t>ЛТИЯ75756100100000000</t>
  </si>
  <si>
    <t>ЛТИЯ75756100100000001</t>
  </si>
  <si>
    <t>ЛТИЯ75756100100000002</t>
  </si>
  <si>
    <t>ЛТИЯ75756100100000003</t>
  </si>
  <si>
    <t>ЛТИЯ75756100200000000</t>
  </si>
  <si>
    <t>ЛТИЯ75756100200000001</t>
  </si>
  <si>
    <t>ЛТИЯ75756100200000002</t>
  </si>
  <si>
    <t>ЛТИЯ75756100200000003</t>
  </si>
  <si>
    <t>ЛТИЯ75756100300000000</t>
  </si>
  <si>
    <t>ЛТИЯ75756100300000001</t>
  </si>
  <si>
    <t>ЛТИЯ75756100300000002</t>
  </si>
  <si>
    <t>ЛТИЯ75756100300000003</t>
  </si>
  <si>
    <t>ЛТИЯ75756100400000000</t>
  </si>
  <si>
    <t>ЛТИЯ75756100400000001</t>
  </si>
  <si>
    <t>ЛТИЯ75756100400000002</t>
  </si>
  <si>
    <t>ЛТИЯ75756100400000003</t>
  </si>
  <si>
    <t>ЛТИЯ75756100600000000</t>
  </si>
  <si>
    <t>ЛТИЯ75756100600000001</t>
  </si>
  <si>
    <t>ЛТИЯ75756100600000002</t>
  </si>
  <si>
    <t>ЛТИЯ75756201400000000</t>
  </si>
  <si>
    <t>ЛТИЯ75781100100000000</t>
  </si>
  <si>
    <t>ЛТИЯ75781100200000000</t>
  </si>
  <si>
    <t>ЛТИЯ75781500100000000</t>
  </si>
  <si>
    <t>ЛТИЯ75783500100000000</t>
  </si>
  <si>
    <t>ЛТИЯ75783500300000000</t>
  </si>
  <si>
    <t>ЛТИЯ75783500500000000</t>
  </si>
  <si>
    <t>ЛТИЯ75783500500000001</t>
  </si>
  <si>
    <t>ЛТИЯ75783500500000002</t>
  </si>
  <si>
    <t>ЛТИЯ75785400200000000</t>
  </si>
  <si>
    <t>ЛТИЯ75785500500000000</t>
  </si>
  <si>
    <t>ЛТИЯ75785500800000000</t>
  </si>
  <si>
    <t>ЛТИЯ75785500800000001</t>
  </si>
  <si>
    <t>ЛТИЯ75785501400000000</t>
  </si>
  <si>
    <t>ЛТИЯ75785501500000000</t>
  </si>
  <si>
    <t>ЛТИЯ75811100200000001</t>
  </si>
  <si>
    <t>ЛТИЯ75812100600000000</t>
  </si>
  <si>
    <t>ЛТИЯ75812100900000001</t>
  </si>
  <si>
    <t>ЛТИЯ75812600200000000</t>
  </si>
  <si>
    <t>ЛТИЯ75812600300000000</t>
  </si>
  <si>
    <t>ЛТИЯ75812600500000000</t>
  </si>
  <si>
    <t>ЛТИЯ75813100400000000</t>
  </si>
  <si>
    <t>ЛТИЯ75813100800000000</t>
  </si>
  <si>
    <t>ЛТИЯ75815100400000000</t>
  </si>
  <si>
    <t>ЛТИЯ75815500200000000</t>
  </si>
  <si>
    <t>ЛТИЯ75821300200000000</t>
  </si>
  <si>
    <t>ЛТИЯ75822100900000000</t>
  </si>
  <si>
    <t>ЛТИЯ75822100900000001</t>
  </si>
  <si>
    <t>ЛТИЯ75829101600000000</t>
  </si>
  <si>
    <t>ЛТИЯ75829102400000000</t>
  </si>
  <si>
    <t>ЛТИЯ75829102400000001</t>
  </si>
  <si>
    <t>ЛТИЯ75829102400000002</t>
  </si>
  <si>
    <t>ЛТИЯ75829102500000000</t>
  </si>
  <si>
    <t>ЛТИЯ75829102600000000</t>
  </si>
  <si>
    <t>ЛТИЯ75829102700000000</t>
  </si>
  <si>
    <t>ЛТИЯ75829102800000000</t>
  </si>
  <si>
    <t>ЛТИЯ75829102800000001</t>
  </si>
  <si>
    <t>ЛТИЯ75829102900000000</t>
  </si>
  <si>
    <t>ЛТИЯ75829103000000000</t>
  </si>
  <si>
    <t>ЛТИЯ75829103200000000</t>
  </si>
  <si>
    <t>ЛТИЯ75829103200000001</t>
  </si>
  <si>
    <t>ЛТИЯ75829103600000000</t>
  </si>
  <si>
    <t>ЛТИЯ75829103600000003</t>
  </si>
  <si>
    <t>ЛТИЯ75829103600000004</t>
  </si>
  <si>
    <t>ЛТИЯ75829103600000005</t>
  </si>
  <si>
    <t>ЛТИЯ75829103600000006</t>
  </si>
  <si>
    <t>ЛТИЯ75829103600000007</t>
  </si>
  <si>
    <t>ЛТИЯ75829103600000008</t>
  </si>
  <si>
    <t>ЛТИЯ75829103600000010</t>
  </si>
  <si>
    <t>ЛТИЯ75829103600000011</t>
  </si>
  <si>
    <t>ЛТИЯ75829103600000012</t>
  </si>
  <si>
    <t>ЛТИЯ75829300100000000</t>
  </si>
  <si>
    <t>ЛТИЯ75829600100000000</t>
  </si>
  <si>
    <t>ЛТИЯ75834900800000000</t>
  </si>
  <si>
    <t>ЛТИЯ75835100100000000</t>
  </si>
  <si>
    <t>ЛТИЯ75841100300000000</t>
  </si>
  <si>
    <t>ЛТИЯ75842000200000000</t>
  </si>
  <si>
    <t>ЛТИЯ75844100100000000</t>
  </si>
  <si>
    <t>ЛТИЯ75844600100000000</t>
  </si>
  <si>
    <t>ЛТИЯ75844600200000000</t>
  </si>
  <si>
    <t>ЛТИЯ75849100500000000</t>
  </si>
  <si>
    <t>ЛТИЯ75849101900000000</t>
  </si>
  <si>
    <t>ЛТИЯ75849102000000000</t>
  </si>
  <si>
    <t>ЛТИЯ75849102800000000</t>
  </si>
  <si>
    <t>ЛТИЯ75849103100000000</t>
  </si>
  <si>
    <t>ЛТИЯ75849103200000000</t>
  </si>
  <si>
    <t>ЛТИЯ75849103400000000</t>
  </si>
  <si>
    <t>ЛТИЯ78512500500000000</t>
  </si>
  <si>
    <t>М00000000000000002777</t>
  </si>
  <si>
    <t>М00000000000000002805</t>
  </si>
  <si>
    <t>М00000000000000002881</t>
  </si>
  <si>
    <t>М00000000000000003514</t>
  </si>
  <si>
    <t>М00000000000000003531</t>
  </si>
  <si>
    <t>М00000000000000003578</t>
  </si>
  <si>
    <t>М00000000000000003583</t>
  </si>
  <si>
    <t>М00000000000000003629</t>
  </si>
  <si>
    <t>М00000000000000003662</t>
  </si>
  <si>
    <t>М00000000000000004847</t>
  </si>
  <si>
    <t>М00000000000000004848</t>
  </si>
  <si>
    <t>М00000000000000004921</t>
  </si>
  <si>
    <t>М00000000000000005294</t>
  </si>
  <si>
    <t>М00000000000000005975</t>
  </si>
  <si>
    <t>М00000000000000006120</t>
  </si>
  <si>
    <t>М00000000000000006353</t>
  </si>
  <si>
    <t>М00000000000000006624</t>
  </si>
  <si>
    <t>М00000000000000006665</t>
  </si>
  <si>
    <t>М00000000000000006718</t>
  </si>
  <si>
    <t>М00000000000000006728</t>
  </si>
  <si>
    <t>М00000000000000006729</t>
  </si>
  <si>
    <t>М00000000000000007276</t>
  </si>
  <si>
    <t>М00000000000000007605</t>
  </si>
  <si>
    <t>М00000000000000007606</t>
  </si>
  <si>
    <t>М00000000000000007847</t>
  </si>
  <si>
    <t>М00000000000000007869</t>
  </si>
  <si>
    <t>М00000000000000007994</t>
  </si>
  <si>
    <t>М00000000000000008035</t>
  </si>
  <si>
    <t>М00000000000000009120</t>
  </si>
  <si>
    <t>М00000000000000010286</t>
  </si>
  <si>
    <t>М00000000000000010296</t>
  </si>
  <si>
    <t>М00000000000000010298</t>
  </si>
  <si>
    <t>М00000000000000011305</t>
  </si>
  <si>
    <t>М00000000000000013842</t>
  </si>
  <si>
    <t>М00000000000000014758</t>
  </si>
  <si>
    <t>М00000000000000015011</t>
  </si>
  <si>
    <t>М00000000000000015952</t>
  </si>
  <si>
    <t>М00000000000000017635</t>
  </si>
  <si>
    <t>М00000000000000017950</t>
  </si>
  <si>
    <t>М00000000000000019717</t>
  </si>
  <si>
    <t>М00000000000000020163</t>
  </si>
  <si>
    <t>М00000000000000021139</t>
  </si>
  <si>
    <t>М00000000000000023422</t>
  </si>
  <si>
    <t>М00000000000000023711</t>
  </si>
  <si>
    <t>ПБИН30141135100000000</t>
  </si>
  <si>
    <t>ПБИН30426500400000000</t>
  </si>
  <si>
    <t>ПБИН30452200400000000</t>
  </si>
  <si>
    <t>ПБИН68552201100000000</t>
  </si>
  <si>
    <t>ПБИН71110013900000002</t>
  </si>
  <si>
    <t>ПБИН71110013900000006</t>
  </si>
  <si>
    <t>ПБИН71110013900000008</t>
  </si>
  <si>
    <t>ПБИН71110015000000000</t>
  </si>
  <si>
    <t>ПБИН71130006500000000</t>
  </si>
  <si>
    <t>ПБИН71130006600000000</t>
  </si>
  <si>
    <t>ПБИН71130010000000000</t>
  </si>
  <si>
    <t>ПБИН71130010000000001</t>
  </si>
  <si>
    <t>ПБИН71130010200000000</t>
  </si>
  <si>
    <t>ПБИН71150001100000000</t>
  </si>
  <si>
    <t>ПБИН71160002200000000</t>
  </si>
  <si>
    <t>ПБИН71230000500000000</t>
  </si>
  <si>
    <t>ПБИН71250000400000001</t>
  </si>
  <si>
    <t>ПБИН71310004000000002</t>
  </si>
  <si>
    <t>ПБИН71310004000000007</t>
  </si>
  <si>
    <t>ПБИН71310009500000000</t>
  </si>
  <si>
    <t>ПБИН71310009600000000</t>
  </si>
  <si>
    <t>ПБИН71310009900000000</t>
  </si>
  <si>
    <t>ПБИН71310017900000000</t>
  </si>
  <si>
    <t>ПБИН71320001100000000</t>
  </si>
  <si>
    <t>ПБИН71320001700000004</t>
  </si>
  <si>
    <t>ПБИН71330001800000000</t>
  </si>
  <si>
    <t>ПБИН71330002000000000</t>
  </si>
  <si>
    <t>ПБИН71330002200000000</t>
  </si>
  <si>
    <t>ПБИН71330002600000000</t>
  </si>
  <si>
    <t>ПБИН71330002800000000</t>
  </si>
  <si>
    <t>ПБИН71330006100000000</t>
  </si>
  <si>
    <t>ПБИН71330006800000000</t>
  </si>
  <si>
    <t>ПБИН71330008000000000</t>
  </si>
  <si>
    <t>ПБИН71330008400000000</t>
  </si>
  <si>
    <t>ПБИН71330008600000000</t>
  </si>
  <si>
    <t>ПБИН71330011300000004</t>
  </si>
  <si>
    <t>ПБИН71340000400000000</t>
  </si>
  <si>
    <t>ПБИН71340000500000000</t>
  </si>
  <si>
    <t>ПБИН71340002600000000</t>
  </si>
  <si>
    <t>ПБИН71340003600000000</t>
  </si>
  <si>
    <t>ПБИН71350001500000002</t>
  </si>
  <si>
    <t>ПБИН71350004500000000</t>
  </si>
  <si>
    <t>ПБИН71350005900000000</t>
  </si>
  <si>
    <t>ПБИН71370002200000000</t>
  </si>
  <si>
    <t>ПБИН71430001600000000</t>
  </si>
  <si>
    <t>ПБИН71430002600000002</t>
  </si>
  <si>
    <t>ПБИН71430002600000003</t>
  </si>
  <si>
    <t>ПБИН71510001800000000</t>
  </si>
  <si>
    <t>ПБИН71510001900000000</t>
  </si>
  <si>
    <t>ПБИН71510002900000000</t>
  </si>
  <si>
    <t>ПБИН71510016100000001</t>
  </si>
  <si>
    <t>ПБИН71530001300000010</t>
  </si>
  <si>
    <t>ПБИН71530003000000000</t>
  </si>
  <si>
    <t>ПБИН71530003400000000</t>
  </si>
  <si>
    <t>ПБИН71530003400000001</t>
  </si>
  <si>
    <t>ПБИН71530003400000003</t>
  </si>
  <si>
    <t>ПБИН71530003400000005</t>
  </si>
  <si>
    <t>ПБИН71530010000000000</t>
  </si>
  <si>
    <t>ПБИН71540002400000001</t>
  </si>
  <si>
    <t>ПБИН71540002400000002</t>
  </si>
  <si>
    <t>ПБИН71540002400000006</t>
  </si>
  <si>
    <t>ПБИН71540006000000000</t>
  </si>
  <si>
    <t>ПБИН71550002200000000</t>
  </si>
  <si>
    <t>ПБИН71550002600000000</t>
  </si>
  <si>
    <t>ПБИН71550003900000002</t>
  </si>
  <si>
    <t>ПБИН71550003900000003</t>
  </si>
  <si>
    <t>ПБИН71550004400000000</t>
  </si>
  <si>
    <t>ПБИН71550004500000000</t>
  </si>
  <si>
    <t>ПБИН71630001800000000</t>
  </si>
  <si>
    <t>ПБИН71630002000000000</t>
  </si>
  <si>
    <t>ПБИН72310006000000000</t>
  </si>
  <si>
    <t>ПБИН72320001600000000</t>
  </si>
  <si>
    <t>ПБИН72320002500000002</t>
  </si>
  <si>
    <t>ПБИН72320002600000000</t>
  </si>
  <si>
    <t>ПБИН72320002800000000</t>
  </si>
  <si>
    <t>ПБИН72320003500000000</t>
  </si>
  <si>
    <t>ПБИН72320003700000000</t>
  </si>
  <si>
    <t>ПБИН72320004000000000</t>
  </si>
  <si>
    <t>ПБИН72420002800000000</t>
  </si>
  <si>
    <t>ПБИН73310002700000001</t>
  </si>
  <si>
    <t>ПБИН73530007600000000</t>
  </si>
  <si>
    <t>ПБИН73530009000000000</t>
  </si>
  <si>
    <t>ПБИН74110017600000002</t>
  </si>
  <si>
    <t>ПБИН74110017600000003</t>
  </si>
  <si>
    <t>ПБИН74110017600000007</t>
  </si>
  <si>
    <t>ПБИН74110017600000017</t>
  </si>
  <si>
    <t>ПБИН74110017600000033</t>
  </si>
  <si>
    <t>ПБИН74110017600000035</t>
  </si>
  <si>
    <t>ПБИН74110017600000055</t>
  </si>
  <si>
    <t>ПБИН74110017700000002</t>
  </si>
  <si>
    <t>ПБИН74110017700000003</t>
  </si>
  <si>
    <t>ПБИН74110017700000007</t>
  </si>
  <si>
    <t>ПБИН74110017700000017</t>
  </si>
  <si>
    <t>ПБИН74110017700000033</t>
  </si>
  <si>
    <t>ПБИН74110017700000035</t>
  </si>
  <si>
    <t>ПБИН74110017700000055</t>
  </si>
  <si>
    <t>ПБИН74110017800000002</t>
  </si>
  <si>
    <t>ПБИН74110017800000003</t>
  </si>
  <si>
    <t>ПБИН74110017800000007</t>
  </si>
  <si>
    <t>ПБИН74110017800000017</t>
  </si>
  <si>
    <t>ПБИН74110017800000033</t>
  </si>
  <si>
    <t>ПБИН74110017800000035</t>
  </si>
  <si>
    <t>ПБИН74110017800000055</t>
  </si>
  <si>
    <t>ПБИН74110017900000002</t>
  </si>
  <si>
    <t>ПБИН74110017900000003</t>
  </si>
  <si>
    <t>ПБИН74110017900000007</t>
  </si>
  <si>
    <t>ПБИН74110017900000017</t>
  </si>
  <si>
    <t>ПБИН74110017900000033</t>
  </si>
  <si>
    <t>ПБИН74110017900000035</t>
  </si>
  <si>
    <t>ПБИН74110017900000055</t>
  </si>
  <si>
    <t>ПБИН74110018000000002</t>
  </si>
  <si>
    <t>ПБИН74110018000000003</t>
  </si>
  <si>
    <t>ПБИН74110018000000007</t>
  </si>
  <si>
    <t>ПБИН74110018000000017</t>
  </si>
  <si>
    <t>ПБИН74110018000000033</t>
  </si>
  <si>
    <t>ПБИН74110018000000035</t>
  </si>
  <si>
    <t>ПБИН74110018000000055</t>
  </si>
  <si>
    <t>ПБИН74110088800000000</t>
  </si>
  <si>
    <t>ПБИН74110123200000000</t>
  </si>
  <si>
    <t>ПБИН74110123400000000</t>
  </si>
  <si>
    <t>ПБИН74110124600000000</t>
  </si>
  <si>
    <t>ПБИН74110124800000000</t>
  </si>
  <si>
    <t>ПБИН74110127000000000</t>
  </si>
  <si>
    <t>ПБИН74110130000000000</t>
  </si>
  <si>
    <t>ПБИН74110148800000000</t>
  </si>
  <si>
    <t>ПБИН74110154000000000</t>
  </si>
  <si>
    <t>ПБИН74110310200000000</t>
  </si>
  <si>
    <t>ПБИН74150001600000000</t>
  </si>
  <si>
    <t>ПБИН74150001700000000</t>
  </si>
  <si>
    <t>ПБИН74520024700000000</t>
  </si>
  <si>
    <t>ПБИН74520029300000000</t>
  </si>
  <si>
    <t>ПБИН74520038000000000</t>
  </si>
  <si>
    <t>ПБИН74550008300000000</t>
  </si>
  <si>
    <t>ПБИН74610002800000000</t>
  </si>
  <si>
    <t>ПБИН74670004500000000</t>
  </si>
  <si>
    <t>ПБИН74670004700000000</t>
  </si>
  <si>
    <t>ПБИН75130000600000000</t>
  </si>
  <si>
    <t>ПБИН75260018900000000</t>
  </si>
  <si>
    <t>ПБИН75310003200000000</t>
  </si>
  <si>
    <t>ПБИН75350001000000000</t>
  </si>
  <si>
    <t>ПБИН75360001000000000</t>
  </si>
  <si>
    <t>ПБИН75360001100000000</t>
  </si>
  <si>
    <t>ПБИН75360001400000000</t>
  </si>
  <si>
    <t>ПБИН75360004400000000</t>
  </si>
  <si>
    <t>ПБИН75410004400000000</t>
  </si>
  <si>
    <t>ПБИН75410005900000000</t>
  </si>
  <si>
    <t>ПБИН75410006000000000</t>
  </si>
  <si>
    <t>ПБИН75410008100000002</t>
  </si>
  <si>
    <t>ПБИН75410008200000000</t>
  </si>
  <si>
    <t>ПБИН75410009300000000</t>
  </si>
  <si>
    <t>ПБИН75440000900000000</t>
  </si>
  <si>
    <t>ПБИН75450000700000000</t>
  </si>
  <si>
    <t>ПБИН75740004600000000</t>
  </si>
  <si>
    <t>ПБИН75740005200000002</t>
  </si>
  <si>
    <t>ПБИН75740011000000000</t>
  </si>
  <si>
    <t>ПБИН75740011000000001</t>
  </si>
  <si>
    <t>ПБИН75740011200000000</t>
  </si>
  <si>
    <t>ПБИН75740011400000000</t>
  </si>
  <si>
    <t>ПБИН75740013200000000</t>
  </si>
  <si>
    <t>ПБИН75740013300000000</t>
  </si>
  <si>
    <t>ПБИН75740014600000000</t>
  </si>
  <si>
    <t>ПБИН75740014700000000</t>
  </si>
  <si>
    <t>ПБИН75740014800000000</t>
  </si>
  <si>
    <t>ПБИН75740014900000000</t>
  </si>
  <si>
    <t>ПБИН75740016800000000</t>
  </si>
  <si>
    <t>ПБИН75750007900000000</t>
  </si>
  <si>
    <t>ПБИН75810001300000000</t>
  </si>
  <si>
    <t>ПБИН75810004200000000</t>
  </si>
  <si>
    <t>ПБИН75810005000000000</t>
  </si>
  <si>
    <t>ПБИН75810005600000001</t>
  </si>
  <si>
    <t>ПБИН75810005600000002</t>
  </si>
  <si>
    <t>ПБИН75810005600000003</t>
  </si>
  <si>
    <t>ПБИН75810005600000004</t>
  </si>
  <si>
    <t>ПБИН75810005600000008</t>
  </si>
  <si>
    <t>ПБИН75820002300000000</t>
  </si>
  <si>
    <t>ПБИН75840007200000000</t>
  </si>
  <si>
    <t>ПБИН75840007400000000</t>
  </si>
  <si>
    <t>ПБИН75840007500000000</t>
  </si>
  <si>
    <t>ПБИН75840008200000000</t>
  </si>
  <si>
    <t>ПБИН75840008500000000</t>
  </si>
  <si>
    <t>ПБИН75840016100000002</t>
  </si>
  <si>
    <t>ПБИН75840016200000000</t>
  </si>
  <si>
    <t>ПБИН75840016300000000</t>
  </si>
  <si>
    <t>ПБИН75840016400000000</t>
  </si>
  <si>
    <t>ПБИН75840016400000001</t>
  </si>
  <si>
    <t>ПБИН75840016600000000</t>
  </si>
  <si>
    <t>ПБИН75840017400000000</t>
  </si>
  <si>
    <t>ПБИН75840017400000001</t>
  </si>
  <si>
    <t>ПБИН75840017500000000</t>
  </si>
  <si>
    <t>ПБИН75840017500000001</t>
  </si>
  <si>
    <t>ПБИН75840017500000002</t>
  </si>
  <si>
    <t>ПБИН75840018600000000</t>
  </si>
  <si>
    <t>ПБИН75840019200000000</t>
  </si>
  <si>
    <t>ПБИН75840019300000000</t>
  </si>
  <si>
    <t>ПБИН75840019300000001</t>
  </si>
  <si>
    <t>ПБИН75840019400000000</t>
  </si>
  <si>
    <t>ПБИН75840019400000001</t>
  </si>
  <si>
    <t>ПБИН75840023900000000</t>
  </si>
  <si>
    <t>ПБИН75840024000000000</t>
  </si>
  <si>
    <t>ПБИН75840024400000000</t>
  </si>
  <si>
    <t>ПБИН75840029500000000</t>
  </si>
  <si>
    <t>ПБИН75840042000000000</t>
  </si>
  <si>
    <t>ПБИН76440000200000000</t>
  </si>
  <si>
    <t>СКИД68554100200000008</t>
  </si>
  <si>
    <t>СКИД71114100300000404</t>
  </si>
  <si>
    <t>СКИД71314100100001901</t>
  </si>
  <si>
    <t>СКИД71314100200001803</t>
  </si>
  <si>
    <t>СКИД71314100200001903</t>
  </si>
  <si>
    <t>СКИД71314100300002104</t>
  </si>
  <si>
    <t>СКИД71314100300003104</t>
  </si>
  <si>
    <t>СКИД71334100400001103</t>
  </si>
  <si>
    <t>СКИД71334100500000000</t>
  </si>
  <si>
    <t>СКИД71334100500000001</t>
  </si>
  <si>
    <t>СКИД71334100500000002</t>
  </si>
  <si>
    <t>СКИД71334100500000003</t>
  </si>
  <si>
    <t>СКИД71334100600000000</t>
  </si>
  <si>
    <t>СКИД71334100600000003</t>
  </si>
  <si>
    <t>СКИД71334100700000011</t>
  </si>
  <si>
    <t>СКИД71334500100000011</t>
  </si>
  <si>
    <t>СКИД71511100200000007</t>
  </si>
  <si>
    <t>СКИД71514100100000101</t>
  </si>
  <si>
    <t>СКИД75746100200000105</t>
  </si>
  <si>
    <t>СКИД75746100200000405</t>
  </si>
  <si>
    <t>СКИД75746300100000205</t>
  </si>
  <si>
    <t>СКИД75746300100000305</t>
  </si>
  <si>
    <t>СКИД75746300100000405</t>
  </si>
  <si>
    <t>СКИД75746300100000605</t>
  </si>
  <si>
    <t>СКИД75746300100000705</t>
  </si>
  <si>
    <t>СКИД75746300100000805</t>
  </si>
  <si>
    <t>СКИД75746300100001105</t>
  </si>
  <si>
    <t>СКИД75746300100001205</t>
  </si>
  <si>
    <t>СКИД75746300100001305</t>
  </si>
  <si>
    <t>СКИД75746300100001605</t>
  </si>
  <si>
    <t>СКИД75746300100001805</t>
  </si>
  <si>
    <t>СКИД75746300100002305</t>
  </si>
  <si>
    <t>СКИД75746300100002405</t>
  </si>
  <si>
    <t>СКИД75746300100002705</t>
  </si>
  <si>
    <t>СКИД75746300300000505</t>
  </si>
  <si>
    <t>СКИД75746300300001505</t>
  </si>
  <si>
    <t>СКИД75746300300001905</t>
  </si>
  <si>
    <t>СКИД75746300300002705</t>
  </si>
  <si>
    <t>СКИД75746600100000603</t>
  </si>
  <si>
    <t>СКИД75746600100000703</t>
  </si>
  <si>
    <t>СКИД75746600100000903</t>
  </si>
  <si>
    <t>СКИД75746600100001803</t>
  </si>
  <si>
    <t>СКИД75746600100001903</t>
  </si>
  <si>
    <t>СКИД75746600100002103</t>
  </si>
  <si>
    <t>СКИД75746600100002403</t>
  </si>
  <si>
    <t>СКИД75746600100002703</t>
  </si>
  <si>
    <t>СКИД75746600100003003</t>
  </si>
  <si>
    <t>СКИД75746600100003103</t>
  </si>
  <si>
    <t>СКИД75746600100003703</t>
  </si>
  <si>
    <t>СКИД75746600100004003</t>
  </si>
  <si>
    <t>СКИД75746600100004303</t>
  </si>
  <si>
    <t>СКИД75746600100005203</t>
  </si>
  <si>
    <t>СКИД75746700200000603</t>
  </si>
  <si>
    <t>СКИД75746700200001303</t>
  </si>
  <si>
    <t>СКИД75746700200001903</t>
  </si>
  <si>
    <t>СКИД75746700200002203</t>
  </si>
  <si>
    <t>СКИД75746700200004303</t>
  </si>
  <si>
    <t>СКИД75746700600000601</t>
  </si>
  <si>
    <t>СКИД75746800200001605</t>
  </si>
  <si>
    <t>СКИД75746800200001705</t>
  </si>
  <si>
    <t>СКИД75746800200001805</t>
  </si>
  <si>
    <t>СКИД75746800200002205</t>
  </si>
  <si>
    <t>СКИД75746800200002605</t>
  </si>
  <si>
    <t>СКИД75746800200002705</t>
  </si>
  <si>
    <t>СКИД75746800200003005</t>
  </si>
  <si>
    <t>СКИД75746800200003205</t>
  </si>
  <si>
    <t>СКИД75746800200003305</t>
  </si>
  <si>
    <t>СКИД75849400100000000</t>
  </si>
  <si>
    <t>СКИД75849400100000001</t>
  </si>
  <si>
    <t>СКИД75849400100000002</t>
  </si>
  <si>
    <t>СКИД75849500100000002</t>
  </si>
  <si>
    <t>СКИД75849900100000003</t>
  </si>
  <si>
    <t>ЦЛИБ30152700800000000</t>
  </si>
  <si>
    <t>ЦЛИБ32116300300000002</t>
  </si>
  <si>
    <t>ЦЛИБ32116300300000003</t>
  </si>
  <si>
    <t>ЦЛИБ32116300300000008</t>
  </si>
  <si>
    <t>ЦЛИБ32116300300000012</t>
  </si>
  <si>
    <t>ЦЛИБ32116300300000018</t>
  </si>
  <si>
    <t>ЦЛИБ32116300300000029</t>
  </si>
  <si>
    <t>ЦЛИБ32116300300000034</t>
  </si>
  <si>
    <t>ЦЛИБ32116300300000036</t>
  </si>
  <si>
    <t>ЦЛИБ32116300300000050</t>
  </si>
  <si>
    <t>ЦЛИБ32116300300000055</t>
  </si>
  <si>
    <t>ЦЛИБ71110004900000002</t>
  </si>
  <si>
    <t>ЦЛИБ71110004900000006</t>
  </si>
  <si>
    <t>ЦЛИБ71115400200000000</t>
  </si>
  <si>
    <t>ЦЛИБ71115400200000001</t>
  </si>
  <si>
    <t>ЦЛИБ71330001500000000</t>
  </si>
  <si>
    <t>ЦЛИБ71530001500000000</t>
  </si>
  <si>
    <t>ЦЛИБ71550001000000000</t>
  </si>
  <si>
    <t>ЦЛИБ73520001500000000</t>
  </si>
  <si>
    <t>ЦЛИБ73520001900000001</t>
  </si>
  <si>
    <t>ЦЛИБ73520001900000002</t>
  </si>
  <si>
    <t>ЦЛИБ74110004800000000</t>
  </si>
  <si>
    <t>ЦЛИБ74110007000000000</t>
  </si>
  <si>
    <t>ЦЛИБ74110010300000000</t>
  </si>
  <si>
    <t>ЦЛИБ74110016100000000</t>
  </si>
  <si>
    <t>ЦЛИБ74110026600000000</t>
  </si>
  <si>
    <t>ЦЛИБ74112401000000000</t>
  </si>
  <si>
    <t>ЦЛИБ74150001800000038</t>
  </si>
  <si>
    <t>ЦЛИБ74150001800000039</t>
  </si>
  <si>
    <t>ЦЛИБ74150001900000000</t>
  </si>
  <si>
    <t>ЦЛИБ74530006200000000</t>
  </si>
  <si>
    <t>ЦЛИБ74530006300000000</t>
  </si>
  <si>
    <t>ЦЛИБ74540000700000001</t>
  </si>
  <si>
    <t>ЦЛИБ75440001800000000</t>
  </si>
  <si>
    <t>ЦЛИБ75440002000000000</t>
  </si>
  <si>
    <t>ЦЛИБ75740000700000000</t>
  </si>
  <si>
    <t>ЦЛИБ75740000800000000</t>
  </si>
  <si>
    <t>ЦЛИБ75740000800000001</t>
  </si>
  <si>
    <t>ЦЛИБ75810001400000000</t>
  </si>
  <si>
    <t>ЦЛИБ75810001400000002</t>
  </si>
  <si>
    <t>ЦЛИБ75810001400000003</t>
  </si>
  <si>
    <t>ЦЛИБ75820000300000001</t>
  </si>
  <si>
    <t>ЦЛИБ75820000300000002</t>
  </si>
  <si>
    <t>ЦЛИБ75820000300000003</t>
  </si>
  <si>
    <t>ЦЛИБ75820000300000006</t>
  </si>
  <si>
    <t>ЦЛИБ75820000300000008</t>
  </si>
  <si>
    <t>ЦЛИБ75820000300000009</t>
  </si>
  <si>
    <t>ЦЛИБ75820000300000011</t>
  </si>
  <si>
    <t>ЦЛИБ75820000300000012</t>
  </si>
  <si>
    <t>ЦЛИБ75820000300000013</t>
  </si>
  <si>
    <t>ЦЛИБ75820000300000015</t>
  </si>
  <si>
    <t>ЦЛИБ75820000300000018</t>
  </si>
  <si>
    <t>ЦЛИБ75820000300000019</t>
  </si>
  <si>
    <t>ЦЛИБ75830000500000000</t>
  </si>
  <si>
    <t>ЦЛИБ75840002700000000</t>
  </si>
  <si>
    <t>ЦЛИБ75840002700000001</t>
  </si>
  <si>
    <t>ЦЛИБ75840002700000003</t>
  </si>
  <si>
    <t>ЦЛИБ75840005800000000</t>
  </si>
  <si>
    <t>ЦЛИБ75840005800000001</t>
  </si>
  <si>
    <t>ЦЛИБ75840007100000000</t>
  </si>
  <si>
    <t>ЮПИЯ71326300200000000</t>
  </si>
  <si>
    <t>ЮПИЯ71326300200000001</t>
  </si>
  <si>
    <t>ЮПИЯ71326300200000002</t>
  </si>
  <si>
    <t>ЮПИЯ71326300200000003</t>
  </si>
  <si>
    <t>ЮПИЯ71326300200000004</t>
  </si>
  <si>
    <t>ЮПИЯ71326300200000005</t>
  </si>
  <si>
    <t>ЮПИЯ71326300200000007</t>
  </si>
  <si>
    <t>ЮПИЯ71336100200000003</t>
  </si>
  <si>
    <t>ЮПИЯ71336100200000004</t>
  </si>
  <si>
    <t>ЮПИЯ71336100200000008</t>
  </si>
  <si>
    <t>ЮПИЯ71336100200000010</t>
  </si>
  <si>
    <t>ЮПИЯ71336100200000011</t>
  </si>
  <si>
    <t>ЮПИЯ71336100200000012</t>
  </si>
  <si>
    <t>ЮПИЯ71336100200000013</t>
  </si>
  <si>
    <t>ЮПИЯ71336100200000014</t>
  </si>
  <si>
    <t>ЮПИЯ71336100200000016</t>
  </si>
  <si>
    <t>ЮПИЯ71336100200000017</t>
  </si>
  <si>
    <t>ЮПИЯ71336100200000018</t>
  </si>
  <si>
    <t>ЮПИЯ71336100200000019</t>
  </si>
  <si>
    <t>ЮПИЯ71336100200000021</t>
  </si>
  <si>
    <t>ЮПИЯ71336100200000022</t>
  </si>
  <si>
    <t>ЮПИЯ71336100200000023</t>
  </si>
  <si>
    <t>ЮПИЯ71336100200000025</t>
  </si>
  <si>
    <t>ЮПИЯ71336100200000026</t>
  </si>
  <si>
    <t>ЮПИЯ71336100200000027</t>
  </si>
  <si>
    <t>ЮПИЯ71336100200000029</t>
  </si>
  <si>
    <t>ЮПИЯ71336100200000033</t>
  </si>
  <si>
    <t>ЮПИЯ71336100200000034</t>
  </si>
  <si>
    <t>ЮПИЯ71336100200000035</t>
  </si>
  <si>
    <t>ЮПИЯ71336100200000037</t>
  </si>
  <si>
    <t>ЮПИЯ71336100400000014</t>
  </si>
  <si>
    <t>ЮПИЯ71336100500000005</t>
  </si>
  <si>
    <t>ЮПИЯ71336100500000008</t>
  </si>
  <si>
    <t>ЮПИЯ71336100500000009</t>
  </si>
  <si>
    <t>ЮПИЯ71336100500000011</t>
  </si>
  <si>
    <t>ЮПИЯ71336100500000012</t>
  </si>
  <si>
    <t>ЮПИЯ71336100500000015</t>
  </si>
  <si>
    <t>ЮПИЯ71336100500000016</t>
  </si>
  <si>
    <t>ЮПИЯ71336100500000017</t>
  </si>
  <si>
    <t>ЮПИЯ71336100500000018</t>
  </si>
  <si>
    <t>ЮПИЯ71336100500000019</t>
  </si>
  <si>
    <t>ЮПИЯ71336100500000021</t>
  </si>
  <si>
    <t>ЮПИЯ71336100500000022</t>
  </si>
  <si>
    <t>ЮПИЯ71336100500000023</t>
  </si>
  <si>
    <t>ЮПИЯ71336100500000025</t>
  </si>
  <si>
    <t>ЮПИЯ71336100500000030</t>
  </si>
  <si>
    <t>ЮПИЯ71336100500000035</t>
  </si>
  <si>
    <t>ЮПИЯ71336100600000000</t>
  </si>
  <si>
    <t>ЮПИЯ71336100600000002</t>
  </si>
  <si>
    <t>ЮПИЯ71336100600000007</t>
  </si>
  <si>
    <t>ЮПИЯ71336100600000009</t>
  </si>
  <si>
    <t>ЮПИЯ71336100600000013</t>
  </si>
  <si>
    <t>ЮПИЯ71336100600000017</t>
  </si>
  <si>
    <t>ЮПИЯ71336100800000015</t>
  </si>
  <si>
    <t>ЮПИЯ71336100800000017</t>
  </si>
  <si>
    <t>ЮПИЯ71336100900000011</t>
  </si>
  <si>
    <t>ЮПИЯ71336100900000017</t>
  </si>
  <si>
    <t>ЮПИЯ71336101000000001</t>
  </si>
  <si>
    <t>ЮПИЯ71336101000000002</t>
  </si>
  <si>
    <t>ЮПИЯ71336101000000013</t>
  </si>
  <si>
    <t>ЮПИЯ71336101000000017</t>
  </si>
  <si>
    <t>ЮПИЯ75312400200000006</t>
  </si>
  <si>
    <t>ЮПИЯ75312400200000007</t>
  </si>
  <si>
    <t>ЮПИЯ75312400200000014</t>
  </si>
  <si>
    <t>ЮПИЯ75312400200000016</t>
  </si>
  <si>
    <t>ЮПИЯ75312400200000017</t>
  </si>
  <si>
    <t>ЮПИЯ75312400200000019</t>
  </si>
  <si>
    <t>ЮПИЯ75312400200000021</t>
  </si>
  <si>
    <t>ЮПИЯ75312400200000023</t>
  </si>
  <si>
    <t>ЮПИЯ75312400200000025</t>
  </si>
  <si>
    <t>ЮПИЯ75312400200000027</t>
  </si>
  <si>
    <t>ЮПИЯ75312400200000030</t>
  </si>
  <si>
    <t>ЮПИЯ75312400400000018</t>
  </si>
  <si>
    <t>ЮПИЯ75312400500000019</t>
  </si>
  <si>
    <t>ЮПИЯ75312400500000021</t>
  </si>
  <si>
    <t>ЮПИЯ75312400500000025</t>
  </si>
  <si>
    <t>ЮПИЯ75312400500000027</t>
  </si>
  <si>
    <t>ЮПИЯ75312400500000030</t>
  </si>
  <si>
    <t>ЮПИЯ75312400600000009</t>
  </si>
  <si>
    <t>ЮПИЯ75312401200000008</t>
  </si>
  <si>
    <t>material</t>
  </si>
  <si>
    <t>products</t>
  </si>
  <si>
    <t>АРПС</t>
  </si>
  <si>
    <t>МАСИ АРПС</t>
  </si>
  <si>
    <t>Ю628 АРПС</t>
  </si>
  <si>
    <t>Неман Орх К625</t>
  </si>
  <si>
    <t>РПДМ АРПС</t>
  </si>
  <si>
    <t>Неман Орх К6762</t>
  </si>
  <si>
    <t>БГБК</t>
  </si>
  <si>
    <t>БГБК АРПС</t>
  </si>
  <si>
    <t>БГБК Кузов Неман Орх ТН26</t>
  </si>
  <si>
    <t>Неман Орх</t>
  </si>
  <si>
    <t>АН_ГТ БГБК Кузов Неман Орх ТН26</t>
  </si>
  <si>
    <t>00ЕР77302050000000000</t>
  </si>
  <si>
    <t>БГБК РПДМ АРПС</t>
  </si>
  <si>
    <t>БГБК Орх</t>
  </si>
  <si>
    <t>БГБК Неман Орх ТН26</t>
  </si>
  <si>
    <t>00ЕР82290590000000000</t>
  </si>
  <si>
    <t>БГБК Неман</t>
  </si>
  <si>
    <t>00ЕР82290600000000000</t>
  </si>
  <si>
    <t>БГБК Орх ТН26</t>
  </si>
  <si>
    <t>00ЕР82470330000000000</t>
  </si>
  <si>
    <t>00ЕР83001590000000000</t>
  </si>
  <si>
    <t>БГБК Неман Орх</t>
  </si>
  <si>
    <t>00ЕР83181100000000000</t>
  </si>
  <si>
    <t>00ЕР83831780000000000</t>
  </si>
  <si>
    <t>00ЕР83832320000000000</t>
  </si>
  <si>
    <t>00ЕР83850490000000000</t>
  </si>
  <si>
    <t>00ЕР83850500000000000</t>
  </si>
  <si>
    <t>00ЕР86108320000000000</t>
  </si>
  <si>
    <t>Неман Орх ТН26</t>
  </si>
  <si>
    <t>00ЕР86688220000000000</t>
  </si>
  <si>
    <t>АН_ГТ БГБК Орх ТН26</t>
  </si>
  <si>
    <t>БГБК Кузов Неман Орх ТН26 УСП</t>
  </si>
  <si>
    <t>БГБК Орх УСП</t>
  </si>
  <si>
    <t>00ЕР89020340000000001</t>
  </si>
  <si>
    <t>00ЕР89070070000000000</t>
  </si>
  <si>
    <t>БГБК РПДМ</t>
  </si>
  <si>
    <t>00ЖЯ79346160000000002</t>
  </si>
  <si>
    <t>00ЖЯ83838580000000000</t>
  </si>
  <si>
    <t>00ЖЯ83838590000000000</t>
  </si>
  <si>
    <t>00ЖЯ89264310000000000</t>
  </si>
  <si>
    <t>00ЖЯ89282750000000000</t>
  </si>
  <si>
    <t>00ЖЯ90603130000000000</t>
  </si>
  <si>
    <t>00ЖЯ93640710000000000</t>
  </si>
  <si>
    <t>00ШИ78500430000000001</t>
  </si>
  <si>
    <t>00ШИ78500660000000000</t>
  </si>
  <si>
    <t>0НЕР78600090000000000</t>
  </si>
  <si>
    <t>БГБК МАСИ Неман</t>
  </si>
  <si>
    <t>БГБК ПКЗ УСП</t>
  </si>
  <si>
    <t>0ННН89608780000000003</t>
  </si>
  <si>
    <t>0ННН89609100000000003</t>
  </si>
  <si>
    <t>АН_ГТ БГБК МАСИ Неман Орх РПДМ Р673 ТН26</t>
  </si>
  <si>
    <t>МАСИ Неман Орх К6762</t>
  </si>
  <si>
    <t>ИТНЯ74521239600000000</t>
  </si>
  <si>
    <t>ЛТИЯ30155600200000000</t>
  </si>
  <si>
    <t>ЛТИЯ30534102900000000</t>
  </si>
  <si>
    <t>ЛТИЯ71316300100000000</t>
  </si>
  <si>
    <t>АН_ГТ БГБК РПДМ АРПС</t>
  </si>
  <si>
    <t>ЛТИЯ71332100300000000</t>
  </si>
  <si>
    <t>Комп_тр Неман Орх К625 К6762 Ю628 ЩК ЩРС ЩРУ Ю627</t>
  </si>
  <si>
    <t>ЛТИЯ74132400100000000</t>
  </si>
  <si>
    <t>БГБК Кузов Неман Орх РПДМ ТН26 АРПС</t>
  </si>
  <si>
    <t>Комп_тр Неман Орх РПДМ ТН26 АРПС</t>
  </si>
  <si>
    <t>ЛТИЯ74522201000000000</t>
  </si>
  <si>
    <t>ЛТИЯ74612200300000000</t>
  </si>
  <si>
    <t>Кузов Неман РПДМ АРПС</t>
  </si>
  <si>
    <t>Неман Орх К6762 Ю628</t>
  </si>
  <si>
    <t>БГБК Неман Орх РПДМ Р170П АРПС</t>
  </si>
  <si>
    <t>БГБК МАСИ Неман Орх К625 К6762 Ю628 Ю627 АРПС</t>
  </si>
  <si>
    <t>БГБК Неман Орх К6762 Р170П Ю627</t>
  </si>
  <si>
    <t>БГБК МАСИ Неман Орх К625 Ю628 АРПС</t>
  </si>
  <si>
    <t>БГБК МАСИ Неман Орх ТН26 АРПС</t>
  </si>
  <si>
    <t>АН_ГТ БГБК Кузов Неман Орх РПДМ АРПС</t>
  </si>
  <si>
    <t>Орх ТН26 АРПС</t>
  </si>
  <si>
    <t>БГБК УСП АРПС</t>
  </si>
  <si>
    <t>БГБК Неман Орх РПДМ Р673 ТН26 ЩРУ АРПС</t>
  </si>
  <si>
    <t>МАСИ Ю628 АРПС</t>
  </si>
  <si>
    <t>БГБК Неман Орх РПДМ Р170П Р673 ТН26 АРПС</t>
  </si>
  <si>
    <t>БГБК Неман Орх К6762 Ю628</t>
  </si>
  <si>
    <t>АН_ГТ Орх ТН26</t>
  </si>
  <si>
    <t>МАСИ Неман Орх Ю627</t>
  </si>
  <si>
    <t>ПБИН71110015000000008</t>
  </si>
  <si>
    <t>Неман Орх К67411Б</t>
  </si>
  <si>
    <t>МАСИ Неман Орх К6762 Ю628 Ю627 АРПС</t>
  </si>
  <si>
    <t>МАСИ Ю627</t>
  </si>
  <si>
    <t>К67411Б</t>
  </si>
  <si>
    <t>Орх К67411Б ТН26</t>
  </si>
  <si>
    <t>МАСИ Неман Орх К625 К6762</t>
  </si>
  <si>
    <t>ПБИН71320001700000000</t>
  </si>
  <si>
    <t>МАСИ К6762</t>
  </si>
  <si>
    <t>Неман Орх К67411Б ТН26</t>
  </si>
  <si>
    <t>БГБК Неман Орх К6762 РПДМ Ю627</t>
  </si>
  <si>
    <t>МАСИ Неман Орх</t>
  </si>
  <si>
    <t>ПБИН71350001500000000</t>
  </si>
  <si>
    <t>ПБИН71430002600000001</t>
  </si>
  <si>
    <t>МАСИ К67411Б</t>
  </si>
  <si>
    <t>ПБИН71510011100000000</t>
  </si>
  <si>
    <t>ПБИН71510011100000001</t>
  </si>
  <si>
    <t>ПБИН71510015900000000</t>
  </si>
  <si>
    <t>Неман Орх К6762 Ю628 Ю627</t>
  </si>
  <si>
    <t>ПБИН71550004500000001</t>
  </si>
  <si>
    <t>МАСИ Неман Орх К67411Б</t>
  </si>
  <si>
    <t>ПБИН72320002500000001</t>
  </si>
  <si>
    <t>МАСИ Неман Орх К67411Б ТН26</t>
  </si>
  <si>
    <t>ПБИН72320003600000000</t>
  </si>
  <si>
    <t>ПБИН72330000800000000</t>
  </si>
  <si>
    <t>ПБИН72420002200000001</t>
  </si>
  <si>
    <t>ПБИН72420002200000002</t>
  </si>
  <si>
    <t>ПБИН73310002700000000</t>
  </si>
  <si>
    <t>БГБК МАСИ Неман Орх РПДМ Ю628 Ю627</t>
  </si>
  <si>
    <t>ПБИН74530032000000000</t>
  </si>
  <si>
    <t>МАСИ Неман Орх К67411Б К6762</t>
  </si>
  <si>
    <t>ПБИН75410005400000005</t>
  </si>
  <si>
    <t>К6762</t>
  </si>
  <si>
    <t>ПБИН75410008100000001</t>
  </si>
  <si>
    <t>Комп_тр МАСИ Неман Орх ПКЗ К625 К67411Б К6762 РПДМ Ю628 ТН26 Ю627</t>
  </si>
  <si>
    <t>ПБИН75740005200000000</t>
  </si>
  <si>
    <t>МАСИ Неман Орх К6762 Ю628 АРПС</t>
  </si>
  <si>
    <t>Неман Орх К6762 Ю628 Ю627 АРПС</t>
  </si>
  <si>
    <t>ПБИН75840016100000001</t>
  </si>
  <si>
    <t>ПБИН75840029600000000</t>
  </si>
  <si>
    <t>БГБК МАСИ РПДМ</t>
  </si>
  <si>
    <t>БГБК Орх ТН26 АРПС</t>
  </si>
  <si>
    <t>БГБК МАСИ Неман Орх РПДМ Р170П ТН26 АРПС</t>
  </si>
  <si>
    <t>БГБК Кузов МАСИ Неман Орх РПДМ ТН26 АРПС</t>
  </si>
  <si>
    <t>БГБК МАСИ Неман Орх ТН26</t>
  </si>
  <si>
    <t>СКИД71334100600000004</t>
  </si>
  <si>
    <t>БГБК МАСИ</t>
  </si>
  <si>
    <t>СКИД71334100600000007</t>
  </si>
  <si>
    <t>СКИД71334100700000001</t>
  </si>
  <si>
    <t>СКИД71334500100000001</t>
  </si>
  <si>
    <t>СКИД71337100100000000</t>
  </si>
  <si>
    <t>СКИД71337100100000004</t>
  </si>
  <si>
    <t>СКИД71337500100000000</t>
  </si>
  <si>
    <t>МАСИ Орх ТН26 АРПС</t>
  </si>
  <si>
    <t>БГБК МАСИ Неман Орх ПКЗ ТН26</t>
  </si>
  <si>
    <t>БГБК МАСИ Неман ПКЗ УСП ЩРС ЩРУ АРПС</t>
  </si>
  <si>
    <t>БГБК ПКЗ УСП ЩРУ АРПС</t>
  </si>
  <si>
    <t>ПКЗ РПДМ</t>
  </si>
  <si>
    <t>БГБК МАСИ Неман Орх ПКЗ РПДМ УСП ЩРУ АРПС</t>
  </si>
  <si>
    <t>БГБК МАСИ Орх РПДМ УСП АРПС</t>
  </si>
  <si>
    <t>БГБК МАСИ Неман АРПС</t>
  </si>
  <si>
    <t>БГБК МАСИ Неман Орх ПКЗ ТН26 УСП АРПС</t>
  </si>
  <si>
    <t>Орх РПДМ АРПС</t>
  </si>
  <si>
    <t>БГБК МАСИ Неман Орх ПКЗ К6762 Р673 ТН26 АРПС</t>
  </si>
  <si>
    <t>БГБК МАСИ Неман Орх ПКЗ К6762 АРПС</t>
  </si>
  <si>
    <t>АН_ГТ БГБК Кузов МАСИ Неман Орх ТН26 УСП ЩРС ЩРУ</t>
  </si>
  <si>
    <t>БГБК МАСИ УСП</t>
  </si>
  <si>
    <t>АН_ГТ БГБК Кузов МАСИ Неман Орх ТН26</t>
  </si>
  <si>
    <t>АН_ГТ</t>
  </si>
  <si>
    <t>БГБК Неман Орх ПКЗ К625 К67411Б РПДМ Ю628 ТН26 УСП Ю627</t>
  </si>
  <si>
    <t>БГБК МАСИ Неман Орх ПКЗ К6762 РПДМ Ю628 Р170П Р673 ТН26 Ю627 АРПС</t>
  </si>
  <si>
    <t>БГБК Неман Орх К625 Ю627</t>
  </si>
  <si>
    <t>БГБК Орх РПДМ ТН26 АРПС</t>
  </si>
  <si>
    <t>БГБК Неман Орх РПДМ ТН26 УСП АРПС</t>
  </si>
  <si>
    <t>АН_ГТ БГБК Неман Орх РПДМ</t>
  </si>
  <si>
    <t>БГБК Кузов Неман Орх К625 К6762 РПДМ АРПС</t>
  </si>
  <si>
    <t>МАСИ Неман Орх РПДМ ТН26 АРПС</t>
  </si>
  <si>
    <t>БГБК МАСИ Неман Орх ПКЗ РПДМ ТН26 УСП АРПС</t>
  </si>
  <si>
    <t>БГБК МАСИ Неман Орх К625 К6762 РПДМ Ю628 Р673 ТН26 ЩРУ Ю627 АРПС</t>
  </si>
  <si>
    <t>БГБК МАСИ Неман Орх ПКЗ К625 К6762 РПДМ Ю628 Р673 ТН26 УСП ЩК АРПС</t>
  </si>
  <si>
    <t>СКИД75746800200002105</t>
  </si>
  <si>
    <t>АН_ГТ БГБК МАСИ ПКЗ УСП</t>
  </si>
  <si>
    <t>Неман Орх ПКЗ К625 УСП ЩРС АРПС</t>
  </si>
  <si>
    <t>Неман Орх К625 Р673 ТН26</t>
  </si>
  <si>
    <t>БГБК Неман Орх К625 УСП</t>
  </si>
  <si>
    <t>СКИД75746800200002805</t>
  </si>
  <si>
    <t>МАСИ К625</t>
  </si>
  <si>
    <t>Неман Орх К625 Ю628 ТН26</t>
  </si>
  <si>
    <t>БГБК МАСИ Неман Орх РПДМ АРПС</t>
  </si>
  <si>
    <t>ПКЗ РПДМ АРПС</t>
  </si>
  <si>
    <t>БГБК Кузов МАСИ Неман Орх РПДМ АРПС</t>
  </si>
  <si>
    <t>СКИД75849900100000004</t>
  </si>
  <si>
    <t>Неман Орх К625 К6762 Ю628 Ю627</t>
  </si>
  <si>
    <t>МАСИ Неман Орх К625 К6762 Ю627</t>
  </si>
  <si>
    <t>МАСИ Неман Орх К625 К6762 Ю628 Ю627 АРПС</t>
  </si>
  <si>
    <t>БГБК Неман Орх К625 К6762 РПДМ Ю628 Ю627</t>
  </si>
  <si>
    <t>БГБК МАСИ Неман Орх К6762 РПДМ Ю628 Ю627</t>
  </si>
  <si>
    <t>МАСИ Неман Орх К625</t>
  </si>
  <si>
    <t>Неман Орх К625 Ю627</t>
  </si>
  <si>
    <t>К625 Ю627</t>
  </si>
  <si>
    <t>К625 Ю628 Ю627</t>
  </si>
  <si>
    <t>Ю628 Ю627</t>
  </si>
  <si>
    <t>Неман Орх К6762 Ю628 АРПС</t>
  </si>
  <si>
    <t>ЦЛИБ75820000300000010</t>
  </si>
  <si>
    <t>Неман Орх ПКЗ К6762</t>
  </si>
  <si>
    <t>Неман Орх К6762 Ю627</t>
  </si>
  <si>
    <t>Неман Орх ПКЗ К625 Ю628</t>
  </si>
  <si>
    <t>ЦЛИБ75820000300000020</t>
  </si>
  <si>
    <t>Неман Орх Ю628</t>
  </si>
  <si>
    <t>Неман Орх РПДМ АРПС</t>
  </si>
  <si>
    <t>МАСИ РПДМ Ю627 АРПС</t>
  </si>
  <si>
    <t>Неман Орх РПДМ Р170П АРПС</t>
  </si>
  <si>
    <t>Неман Орх Ю627 АРПС</t>
  </si>
  <si>
    <t>МАСИ РПДМ АРПС</t>
  </si>
  <si>
    <t>БГБК Орх АРПС</t>
  </si>
  <si>
    <t>БГБК МАСИ Орх Р170П</t>
  </si>
  <si>
    <t>АН_ГТ БГБК Кузов МАСИ Неман Орх РПДМ ТН26 АРПС</t>
  </si>
  <si>
    <t>Неман Орх РПДМ ТН26 АРПС</t>
  </si>
  <si>
    <t>АН_ГТ БГБК Кузов Неман Орх РПДМ ТН26 АРПС</t>
  </si>
  <si>
    <t>АН_ГТ БГБК Орх Ю628 ТН26</t>
  </si>
  <si>
    <t>БГБК Неман РПДМ АРПС</t>
  </si>
  <si>
    <t>Неман РПДМ АРПС</t>
  </si>
  <si>
    <t>БГБК Кузов МАСИ Неман Орх ТН26 АРПС</t>
  </si>
  <si>
    <t>ЮПИЯ71336100200000024</t>
  </si>
  <si>
    <t>АН_ГТ МАСИ Неман РПДМ АРПС</t>
  </si>
  <si>
    <t>АН_ГТ БГБК Орх АРПС</t>
  </si>
  <si>
    <t>ЮПИЯ71336100200000032</t>
  </si>
  <si>
    <t>БГБК МАСИ РПДМ АРПС</t>
  </si>
  <si>
    <t>Неман Орх АРПС</t>
  </si>
  <si>
    <t>БГБК МАСИ Неман Орх</t>
  </si>
  <si>
    <t>МАСИ Неман Орх ПКЗ РПДМ АРПС</t>
  </si>
  <si>
    <t>БГБК МАСИ Неман Орх ПКЗ РПДМ АРПС</t>
  </si>
  <si>
    <t>БГБК МАСИ ПКЗ АРПС</t>
  </si>
  <si>
    <t>Орх ПКЗ РПДМ ТН26 АРПС</t>
  </si>
  <si>
    <t>МАСИ Неман Орх ПКЗ РПДМ</t>
  </si>
  <si>
    <t>БГБК МАСИ АРПС</t>
  </si>
  <si>
    <t>ЮПИЯ71336100600000003</t>
  </si>
  <si>
    <t>Ю627 АРПС</t>
  </si>
  <si>
    <t>Орх РПДМ ТН26 АРПС</t>
  </si>
  <si>
    <t>МАСИ Неман Орх РПДМ АРПС</t>
  </si>
  <si>
    <t>ЮПИЯ71336100600000025</t>
  </si>
  <si>
    <t>ЮПИЯ71336101000000007</t>
  </si>
  <si>
    <t>МАСИ Неман Орх К6762 Ю627</t>
  </si>
  <si>
    <t>МАСИ Неман Орх К6762 Ю627 АРПС</t>
  </si>
  <si>
    <t>Неман Орх К6762 АРПС</t>
  </si>
  <si>
    <t>ЮПИЯ75312400300000019</t>
  </si>
  <si>
    <t>513254</t>
  </si>
  <si>
    <t>513577</t>
  </si>
  <si>
    <t>518120</t>
  </si>
  <si>
    <t>518149</t>
  </si>
  <si>
    <t>518150</t>
  </si>
  <si>
    <t xml:space="preserve"> ШТИФТ 2.1,5Х6.20Х13.Хим.Пас ГОСТ 3128-70</t>
  </si>
  <si>
    <t>800</t>
  </si>
  <si>
    <t>518535</t>
  </si>
  <si>
    <t>529479</t>
  </si>
  <si>
    <t>ЛТИЯ.715523.001 Штырь</t>
  </si>
  <si>
    <t>535474</t>
  </si>
  <si>
    <t>ЖЯ7.110.499 ФЛАНЕЦ</t>
  </si>
  <si>
    <t>537450</t>
  </si>
  <si>
    <t>537460</t>
  </si>
  <si>
    <t>537461</t>
  </si>
  <si>
    <t>460506</t>
  </si>
  <si>
    <t>511461</t>
  </si>
  <si>
    <t>515162</t>
  </si>
  <si>
    <t>517406</t>
  </si>
  <si>
    <t>518148</t>
  </si>
  <si>
    <t>ЖЯ8.664.610 Крючок</t>
  </si>
  <si>
    <t>518153</t>
  </si>
  <si>
    <t>ЕР8.600.799 Планка</t>
  </si>
  <si>
    <t>518516</t>
  </si>
  <si>
    <t>537660</t>
  </si>
  <si>
    <t>ЦЛИБ.758100.014-03 Болт</t>
  </si>
  <si>
    <t>537661</t>
  </si>
  <si>
    <t>ЦЛИБ.758100.014-02 Болт</t>
  </si>
  <si>
    <t>ПБИН.754100.046-04 Кольцо уплотнительное</t>
  </si>
  <si>
    <t>537696</t>
  </si>
  <si>
    <t>ЕР7.750.106 Наконечник</t>
  </si>
  <si>
    <t>537723</t>
  </si>
  <si>
    <t>ЛТИЯ.715111.022-02 СТЕРЖЕНЬ</t>
  </si>
  <si>
    <t>538365</t>
  </si>
  <si>
    <t>ЛТИЯ.741124.344 ПЛАНКА</t>
  </si>
  <si>
    <t>360</t>
  </si>
  <si>
    <t>ЛТИЯ.715121.037 Ось</t>
  </si>
  <si>
    <t>Доп. треб.</t>
  </si>
  <si>
    <t>ЦЗ</t>
  </si>
  <si>
    <t>Гот. ДСЕ</t>
  </si>
  <si>
    <t>№ листа на стенде</t>
  </si>
  <si>
    <t>Дата комплект.</t>
  </si>
  <si>
    <t>Дата сканир. посл. ЦЗ</t>
  </si>
  <si>
    <t>Дата пост.</t>
  </si>
  <si>
    <t>Согл. дата выпуска</t>
  </si>
  <si>
    <t>Цех зап.</t>
  </si>
  <si>
    <t>Уч. запуск</t>
  </si>
  <si>
    <t>РЦ запуск</t>
  </si>
  <si>
    <t>Материал</t>
  </si>
  <si>
    <t>Статус сопр. карты</t>
  </si>
  <si>
    <t>Строка сб.заказов</t>
  </si>
  <si>
    <t>№ Контейнера</t>
  </si>
  <si>
    <t>Пр. сроч.</t>
  </si>
  <si>
    <t>На контр.</t>
  </si>
  <si>
    <t>№ очер.</t>
  </si>
  <si>
    <t>Кол-во</t>
  </si>
  <si>
    <t>Пост. кол-во</t>
  </si>
  <si>
    <t>Кол-во к пост.</t>
  </si>
  <si>
    <t>Кол-во к подтв.</t>
  </si>
  <si>
    <t>Труд. на ед., час.</t>
  </si>
  <si>
    <t>Трудоем., час.</t>
  </si>
  <si>
    <t>Метка изъятия</t>
  </si>
  <si>
    <t>Раб. центр компл.</t>
  </si>
  <si>
    <t>№ ячейки комплект.</t>
  </si>
  <si>
    <t>Логин</t>
  </si>
  <si>
    <t>Дата редак.</t>
  </si>
  <si>
    <t>CreatDate</t>
  </si>
  <si>
    <t>Операции</t>
  </si>
  <si>
    <t>07.07.2021</t>
  </si>
  <si>
    <t>ЗПСК ПЧТН НЗПР СОДВ</t>
  </si>
  <si>
    <t>КНБ000000001,</t>
  </si>
  <si>
    <t>gerasimova_m</t>
  </si>
  <si>
    <t>002-Отрезная,</t>
  </si>
  <si>
    <t>ЗПСК ЧПДТ ПЧТН НЗПР</t>
  </si>
  <si>
    <t>khloponina_aa</t>
  </si>
  <si>
    <t>ЗПСК ПЧТН НЗПР</t>
  </si>
  <si>
    <t>12.08.2021</t>
  </si>
  <si>
    <t>ПЧТН</t>
  </si>
  <si>
    <t>02.09.2021</t>
  </si>
  <si>
    <t>ЛТИЯ71636100100000000</t>
  </si>
  <si>
    <t>mikhailova_aa</t>
  </si>
  <si>
    <t>002-Заготовительная,</t>
  </si>
  <si>
    <t>14.10.2021</t>
  </si>
  <si>
    <t>22.09.2021</t>
  </si>
  <si>
    <t>vakulenko_vv</t>
  </si>
  <si>
    <t>002-Отрезка,</t>
  </si>
  <si>
    <t>19.11.2021</t>
  </si>
  <si>
    <t>08.10.2021</t>
  </si>
  <si>
    <t>sheveleva_ia</t>
  </si>
  <si>
    <t>08.11.2021</t>
  </si>
  <si>
    <t>02.11.2021</t>
  </si>
  <si>
    <t>balichev_ea</t>
  </si>
  <si>
    <t>demina_vv</t>
  </si>
  <si>
    <t>20.10.2021</t>
  </si>
  <si>
    <t>26.10.2021</t>
  </si>
  <si>
    <t>27.10.2021</t>
  </si>
  <si>
    <t>29.10.2021</t>
  </si>
  <si>
    <t>ЗПСК ПЧТН</t>
  </si>
  <si>
    <t>15.11.2021</t>
  </si>
  <si>
    <t>002-Токарная,</t>
  </si>
  <si>
    <t>13.10.2021</t>
  </si>
  <si>
    <t>26.08.2021</t>
  </si>
  <si>
    <t>11.10.2021</t>
  </si>
  <si>
    <t>05.10.2021</t>
  </si>
  <si>
    <t>24.09.2021</t>
  </si>
  <si>
    <t>30.08.2021</t>
  </si>
  <si>
    <t>19.08.2021</t>
  </si>
  <si>
    <t>chernova_ts</t>
  </si>
  <si>
    <t>medved_mv</t>
  </si>
  <si>
    <t>17.09.2021</t>
  </si>
  <si>
    <t>00ЕР90477050000000000</t>
  </si>
  <si>
    <t>00ЕР86007990000000000</t>
  </si>
  <si>
    <t>00ЕР77501060000000000</t>
  </si>
  <si>
    <t>22.07.2021</t>
  </si>
  <si>
    <t>002-Комплектование,004-Малярная,</t>
  </si>
  <si>
    <t>ПБИН75410004600000004</t>
  </si>
  <si>
    <t>26.05.2021</t>
  </si>
  <si>
    <t>0НЕР86001820000000000</t>
  </si>
  <si>
    <t>002-Лазерная резка,</t>
  </si>
  <si>
    <t>ЛТИЯ74112434400000000</t>
  </si>
  <si>
    <t>27.05.2021</t>
  </si>
  <si>
    <t>12.05.2021</t>
  </si>
  <si>
    <t>002-Токарная с ЧПУ,</t>
  </si>
  <si>
    <t>0ННН89602730000000007</t>
  </si>
  <si>
    <t>002-Автоматная-токарная,</t>
  </si>
  <si>
    <t>04.10.2021</t>
  </si>
  <si>
    <t>002-Токарная с ЧПУ,004-Контроль,</t>
  </si>
  <si>
    <t>ЦЛИБ.757400.008-01 Лепесток</t>
  </si>
  <si>
    <t>002-Гальваническое покрытие Н3. О-Ви(99,8)6,</t>
  </si>
  <si>
    <t>10.07.2021</t>
  </si>
  <si>
    <t>СКИД.757463.001-06.05 Наконечник П 1,0-3-ЛТ-07 ГОСТ 22002.7-76</t>
  </si>
  <si>
    <t>002-Гальваническое покрытие O-Bu(99,8)6,</t>
  </si>
  <si>
    <t>СКИД.757463.001-27.05 Наконечник П 16-6-ЛТ-07 ГОСТ 22002.7-76</t>
  </si>
  <si>
    <t>ТН26</t>
  </si>
  <si>
    <t>2. Загрузить 4082 (все очереди). В буфер обмена копируется строка со списком всех очередей</t>
  </si>
  <si>
    <t>3. Загрузить 4385 со списком очередей из буфера обмена</t>
  </si>
  <si>
    <t>4. В обзоре запасов:</t>
  </si>
  <si>
    <t>номер очереди, одно из: вставить строку из буфера, удалить из нее служебные очереди</t>
  </si>
  <si>
    <t>статус СК не содержит ПДТВ</t>
  </si>
  <si>
    <t>в конструкторе отчета сделать выгрузку в rtf: строка сбытового заказа/очередь</t>
  </si>
  <si>
    <t>5. Загрузить полученный файл как tasks</t>
  </si>
  <si>
    <t>6. Загрузить ТЕ от ОТиЗ (salaryDepartment)</t>
  </si>
  <si>
    <t>7. Нажать Init, подождать формирования листа Timing</t>
  </si>
  <si>
    <t>s - к запуску</t>
  </si>
  <si>
    <t>f - на выпуск</t>
  </si>
  <si>
    <t>o - убрать из плана</t>
  </si>
  <si>
    <t>9. Нажать кнопку "изменить статус", подождать пока обновится лист.</t>
  </si>
  <si>
    <t>10. Нажать кнопку "в план"</t>
  </si>
  <si>
    <t>11. На листе "Plan" проставить даты запуска/выпуска. Кнопки "Дата запуска", "Дата выпуска" устанавливают сортировку по соотв столбцу</t>
  </si>
  <si>
    <t>Фонд рабочего времени</t>
  </si>
  <si>
    <t>цеха № 100</t>
  </si>
  <si>
    <t>План  час</t>
  </si>
  <si>
    <t xml:space="preserve">Категория </t>
  </si>
  <si>
    <t>Числ.</t>
  </si>
  <si>
    <t>ФРВ</t>
  </si>
  <si>
    <t>лизинг</t>
  </si>
  <si>
    <t>Штат</t>
  </si>
  <si>
    <t>РЦ</t>
  </si>
  <si>
    <t>по граф.</t>
  </si>
  <si>
    <t>ед.</t>
  </si>
  <si>
    <t>час</t>
  </si>
  <si>
    <t>Руководители:</t>
  </si>
  <si>
    <t>по списочной числ.</t>
  </si>
  <si>
    <t>по вакантн.един.</t>
  </si>
  <si>
    <t>Другие служащие</t>
  </si>
  <si>
    <t>Рабочие:</t>
  </si>
  <si>
    <t>в т.ч.:</t>
  </si>
  <si>
    <t>РЦ  №10101:</t>
  </si>
  <si>
    <t>РЦ  №10102:</t>
  </si>
  <si>
    <t>РЦ  №10103:</t>
  </si>
  <si>
    <t>РЦ  №10104:</t>
  </si>
  <si>
    <t>РЦ  №10105:</t>
  </si>
  <si>
    <t>РЦ  №10202:</t>
  </si>
  <si>
    <t>РЦ  №10203:</t>
  </si>
  <si>
    <t>РЦ  №10204:</t>
  </si>
  <si>
    <t>РЦ  №10205:</t>
  </si>
  <si>
    <t>РЦ  №10206:</t>
  </si>
  <si>
    <t>РЦ  №10801:</t>
  </si>
  <si>
    <t>РЦ  №10802:</t>
  </si>
  <si>
    <t>РЦ  №10803:</t>
  </si>
  <si>
    <t>РЦ  №10804:</t>
  </si>
  <si>
    <t>РЦ  №11101:</t>
  </si>
  <si>
    <t>РЦ  №11102:</t>
  </si>
  <si>
    <t>РЦ  №11103:</t>
  </si>
  <si>
    <t>РЦ  №11401:</t>
  </si>
  <si>
    <t>РЦ  №11402:</t>
  </si>
  <si>
    <t>РЦ  №11403:</t>
  </si>
  <si>
    <t>РЦ  №11404:</t>
  </si>
  <si>
    <t>РЦ  №11405:</t>
  </si>
  <si>
    <t>РЦ  №11406:</t>
  </si>
  <si>
    <t>РЦ  №10109:</t>
  </si>
  <si>
    <t>3 389</t>
  </si>
  <si>
    <t>ПРД_Трансформатор_076, БГБК (79-20)</t>
  </si>
  <si>
    <t>155</t>
  </si>
  <si>
    <t>3 390</t>
  </si>
  <si>
    <t>ПРД_Корпус_011+Каркас_018 (79-20)</t>
  </si>
  <si>
    <t>156</t>
  </si>
  <si>
    <t>3 391</t>
  </si>
  <si>
    <t>ПРД_Блок ГУ-442А-02_БГБК (79-20)</t>
  </si>
  <si>
    <t>157</t>
  </si>
  <si>
    <t>3 392</t>
  </si>
  <si>
    <t>ПРД_Блок ГУ-544А_БГБК (79-20)</t>
  </si>
  <si>
    <t>158</t>
  </si>
  <si>
    <t>3 393</t>
  </si>
  <si>
    <t>ПРД_БАВ_БГБК (79-20)</t>
  </si>
  <si>
    <t>3 394</t>
  </si>
  <si>
    <t>ПРД_МЭН+ИПТУ_БГБК (79-20)</t>
  </si>
  <si>
    <t>3 395</t>
  </si>
  <si>
    <t>ПРД_БПНС_БГБК (79-20)</t>
  </si>
  <si>
    <t>3 396</t>
  </si>
  <si>
    <t>ПРД_Выпрямитель УБС_БГБК (79-20)</t>
  </si>
  <si>
    <t>3 397</t>
  </si>
  <si>
    <t>ПРД_Участок измерительный (79-20)</t>
  </si>
  <si>
    <t>3 398</t>
  </si>
  <si>
    <t>ПРД_Остальное (79-20)</t>
  </si>
  <si>
    <t>79-22-1,2 Орхидея;96-78-2 белый цвет</t>
  </si>
  <si>
    <t>Месяц:</t>
  </si>
  <si>
    <t>Год:</t>
  </si>
  <si>
    <t>ПРД</t>
  </si>
  <si>
    <t>3 403</t>
  </si>
  <si>
    <t>79-20_ПРД,</t>
  </si>
  <si>
    <t>96-55-10,96-56-10,</t>
  </si>
  <si>
    <t>96-78-2,</t>
  </si>
  <si>
    <t>11802</t>
  </si>
  <si>
    <t>539661</t>
  </si>
  <si>
    <t>ЕР8.632.634 ДВЕРЬ</t>
  </si>
  <si>
    <t>539664</t>
  </si>
  <si>
    <t>ЛТИЯ.741234.030 Панель</t>
  </si>
  <si>
    <t>539665</t>
  </si>
  <si>
    <t>ЕР8.005.066 РАМА</t>
  </si>
  <si>
    <t>539666</t>
  </si>
  <si>
    <t>539669</t>
  </si>
  <si>
    <t>ЕР8.615.073 СТЕНКА</t>
  </si>
  <si>
    <t>539670</t>
  </si>
  <si>
    <t>ЕР8.609.326 ОБШИВКА</t>
  </si>
  <si>
    <t>539671</t>
  </si>
  <si>
    <t>ЕР8.060.229 Основание</t>
  </si>
  <si>
    <t>539672</t>
  </si>
  <si>
    <t>ЕР8.060.226 Основание</t>
  </si>
  <si>
    <t>539673</t>
  </si>
  <si>
    <t>ЕР8.060.225 ОСНОВАНИЕ</t>
  </si>
  <si>
    <t>539674</t>
  </si>
  <si>
    <t>ЕР8.060.224 Основание</t>
  </si>
  <si>
    <t>539675</t>
  </si>
  <si>
    <t>ЕР8.005.067 Рама</t>
  </si>
  <si>
    <t>539676</t>
  </si>
  <si>
    <t>ЕР8.005.061 РАМА</t>
  </si>
  <si>
    <t>539677</t>
  </si>
  <si>
    <t>ЕР8.005.060 Рама</t>
  </si>
  <si>
    <t>539678</t>
  </si>
  <si>
    <t>ЕР8.005.059 Рама</t>
  </si>
  <si>
    <t>539679</t>
  </si>
  <si>
    <t>ЕР6.121.529 ОСНОВАНИЕ</t>
  </si>
  <si>
    <t>539680</t>
  </si>
  <si>
    <t>ЕР6.121.528 Основание</t>
  </si>
  <si>
    <t>539686</t>
  </si>
  <si>
    <t>ЖЯ8.000.440 Рама</t>
  </si>
  <si>
    <t>539773</t>
  </si>
  <si>
    <t>ЛТИЯ.305341.029 Дверь</t>
  </si>
  <si>
    <t>539774</t>
  </si>
  <si>
    <t>ЖЯ9.288.289 БОБЫШКА</t>
  </si>
  <si>
    <t>539777</t>
  </si>
  <si>
    <t>ЖЯ8.061.400 ОСНОВАНИЕ</t>
  </si>
  <si>
    <t>539778</t>
  </si>
  <si>
    <t>ЖЯ8.000.442 РАМА</t>
  </si>
  <si>
    <t>539780</t>
  </si>
  <si>
    <t>ЕР8.210.247 ЧАШКА</t>
  </si>
  <si>
    <t>539781</t>
  </si>
  <si>
    <t>ЕР8.005.064 Рама</t>
  </si>
  <si>
    <t>600</t>
  </si>
  <si>
    <t>ЛТИЯ.741124.337 Планка</t>
  </si>
  <si>
    <t>576</t>
  </si>
  <si>
    <t>180</t>
  </si>
  <si>
    <t>22.11.2021</t>
  </si>
  <si>
    <t>23.11.2021</t>
  </si>
  <si>
    <t>24.11.2021</t>
  </si>
  <si>
    <t>002-Фрезерная,</t>
  </si>
  <si>
    <t>002-Комплектование,004-Фрезерная,</t>
  </si>
  <si>
    <t>002-Комлектование,004-Слесарная,</t>
  </si>
  <si>
    <t>002-Комплектование,004-Слесарная,</t>
  </si>
  <si>
    <t>002-Фрезерная с ЧПУ,</t>
  </si>
  <si>
    <t>СКИД.757466.001-07.03 Лепесток 1-3-2,2х10-07 ГОСТ 22376-77</t>
  </si>
  <si>
    <t>1. Загрузить 4105 (Показывать скрытые СЗ = да)</t>
  </si>
  <si>
    <t>8. На листе Timing очереди выстроились в соответствии с планом цеха на предыдущий месяц (данные согласно отч 4082)</t>
  </si>
  <si>
    <t>Очереди без статуса запуск/выпуск сверяются с отч 4105. В наименовании очереди:</t>
  </si>
  <si>
    <t>( !! ) _ [название] - сбытовой заказ запускается в текущем месяце</t>
  </si>
  <si>
    <t>( !!! ) _ [название] - сбытовой заказ выпускается в текущем месяце</t>
  </si>
  <si>
    <t>В столбце B, рядом с номером очереди возможно скорректировать статус очередей:</t>
  </si>
  <si>
    <t>КНБ:</t>
  </si>
  <si>
    <t>1. Загрузить 4390 (№ оч = 1)</t>
  </si>
  <si>
    <t>номер очереди = 1</t>
  </si>
  <si>
    <t>ЦЗ = 1</t>
  </si>
  <si>
    <t>2. В обзоре запасов сделать выгрузку в эксель:</t>
  </si>
  <si>
    <t>3. На листе knb_4390 нажать на кнопку "Обзор запасов", загрузить полученный файл</t>
  </si>
  <si>
    <t>В столбце C появляется применяемость ДСЕ в изделиях.</t>
  </si>
  <si>
    <t>4. Проверить "СК к запуску". Для добавления СК без выявленной применяемости в изделиях добавить 1 в столбец C рядом с номером СК</t>
  </si>
  <si>
    <t>5. В конце листа knb_4390 приведен список изделий. Для добавления всех СК, которые применяются в конкретном изделии добавить 1 в столбец B рядом с названием изделия</t>
  </si>
  <si>
    <t>Нажать кнопку "в план". В план КНБ будут добавлены все СК из НЗП, а также СК которые попадают под фильтр из пп 4, 5</t>
  </si>
  <si>
    <t>starting</t>
  </si>
  <si>
    <t>finishing</t>
  </si>
  <si>
    <t xml:space="preserve"> Прижим КI-8-8-3,4-10-Ц15.хр ГОСТ 17020-78</t>
  </si>
  <si>
    <t>30.11.2021</t>
  </si>
  <si>
    <t>АН "Мурманск-БН" АН00.000000.028 (78-08-2, 78-08-3)</t>
  </si>
  <si>
    <t>СЗ 09/101 ДСЕ для Р-161-5ПРД (89-01-91_101)</t>
  </si>
  <si>
    <t>Неман_АСС_РПДУ+ЭН (96-69-2)</t>
  </si>
  <si>
    <t>Протек</t>
  </si>
  <si>
    <t>Неман_АСС_К-676-2 Под намотку,-09исп.(96-69-2)</t>
  </si>
  <si>
    <t>Неман_Комплект блоков УМ (96-72)</t>
  </si>
  <si>
    <t>Радиосвязь</t>
  </si>
  <si>
    <t>Неман_Кузов-контейнер_003-02 (96-75)</t>
  </si>
  <si>
    <t>Неман_АСС_К-676-2 Корпус_022,-09исп.(96-69-2)</t>
  </si>
  <si>
    <t>Неман_АСС_К-676-2 Плата_419,-09исп.(96-69-2)</t>
  </si>
  <si>
    <t>Неман_Кузов-контейнер_003 (96-68)</t>
  </si>
  <si>
    <t>Неман_АСС_К-676-2 СУ,-09исп.(96-69-2)</t>
  </si>
  <si>
    <t>Неман_АСС_К-676-2 Прибор БУ,-09исп.(96-69-2)</t>
  </si>
  <si>
    <t>Неман_АСС_К-676-2 Штырь_071,-09исп.(96-69-2)</t>
  </si>
  <si>
    <t>Неман_АСС_К-676-2 Антенна,-09исп.(96-69-2)</t>
  </si>
  <si>
    <t>Неман_АСС_К-676-2 Остальное,-09исп.(96-69-2)</t>
  </si>
  <si>
    <t>Неман_АСС_К-625 (96-69-2)</t>
  </si>
  <si>
    <t>74-04-1_Р-170П_Корпус_044 (50 шт.)</t>
  </si>
  <si>
    <t>74-04-1_Р-170П_Корпус_044 (69 шт.)</t>
  </si>
  <si>
    <t>74-04-1_Р-170П_Блок Б10-291 (50 шт.)</t>
  </si>
  <si>
    <t>74-04-1_Р-170П_Блок Б10-291 (69 шт.)</t>
  </si>
  <si>
    <t>74-04-1_Р-170П_Остальное (169 шт.)</t>
  </si>
  <si>
    <t>74-04-1_Р-170П_Блок Б3-206 (50 шт.)</t>
  </si>
  <si>
    <t>74-04-1_Р-170П_Блок Б3-206 (69 шт.)</t>
  </si>
  <si>
    <t>Неман_АСС_Р-673 (96-69-2)</t>
  </si>
  <si>
    <t>Р-673 с аморт.платф.(96-55-10, 96-56-10)</t>
  </si>
  <si>
    <t>РПДУ1</t>
  </si>
  <si>
    <t>Р-673 с аморт.платф.(96-80-13)</t>
  </si>
  <si>
    <t>Ю-627 Прибор К6-88 (96-80-3)</t>
  </si>
  <si>
    <t>Ю-627, Ю-627-513 Прибор К1,ЗИП (96-80-3,96-80-5)</t>
  </si>
  <si>
    <t>Ю-627-513 Прибор К6 (96-80-5)</t>
  </si>
  <si>
    <t>К-676-2АШ_Под намотку,13исп.(96-80-6)</t>
  </si>
  <si>
    <t>К-676-2АШ_Антенна,13исп. (96-80-6)</t>
  </si>
  <si>
    <t>К-676-2АШ_Остальное,13исп.(96-80-6)</t>
  </si>
  <si>
    <t>К-676-2 Под намотку,-10исп.(96-80-7)</t>
  </si>
  <si>
    <t>К-676-2 Корпус_022,-10исп.(96-80-7)</t>
  </si>
  <si>
    <t>К-676-2_Плата_419,-10исп.(96-80-7)</t>
  </si>
  <si>
    <t>К-676-2 СУ,-10исп.(96-80-7)</t>
  </si>
  <si>
    <t>К-676-2 Прибор БУ,-10исп.(96-80-7)</t>
  </si>
  <si>
    <t>К-676-2 Штырь_071,-10исп.(96-80-7)</t>
  </si>
  <si>
    <t>К-676-2 Антенна,-10исп.(96-80-7)</t>
  </si>
  <si>
    <t>К-676-2 Остальное,-10исп.(96-80-7)</t>
  </si>
  <si>
    <t>К-674-5Б,-11Б (96-80-2,96-80-10,96-80-11,96-80-12)</t>
  </si>
  <si>
    <t>К-625 (96-80-8,96-80-9)</t>
  </si>
  <si>
    <t>3 406</t>
  </si>
  <si>
    <t>3 407</t>
  </si>
  <si>
    <t>3 408</t>
  </si>
  <si>
    <t>3 409</t>
  </si>
  <si>
    <t>3 411</t>
  </si>
  <si>
    <t>3 412</t>
  </si>
  <si>
    <t>3 413</t>
  </si>
  <si>
    <t>3 414</t>
  </si>
  <si>
    <t>3 415</t>
  </si>
  <si>
    <t>3 416</t>
  </si>
  <si>
    <t>3 417</t>
  </si>
  <si>
    <t>159</t>
  </si>
  <si>
    <t>3 418</t>
  </si>
  <si>
    <t>160</t>
  </si>
  <si>
    <t>3 419</t>
  </si>
  <si>
    <t>161</t>
  </si>
  <si>
    <t>3 420</t>
  </si>
  <si>
    <t>162</t>
  </si>
  <si>
    <t>3 421</t>
  </si>
  <si>
    <t>163</t>
  </si>
  <si>
    <t>3 422</t>
  </si>
  <si>
    <t>164</t>
  </si>
  <si>
    <t>3 423</t>
  </si>
  <si>
    <t>165</t>
  </si>
  <si>
    <t>3 424</t>
  </si>
  <si>
    <t>166</t>
  </si>
  <si>
    <t>3 425</t>
  </si>
  <si>
    <t>167</t>
  </si>
  <si>
    <t>3 426</t>
  </si>
  <si>
    <t>3 427</t>
  </si>
  <si>
    <t>169</t>
  </si>
  <si>
    <t>3 428</t>
  </si>
  <si>
    <t>170</t>
  </si>
  <si>
    <t>3 429</t>
  </si>
  <si>
    <t>171</t>
  </si>
  <si>
    <t>3 430</t>
  </si>
  <si>
    <t>172</t>
  </si>
  <si>
    <t>3 431</t>
  </si>
  <si>
    <t>173</t>
  </si>
  <si>
    <t>3 432</t>
  </si>
  <si>
    <t>174</t>
  </si>
  <si>
    <t>3 433</t>
  </si>
  <si>
    <t>175</t>
  </si>
  <si>
    <t>3 434</t>
  </si>
  <si>
    <t>176</t>
  </si>
  <si>
    <t>3 435</t>
  </si>
  <si>
    <t>177</t>
  </si>
  <si>
    <t>3 436</t>
  </si>
  <si>
    <t>178</t>
  </si>
  <si>
    <t>3 437</t>
  </si>
  <si>
    <t>179</t>
  </si>
  <si>
    <t>181</t>
  </si>
  <si>
    <t>182</t>
  </si>
  <si>
    <t>183</t>
  </si>
  <si>
    <t>3 442</t>
  </si>
  <si>
    <t>184</t>
  </si>
  <si>
    <t>185</t>
  </si>
  <si>
    <t>3 444</t>
  </si>
  <si>
    <t>186</t>
  </si>
  <si>
    <t>3 445</t>
  </si>
  <si>
    <t>187</t>
  </si>
  <si>
    <t>3 446</t>
  </si>
  <si>
    <t>96-72,</t>
  </si>
  <si>
    <t>96-75,</t>
  </si>
  <si>
    <t>78-08-2,78-08-3,</t>
  </si>
  <si>
    <t>89-01-91_101,</t>
  </si>
  <si>
    <t>96-80-2,</t>
  </si>
  <si>
    <t>96-80-11,</t>
  </si>
  <si>
    <t>96-80-11,96-80-12,</t>
  </si>
  <si>
    <t>96-80-12,</t>
  </si>
  <si>
    <t>96-80-8,</t>
  </si>
  <si>
    <t>96-80-10,</t>
  </si>
  <si>
    <t>74-04-1,</t>
  </si>
  <si>
    <t>96-80-4,</t>
  </si>
  <si>
    <t>96-80-3,</t>
  </si>
  <si>
    <t>96-80-5,</t>
  </si>
  <si>
    <t>96-80-6,</t>
  </si>
  <si>
    <t>96-80-7,</t>
  </si>
  <si>
    <t>96-80-1,</t>
  </si>
  <si>
    <t>96-80-13,</t>
  </si>
  <si>
    <t>78-08-2_уп,78-08-3_уп,</t>
  </si>
  <si>
    <t>96-80-9,</t>
  </si>
  <si>
    <t>96-80-3,96-80-5,</t>
  </si>
  <si>
    <t>96-80-10,96-80-11,96-80-12,96-80-2,</t>
  </si>
  <si>
    <t>96-80-8,96-80-9,</t>
  </si>
  <si>
    <t>540607</t>
  </si>
  <si>
    <t>541452</t>
  </si>
  <si>
    <t>ЖЯ7.837.370 ПЛАНКА</t>
  </si>
  <si>
    <t>541453</t>
  </si>
  <si>
    <t>ЖЯ7.837.369 ПЛАНКА</t>
  </si>
  <si>
    <t>541629</t>
  </si>
  <si>
    <t>ПБИН.713400.005 Вкладыш</t>
  </si>
  <si>
    <t>542119</t>
  </si>
  <si>
    <t>СКИД.757463.001-02.05 Наконечник П 0,5-3-ЛТ-07 ГОСТ 22002.7-76</t>
  </si>
  <si>
    <t>544540</t>
  </si>
  <si>
    <t>ЛТИЯ.711141.074 Шайба</t>
  </si>
  <si>
    <t>ПБИН.713300.061 Втулка</t>
  </si>
  <si>
    <t>ПБИН.758400.163 Гайка</t>
  </si>
  <si>
    <t>ПБИН.758400.166 Гайка</t>
  </si>
  <si>
    <t>545095</t>
  </si>
  <si>
    <t>ЛТИЯ.715341.002 ВТУЛКА</t>
  </si>
  <si>
    <t>2 800</t>
  </si>
  <si>
    <t>07.12.2021</t>
  </si>
  <si>
    <t>01.12.2021</t>
  </si>
  <si>
    <t>16.12.2021</t>
  </si>
  <si>
    <t>09.12.2021</t>
  </si>
  <si>
    <t>14.12.2021</t>
  </si>
  <si>
    <t>10.12.2021</t>
  </si>
  <si>
    <t>ЛТИЯ71534100200000000</t>
  </si>
  <si>
    <t>74-04-1_Р-170П Блок Б2-285 (50 шт.)</t>
  </si>
  <si>
    <t>74-04-1_Р-170П Блок Б2-285 (69 шт.)</t>
  </si>
  <si>
    <t>188</t>
  </si>
  <si>
    <t>3 448</t>
  </si>
  <si>
    <t>189</t>
  </si>
  <si>
    <t>3 449</t>
  </si>
  <si>
    <t>190</t>
  </si>
  <si>
    <t>3 450</t>
  </si>
  <si>
    <t>191</t>
  </si>
  <si>
    <t>192</t>
  </si>
  <si>
    <t>other</t>
  </si>
  <si>
    <t>74-04-1_Р170П_Блоки Б1-106, Б1-108, Б2-287, Б10-304.2 (50 шт.)</t>
  </si>
  <si>
    <t>74-04-1_Р170П_Блоки Б1-106, Б1-108, Б2-287, Б10-304.2 (69 шт.)</t>
  </si>
  <si>
    <t>74-04-1_Р-170П_Блоки Б1-107.3, Б2-286, Б9-310 (50 шт.)</t>
  </si>
  <si>
    <t>74-04-1_Р-170П_Блоки Б1-107.3, Б2-286, Б9-310 (69 шт.)</t>
  </si>
  <si>
    <t>193</t>
  </si>
  <si>
    <t>3 453</t>
  </si>
  <si>
    <t>194</t>
  </si>
  <si>
    <t>3 454</t>
  </si>
  <si>
    <t>195</t>
  </si>
  <si>
    <t>3 455</t>
  </si>
  <si>
    <t>196</t>
  </si>
  <si>
    <t>3 456</t>
  </si>
  <si>
    <t>197</t>
  </si>
  <si>
    <t>3 457</t>
  </si>
  <si>
    <t>198</t>
  </si>
  <si>
    <t>3 458</t>
  </si>
  <si>
    <t>199</t>
  </si>
  <si>
    <t>ПБИН.758400.192 Гайка</t>
  </si>
  <si>
    <t>545319</t>
  </si>
  <si>
    <t>ПБИН.724200.028 Корпус</t>
  </si>
  <si>
    <t>545322</t>
  </si>
  <si>
    <t>545334</t>
  </si>
  <si>
    <t>СКИД.757463.001-18.05 Наконечник П 6-6-ЛТ-07 ГОСТ 22002.7-76</t>
  </si>
  <si>
    <t>ЛТИЯ.745356.004-01 Шина</t>
  </si>
  <si>
    <t>ЛТИЯ.745356.004 Шина</t>
  </si>
  <si>
    <t>ПБИН.758400.162 Шайба</t>
  </si>
  <si>
    <t xml:space="preserve"> СТОЙКА М3Х50.56.026 ГОСТ 20865-81</t>
  </si>
  <si>
    <t>21.12.2021</t>
  </si>
  <si>
    <t>18.12.2021</t>
  </si>
  <si>
    <t>22.12.2021</t>
  </si>
  <si>
    <t>Кузов-контейнер Рама</t>
  </si>
  <si>
    <t>Р-673 из состава ТН Орхидея-1 (79-21-1,2,3,4,5)</t>
  </si>
  <si>
    <t>РПДМ ПМ, блок фильтров (зак 08-08-70)</t>
  </si>
  <si>
    <t>Волна С (зак 77-44-1...12)</t>
  </si>
  <si>
    <t>К-625 (96-71,96-78-2, 96-84-2,79-23-1, 79-23-2)</t>
  </si>
  <si>
    <t>Кабели и жгуты (зак 77-44-1...12)</t>
  </si>
  <si>
    <t>Платы (зак 77-44-1...6)</t>
  </si>
  <si>
    <t>БУМ (зак 77-44-1...6)</t>
  </si>
  <si>
    <t>МИП (зак 77-44-1...6)</t>
  </si>
  <si>
    <t>Моточные 10501 (зак 77-44-1...6)</t>
  </si>
  <si>
    <t>ДСЕ для БФ (зак 77-44-1...6)</t>
  </si>
  <si>
    <t>БГБК 79-20, Блок ГУ-401, Блок ГУ-462, Блок ГТ-427, Выпрямитель В380/27</t>
  </si>
  <si>
    <t>БГБК 79-20, Кузов аппаратной ГУ ЛТИЯ.455133.001</t>
  </si>
  <si>
    <t>БГБК 79-20, Аппаратная ГУ-10-02</t>
  </si>
  <si>
    <t>БГБК 79-20, Остальное</t>
  </si>
  <si>
    <t>Р-673 (79-23-1,79-23-2) без платформы</t>
  </si>
  <si>
    <t>из состава ТН.Орхидея</t>
  </si>
  <si>
    <t>3 473</t>
  </si>
  <si>
    <t>3 464</t>
  </si>
  <si>
    <t>3 465</t>
  </si>
  <si>
    <t>3 466</t>
  </si>
  <si>
    <t>3 467</t>
  </si>
  <si>
    <t>3 468</t>
  </si>
  <si>
    <t>3 469</t>
  </si>
  <si>
    <t>3 470</t>
  </si>
  <si>
    <t>3 474</t>
  </si>
  <si>
    <t>3 475</t>
  </si>
  <si>
    <t>3 476</t>
  </si>
  <si>
    <t>3 477</t>
  </si>
  <si>
    <t>3 478</t>
  </si>
  <si>
    <t>3 479</t>
  </si>
  <si>
    <t>3 480</t>
  </si>
  <si>
    <t>3 481</t>
  </si>
  <si>
    <t>3 482</t>
  </si>
  <si>
    <t>ВИ0000000232,</t>
  </si>
  <si>
    <t>96-84-1,</t>
  </si>
  <si>
    <t>79-23-1_К674,79-23-2_К674,96-84-1,</t>
  </si>
  <si>
    <t>79-20,</t>
  </si>
  <si>
    <t>79-23-1_Р673,79-23-2_Р673,</t>
  </si>
  <si>
    <t>79-23-1_К674,79-23-2_К674,</t>
  </si>
  <si>
    <t>77-44-1_влн,77-44-10_влн,77-44-11_влн,77-44-12_влн,77-44-2_влн,77-44-3_влн,77-44-4_влн,77-44-5_влн,77-44-6_влн,77-44-7_влн,77-44-8_влн,77-44-9_влн,</t>
  </si>
  <si>
    <t>46-03-199,</t>
  </si>
  <si>
    <t>77-44-1,77-44-10,77-44-11,77-44-12,77-44-2,77-44-3,77-44-4,77-44-5,77-44-6,77-44-7,77-44-8,77-44-9,</t>
  </si>
  <si>
    <t>77-44-1,77-44-2,77-44-3,77-44-4,77-44-5,77-44-6,</t>
  </si>
  <si>
    <t>77-44-10,77-44-11,77-44-12,77-44-3,77-44-4,77-44-5,77-44-6,77-44-7,77-44-8,77-44-9,</t>
  </si>
  <si>
    <t>77-44-3,77-44-4,77-44-5,77-44-6,</t>
  </si>
  <si>
    <t>79221К625_13,79222К625_13,79-23-1_К625,79-23-2_К625,96-84-2,</t>
  </si>
  <si>
    <t>96-71,96-78-2,</t>
  </si>
  <si>
    <t>79221К625_13,79222К625_13,79-23-1_К625,79-23-2_К625,96-78-2,96-84-2,</t>
  </si>
  <si>
    <t>79221_Подств,79221К625_13,79221К625_16,79222_Подств,79222К625_13,79222К625_16,79-23-1_К625,79-23-2_К625,96-71,96-78-2,96-84-2,</t>
  </si>
  <si>
    <t>77-44-1,77-44-2,</t>
  </si>
  <si>
    <t>77-44-10,77-44-9,</t>
  </si>
  <si>
    <t>546351</t>
  </si>
  <si>
    <t>ЦЛИБ.711100.049-06 Прокладка</t>
  </si>
  <si>
    <t>ЛТИЯ.741124.384-10 Шина</t>
  </si>
  <si>
    <t>ЦЛИБ.741100.161 Прокладка</t>
  </si>
  <si>
    <t>546473</t>
  </si>
  <si>
    <t xml:space="preserve"> Стойка 2 М2,5х16-56.026 ГОСТ 20865-81</t>
  </si>
  <si>
    <t>СКИД.757466.001-18.03 Лепесток 1-2-3,2х12-07 ГОСТ 22376-77</t>
  </si>
  <si>
    <t>546503</t>
  </si>
  <si>
    <t>ПБИН.757400.114 Шина</t>
  </si>
  <si>
    <t>548724</t>
  </si>
  <si>
    <t>548768</t>
  </si>
  <si>
    <t>СКИД.757468.002-26.05 Лепесток 2-1,2-3,0-9-Л63-07 ГОСТ 16840-78</t>
  </si>
  <si>
    <t>549884</t>
  </si>
  <si>
    <t>11.01.2022</t>
  </si>
  <si>
    <t>24.01.2022</t>
  </si>
  <si>
    <t>20.01.2022</t>
  </si>
  <si>
    <t>002-Слесарная,</t>
  </si>
  <si>
    <t>ЗПСК ЧПДТ ПЧТН НЗПР СОДВ</t>
  </si>
  <si>
    <t>12.01.2022</t>
  </si>
  <si>
    <t>14.01.2022</t>
  </si>
  <si>
    <t>27.01.2022</t>
  </si>
  <si>
    <t>ПЧТН СОДВ</t>
  </si>
  <si>
    <t>ДСЕ для Радиосвязи (46-03-178, 46-03-199)</t>
  </si>
  <si>
    <t>ДСЕ для стойки РПДМ (77-44-1...6)</t>
  </si>
  <si>
    <t>Стойка РПДМ (зак 77-44-1...6)</t>
  </si>
  <si>
    <t>3 483</t>
  </si>
  <si>
    <t>3 484</t>
  </si>
  <si>
    <t>КПА 20 - Контрольная сборка (зак 77-44-3)</t>
  </si>
  <si>
    <t>3 486</t>
  </si>
  <si>
    <t>3 487</t>
  </si>
  <si>
    <t>46-03-178,</t>
  </si>
  <si>
    <t>96-69-1_РПА,</t>
  </si>
  <si>
    <t>ВИ0000000236,</t>
  </si>
  <si>
    <t>printingDate</t>
  </si>
  <si>
    <t xml:space="preserve">                                                             Статус исполнения заказов на 2022 год</t>
  </si>
  <si>
    <t>Всего заказов 2022 г.</t>
  </si>
  <si>
    <t>Месяц</t>
  </si>
  <si>
    <t>2021г.</t>
  </si>
  <si>
    <t>янв</t>
  </si>
  <si>
    <t>февр</t>
  </si>
  <si>
    <t>март</t>
  </si>
  <si>
    <t>апр</t>
  </si>
  <si>
    <t>май</t>
  </si>
  <si>
    <t>июнь</t>
  </si>
  <si>
    <t>июль</t>
  </si>
  <si>
    <t>авг</t>
  </si>
  <si>
    <t>сент</t>
  </si>
  <si>
    <t>окт</t>
  </si>
  <si>
    <t>нояб</t>
  </si>
  <si>
    <t>дек</t>
  </si>
  <si>
    <t>2023г.</t>
  </si>
  <si>
    <t>2024г.</t>
  </si>
  <si>
    <t>2025г.</t>
  </si>
  <si>
    <t>Выполненные 2022 г.</t>
  </si>
  <si>
    <t>В работе:</t>
  </si>
  <si>
    <t>Отставание:</t>
  </si>
  <si>
    <t>Сл</t>
  </si>
  <si>
    <t>Заказ</t>
  </si>
  <si>
    <t>Наименование изделия</t>
  </si>
  <si>
    <t>Заказчик</t>
  </si>
  <si>
    <t xml:space="preserve">№ Договора </t>
  </si>
  <si>
    <t>Срок по договору</t>
  </si>
  <si>
    <t>Срок заказчика</t>
  </si>
  <si>
    <t>Примечание</t>
  </si>
  <si>
    <t>Чертеж</t>
  </si>
  <si>
    <t>Опер.планирование</t>
  </si>
  <si>
    <t>Обеспечение ПКИ</t>
  </si>
  <si>
    <t>№ Очереди</t>
  </si>
  <si>
    <t>Количество СК МЗП</t>
  </si>
  <si>
    <t>Запуск в МЗП</t>
  </si>
  <si>
    <t>Выпуск в МЗП</t>
  </si>
  <si>
    <t>Сборка, монтаж</t>
  </si>
  <si>
    <t>Регулировка</t>
  </si>
  <si>
    <t>Сдача ОТК</t>
  </si>
  <si>
    <t>Сдача ПЗ</t>
  </si>
  <si>
    <t>Фактическая дата отгрузки</t>
  </si>
  <si>
    <t>ПНР</t>
  </si>
  <si>
    <t>Выпущено</t>
  </si>
  <si>
    <t>К-625</t>
  </si>
  <si>
    <t>21.02.2022</t>
  </si>
  <si>
    <t>25.02.2022</t>
  </si>
  <si>
    <t>28.02.2022</t>
  </si>
  <si>
    <t>09.03.2022</t>
  </si>
  <si>
    <t>10.03.2022</t>
  </si>
  <si>
    <t>11.03.2022</t>
  </si>
  <si>
    <t>Дата выдачи</t>
  </si>
  <si>
    <t>К зап (дет)</t>
  </si>
  <si>
    <t>К вып</t>
  </si>
  <si>
    <t>Всего СК</t>
  </si>
  <si>
    <t>3 мес</t>
  </si>
  <si>
    <t>Статистика по очередям</t>
  </si>
  <si>
    <t>f</t>
  </si>
  <si>
    <t>s</t>
  </si>
  <si>
    <t>Потеря</t>
  </si>
  <si>
    <t>без платформы</t>
  </si>
  <si>
    <t>К-674-11Б (96-84-1,96-85-1,79-23-1,79-23-2)</t>
  </si>
  <si>
    <t>79-23-1,79-23-2 ТН Орх.</t>
  </si>
  <si>
    <t>КПА: БПУСт (зак 77-44-3...12)</t>
  </si>
  <si>
    <t>ДСЕ для Ангстрем (46-03-179)</t>
  </si>
  <si>
    <t>670 шт.</t>
  </si>
  <si>
    <t>СЗ 64-22/13, Щит силовой  (зак 96-69-2)</t>
  </si>
  <si>
    <t>КПА, Этап 1: Каркасы, рамы (зак 77-44-3)</t>
  </si>
  <si>
    <t>КПА, этап 3: Установка замыкателей (зак 77-44-3)</t>
  </si>
  <si>
    <t>КПА: остальное (зак 77-44-3)</t>
  </si>
  <si>
    <t>К-5Н 11403 1-я партия 50 шт (96-82-2)</t>
  </si>
  <si>
    <t>К-5Н Остальное 50 шт (96-82-2)</t>
  </si>
  <si>
    <t>Т-2С 11403 1-я партия 50 шт (96-82-1)</t>
  </si>
  <si>
    <t>Т-2С Остальное 1-я партия 50 шт (96-82-1)</t>
  </si>
  <si>
    <t>ЗИП-Г, Р-170П (74-06-1,74-07-1)</t>
  </si>
  <si>
    <t>СЗ по кузову-контейнеру</t>
  </si>
  <si>
    <t>ДСЕ для Ангстрем (46-03-180)</t>
  </si>
  <si>
    <t>ДСЕ для Ангстрем (46-03-181)</t>
  </si>
  <si>
    <t>ЗИП-Г, Р-170П (74-06-2,74-07-2)</t>
  </si>
  <si>
    <t>ДСЕ для Ангстрем (46-03-182)</t>
  </si>
  <si>
    <t>684 шт.</t>
  </si>
  <si>
    <t>КПА, этап 2: установка контактов (зак 77-44-3...12)</t>
  </si>
  <si>
    <t>КПА, этап 4: Стойка управления (зак 77-44-3...12)</t>
  </si>
  <si>
    <t>КПА, Этап 1: Каркасы, рамы (зак 77-44-4)</t>
  </si>
  <si>
    <t>КПА, Этап 1: Каркасы, рамы (зак 77-44-5)</t>
  </si>
  <si>
    <t>КПА, Этап 1: Каркасы, рамы (зак 77-44-6)</t>
  </si>
  <si>
    <t>КПА, Этап 1: Каркасы, рамы (зак 77-44-7)</t>
  </si>
  <si>
    <t>КПА, Этап 1: Каркасы, рамы (зак 77-44-8)</t>
  </si>
  <si>
    <t>КПА, Этап 1: Каркасы, рамы (зак 77-44-9)</t>
  </si>
  <si>
    <t>КПА, Этап 1: Каркасы, рамы (зак 77-44-10)</t>
  </si>
  <si>
    <t>КПА, Этап 1: Каркасы, рамы (зак 77-44-11)</t>
  </si>
  <si>
    <t>КПА, Этап 1: Каркасы, рамы (зак 77-44-12)</t>
  </si>
  <si>
    <t>КПА, этап 3: Установка замыкателей (зак 77-44-4)</t>
  </si>
  <si>
    <t>КПА, этап 3: Установка замыкателей (зак 77-44-5)</t>
  </si>
  <si>
    <t>КПА, этап 3: Установка замыкателей (зак 77-44-6)</t>
  </si>
  <si>
    <t>КПА, этап 3: Установка замыкателей (зак 77-44-7)</t>
  </si>
  <si>
    <t>КПА, этап 3: Установка замыкателей (зак 77-44-8)</t>
  </si>
  <si>
    <t>КПА, этап 3: Установка замыкателей (зак 77-44-9)</t>
  </si>
  <si>
    <t>КПА, этап 3: Установка замыкателей (зак 77-44-10)</t>
  </si>
  <si>
    <t>КПА, этап 3: Установка замыкателей (зак 77-44-11)</t>
  </si>
  <si>
    <t>КПА, этап 3: Установка замыкателей (зак 77-44-12)</t>
  </si>
  <si>
    <t>КПА: остальное (зак 77-44-4)</t>
  </si>
  <si>
    <t>КПА: остальное (зак 77-44-5)</t>
  </si>
  <si>
    <t>КПА: остальное (зак 77-44-6)</t>
  </si>
  <si>
    <t>КПА: остальное (зак 77-44-7)</t>
  </si>
  <si>
    <t>КПА: остальное (зак 77-44-8)</t>
  </si>
  <si>
    <t>КПА: остальное (зак 77-44-9)</t>
  </si>
  <si>
    <t>КПА: остальное (зак 77-44-10)</t>
  </si>
  <si>
    <t>КПА: остальное (зак 77-44-11)</t>
  </si>
  <si>
    <t>КПА: остальное (зак 77-44-12)</t>
  </si>
  <si>
    <t>Эквивалент нагрузки, КВЧ, УСС, Фидера (77-44-1...6)</t>
  </si>
  <si>
    <t>РПДМ остальное (77-44-1...6)</t>
  </si>
  <si>
    <t>Орхидея (79-22-1,79-22-2)</t>
  </si>
  <si>
    <t>К-674-11Б (96-88)</t>
  </si>
  <si>
    <t>96-88 белый цвет</t>
  </si>
  <si>
    <t>БГБК 79-20, ЭН-8кВт</t>
  </si>
  <si>
    <t>Р-673 (74-08-1)</t>
  </si>
  <si>
    <t>Комп.тренаж.(78-61-2,78-61-3)</t>
  </si>
  <si>
    <t>Комп.тренажер(78-61-4,78-61-5)</t>
  </si>
  <si>
    <t>Платы (зак 77-44-7...12)</t>
  </si>
  <si>
    <t>Моточные 10501 (зак 77-44-7...12)</t>
  </si>
  <si>
    <t>БУМ (зак 77-44-7...12)</t>
  </si>
  <si>
    <t>МИП (зак 77-44-7...12)</t>
  </si>
  <si>
    <t>ДСЕ для БФ (зак 77-44-7...12)</t>
  </si>
  <si>
    <t>ДСЕ для стойки РПДМ (77-44-7...12)</t>
  </si>
  <si>
    <t>Стойка РПДМ (зак 77-44-7...12)</t>
  </si>
  <si>
    <t>УСС, Фидера (77-44-7...12)</t>
  </si>
  <si>
    <t>РПДМ остальное (77-44-7...12)</t>
  </si>
  <si>
    <t>ПКЗ (з.96-83-1,96-83-2)</t>
  </si>
  <si>
    <t>ЗИП-Г, Р-170П (74-06-3, 74-07-3)</t>
  </si>
  <si>
    <t>2023 год</t>
  </si>
  <si>
    <t>3 509</t>
  </si>
  <si>
    <t>3 460</t>
  </si>
  <si>
    <t>3 485</t>
  </si>
  <si>
    <t>3 489</t>
  </si>
  <si>
    <t>3 490</t>
  </si>
  <si>
    <t>3 491</t>
  </si>
  <si>
    <t>3 492</t>
  </si>
  <si>
    <t>3 493</t>
  </si>
  <si>
    <t>3 494</t>
  </si>
  <si>
    <t>3 495</t>
  </si>
  <si>
    <t>3 496</t>
  </si>
  <si>
    <t>3 497</t>
  </si>
  <si>
    <t>3 498</t>
  </si>
  <si>
    <t>3 499</t>
  </si>
  <si>
    <t>201</t>
  </si>
  <si>
    <t>3 500</t>
  </si>
  <si>
    <t>202</t>
  </si>
  <si>
    <t>3 501</t>
  </si>
  <si>
    <t>203</t>
  </si>
  <si>
    <t>3 502</t>
  </si>
  <si>
    <t>204</t>
  </si>
  <si>
    <t>3 503</t>
  </si>
  <si>
    <t>205</t>
  </si>
  <si>
    <t>3 504</t>
  </si>
  <si>
    <t>206</t>
  </si>
  <si>
    <t>3 505</t>
  </si>
  <si>
    <t>207</t>
  </si>
  <si>
    <t>3 506</t>
  </si>
  <si>
    <t>208</t>
  </si>
  <si>
    <t>3 507</t>
  </si>
  <si>
    <t>209</t>
  </si>
  <si>
    <t>3 510</t>
  </si>
  <si>
    <t>210</t>
  </si>
  <si>
    <t>3 511</t>
  </si>
  <si>
    <t>211</t>
  </si>
  <si>
    <t>3 512</t>
  </si>
  <si>
    <t>212</t>
  </si>
  <si>
    <t>3 513</t>
  </si>
  <si>
    <t>213</t>
  </si>
  <si>
    <t>3 514</t>
  </si>
  <si>
    <t>214</t>
  </si>
  <si>
    <t>3 515</t>
  </si>
  <si>
    <t>215</t>
  </si>
  <si>
    <t>3 516</t>
  </si>
  <si>
    <t>216</t>
  </si>
  <si>
    <t>3 517</t>
  </si>
  <si>
    <t>217</t>
  </si>
  <si>
    <t>3 518</t>
  </si>
  <si>
    <t>218</t>
  </si>
  <si>
    <t>3 519</t>
  </si>
  <si>
    <t>219</t>
  </si>
  <si>
    <t>3 520</t>
  </si>
  <si>
    <t>220</t>
  </si>
  <si>
    <t>3 521</t>
  </si>
  <si>
    <t>221</t>
  </si>
  <si>
    <t>3 522</t>
  </si>
  <si>
    <t>222</t>
  </si>
  <si>
    <t>3 523</t>
  </si>
  <si>
    <t>223</t>
  </si>
  <si>
    <t>3 524</t>
  </si>
  <si>
    <t>224</t>
  </si>
  <si>
    <t>3 525</t>
  </si>
  <si>
    <t>225</t>
  </si>
  <si>
    <t>3 526</t>
  </si>
  <si>
    <t>226</t>
  </si>
  <si>
    <t>3 527</t>
  </si>
  <si>
    <t>227</t>
  </si>
  <si>
    <t>3 528</t>
  </si>
  <si>
    <t>228</t>
  </si>
  <si>
    <t>3 529</t>
  </si>
  <si>
    <t>229</t>
  </si>
  <si>
    <t>3 530</t>
  </si>
  <si>
    <t>230</t>
  </si>
  <si>
    <t>3 531</t>
  </si>
  <si>
    <t>231</t>
  </si>
  <si>
    <t>3 532</t>
  </si>
  <si>
    <t>232</t>
  </si>
  <si>
    <t>3 533</t>
  </si>
  <si>
    <t>233</t>
  </si>
  <si>
    <t>3 534</t>
  </si>
  <si>
    <t>234</t>
  </si>
  <si>
    <t>3 535</t>
  </si>
  <si>
    <t>235</t>
  </si>
  <si>
    <t>3 536</t>
  </si>
  <si>
    <t>236</t>
  </si>
  <si>
    <t>3 537</t>
  </si>
  <si>
    <t>237</t>
  </si>
  <si>
    <t>3 538</t>
  </si>
  <si>
    <t>238</t>
  </si>
  <si>
    <t>3 539</t>
  </si>
  <si>
    <t>239</t>
  </si>
  <si>
    <t>3 540</t>
  </si>
  <si>
    <t>240</t>
  </si>
  <si>
    <t>3 541</t>
  </si>
  <si>
    <t>241</t>
  </si>
  <si>
    <t>3 542</t>
  </si>
  <si>
    <t>242</t>
  </si>
  <si>
    <t>3 543</t>
  </si>
  <si>
    <t>3 544</t>
  </si>
  <si>
    <t>3 545</t>
  </si>
  <si>
    <t>3 546</t>
  </si>
  <si>
    <t>3 547</t>
  </si>
  <si>
    <t>3 548</t>
  </si>
  <si>
    <t>3 549</t>
  </si>
  <si>
    <t>3 550</t>
  </si>
  <si>
    <t>3 551</t>
  </si>
  <si>
    <t>3 552</t>
  </si>
  <si>
    <t>3 553</t>
  </si>
  <si>
    <t>77-44-3,</t>
  </si>
  <si>
    <t>46-03-179,</t>
  </si>
  <si>
    <t>46-03-180,</t>
  </si>
  <si>
    <t>46-03-181,</t>
  </si>
  <si>
    <t>46-03-182,</t>
  </si>
  <si>
    <t>96-69-2_13,</t>
  </si>
  <si>
    <t>96-82-2,</t>
  </si>
  <si>
    <t>96-85-1,</t>
  </si>
  <si>
    <t>74-08-1,</t>
  </si>
  <si>
    <t>79-22-1,79-22-2,</t>
  </si>
  <si>
    <t>77-44-5,</t>
  </si>
  <si>
    <t>77-44-6,</t>
  </si>
  <si>
    <t>77-44-4,</t>
  </si>
  <si>
    <t>78-08-1,</t>
  </si>
  <si>
    <t>96-75_17/100,</t>
  </si>
  <si>
    <t>96-75_17/102,</t>
  </si>
  <si>
    <t>77-44-10,77-44-11,77-44-12,77-44-7,77-44-8,77-44-9,</t>
  </si>
  <si>
    <t>96-83-1,96-83-2,</t>
  </si>
  <si>
    <t>77-44-7,</t>
  </si>
  <si>
    <t>77-44-8,</t>
  </si>
  <si>
    <t>77-44-9,</t>
  </si>
  <si>
    <t>77-44-10,</t>
  </si>
  <si>
    <t>77-44-11,</t>
  </si>
  <si>
    <t>77-44-12,</t>
  </si>
  <si>
    <t>79-23-1,79-23-2,</t>
  </si>
  <si>
    <t>96-88,</t>
  </si>
  <si>
    <t>74-06-1,74-07-1,</t>
  </si>
  <si>
    <t>74-06-1,</t>
  </si>
  <si>
    <t>74-06-2,74-07-2,</t>
  </si>
  <si>
    <t>74-06-2,</t>
  </si>
  <si>
    <t>74-06-3,74-07-3,</t>
  </si>
  <si>
    <t>74-06-3,</t>
  </si>
  <si>
    <t>96-82-1,</t>
  </si>
  <si>
    <t>74-04-1_ТСБ,</t>
  </si>
  <si>
    <t>96-83-1,</t>
  </si>
  <si>
    <t>96-83-2,</t>
  </si>
  <si>
    <t>78-61-2,78-61-3,</t>
  </si>
  <si>
    <t>78-61-4,78-61-5,</t>
  </si>
  <si>
    <t>23-10-166_15,</t>
  </si>
  <si>
    <t>74-07-1,</t>
  </si>
  <si>
    <t>74-07-2,</t>
  </si>
  <si>
    <t>74-07-3,</t>
  </si>
  <si>
    <t>74-03-1_ТСБ,</t>
  </si>
  <si>
    <t>23-10-167,</t>
  </si>
  <si>
    <t>96-75_105,</t>
  </si>
  <si>
    <t>ПБИН.711300.066 Наконечник</t>
  </si>
  <si>
    <t>ПБИН.715300.034-03 Стойка</t>
  </si>
  <si>
    <t xml:space="preserve"> СТОЙКА М3Х16-56.026 ГОСТ 20865-81</t>
  </si>
  <si>
    <t xml:space="preserve"> Стойка 2 М2,5х38-56.026 ГОСТ 20865-81</t>
  </si>
  <si>
    <t>СКИД.757468.002-28.05 Лепесток 2-1,2-3,0-14-Л63-07 ГОСТ 16840-78</t>
  </si>
  <si>
    <t>ЛТИЯ.711341.005 Втулка</t>
  </si>
  <si>
    <t>552397</t>
  </si>
  <si>
    <t>ПБИН.753100.032 Гайка сальника</t>
  </si>
  <si>
    <t>552416</t>
  </si>
  <si>
    <t>ЦЛИБ.711154.002-01 Подставка</t>
  </si>
  <si>
    <t>552420</t>
  </si>
  <si>
    <t>552421</t>
  </si>
  <si>
    <t>ПБИН.741101.234 Прокладка</t>
  </si>
  <si>
    <t>ЦЛИБ.741124.010 Прокладка</t>
  </si>
  <si>
    <t>552426</t>
  </si>
  <si>
    <t>552550</t>
  </si>
  <si>
    <t>ПБИН.758400.295 Гайка</t>
  </si>
  <si>
    <t>552945</t>
  </si>
  <si>
    <t>ПБИН.758100.042 Винт</t>
  </si>
  <si>
    <t>552946</t>
  </si>
  <si>
    <t>552948</t>
  </si>
  <si>
    <t>ПБИН.758400.082 Шайба</t>
  </si>
  <si>
    <t>552949</t>
  </si>
  <si>
    <t>ПБИН.757400.133 НАКОНЕЧНИК</t>
  </si>
  <si>
    <t>552950</t>
  </si>
  <si>
    <t>ЕР8.667.041 СКОБА</t>
  </si>
  <si>
    <t>552951</t>
  </si>
  <si>
    <t>ЕР8.610.838 ПЛАСТИНА</t>
  </si>
  <si>
    <t>552952</t>
  </si>
  <si>
    <t>ПБИН.757400.052-02 Наконечник</t>
  </si>
  <si>
    <t>ПБИН.713300.068 Втулка</t>
  </si>
  <si>
    <t>552958</t>
  </si>
  <si>
    <t>ПБИН.757400.147 Шина</t>
  </si>
  <si>
    <t>552959</t>
  </si>
  <si>
    <t>ПБИН.757400.148 Шина</t>
  </si>
  <si>
    <t>552963</t>
  </si>
  <si>
    <t xml:space="preserve"> ШАЙБА 3Х0,5(СТ) ОСТ 4Г 0.894.002-88</t>
  </si>
  <si>
    <t>553058</t>
  </si>
  <si>
    <t>ЛТИЯ.741144.003-33 ШИНА</t>
  </si>
  <si>
    <t>553059</t>
  </si>
  <si>
    <t>ИТНЯ.745212.396 УГОЛЬНИК</t>
  </si>
  <si>
    <t>553062</t>
  </si>
  <si>
    <t>553063</t>
  </si>
  <si>
    <t>553071</t>
  </si>
  <si>
    <t>ПБИН.757400.052 Наконечник</t>
  </si>
  <si>
    <t>553072</t>
  </si>
  <si>
    <t>ПБИН.758400.074 Гайка</t>
  </si>
  <si>
    <t>553079</t>
  </si>
  <si>
    <t>555301</t>
  </si>
  <si>
    <t>ПБИН.754100.060 Прокладка</t>
  </si>
  <si>
    <t>555302</t>
  </si>
  <si>
    <t>ПБИН.754100.059 Прокладка</t>
  </si>
  <si>
    <t>ПБИН.713100.095 Заглушка</t>
  </si>
  <si>
    <t>555306</t>
  </si>
  <si>
    <t>ЦЛИБ.711100.049-02 Прокладка</t>
  </si>
  <si>
    <t>555310</t>
  </si>
  <si>
    <t>ЛТИЯ.758291.029 Болт</t>
  </si>
  <si>
    <t>555314</t>
  </si>
  <si>
    <t>ПБИН.723200.026 Кольцо</t>
  </si>
  <si>
    <t>555315</t>
  </si>
  <si>
    <t>ПБИН.758400.164 Гайка</t>
  </si>
  <si>
    <t>555317</t>
  </si>
  <si>
    <t>555319</t>
  </si>
  <si>
    <t>555320</t>
  </si>
  <si>
    <t>555322</t>
  </si>
  <si>
    <t>ПБИН.754100.081-02 Прокладка</t>
  </si>
  <si>
    <t>555328</t>
  </si>
  <si>
    <t>556945</t>
  </si>
  <si>
    <t>556946</t>
  </si>
  <si>
    <t>556948</t>
  </si>
  <si>
    <t>559327</t>
  </si>
  <si>
    <t>ЖЯ8.671.291 Ручка</t>
  </si>
  <si>
    <t>560036</t>
  </si>
  <si>
    <t>ЦЛИБ.745300.063 Створка правая</t>
  </si>
  <si>
    <t>560037</t>
  </si>
  <si>
    <t>ПБИН.754100.044 Прокладка</t>
  </si>
  <si>
    <t>560042</t>
  </si>
  <si>
    <t>ЕР7.930.195 ШИНА</t>
  </si>
  <si>
    <t>560043</t>
  </si>
  <si>
    <t>ЦЛИБ.713300.015 Стержень</t>
  </si>
  <si>
    <t>561905</t>
  </si>
  <si>
    <t>ПБИН.757400.149 Шина</t>
  </si>
  <si>
    <t>561906</t>
  </si>
  <si>
    <t>564010</t>
  </si>
  <si>
    <t>ПБИН.724200.022-01 Корпус</t>
  </si>
  <si>
    <t>564012</t>
  </si>
  <si>
    <t>564014</t>
  </si>
  <si>
    <t>564017</t>
  </si>
  <si>
    <t>564018</t>
  </si>
  <si>
    <t>ПБИН.758400.161-02 Шайба</t>
  </si>
  <si>
    <t>564020</t>
  </si>
  <si>
    <t>564021</t>
  </si>
  <si>
    <t>ПБИН.754100.081-01 Прокладка</t>
  </si>
  <si>
    <t>564022</t>
  </si>
  <si>
    <t>564026</t>
  </si>
  <si>
    <t>ЖЯ9.115.796 Втулка</t>
  </si>
  <si>
    <t>564027</t>
  </si>
  <si>
    <t>564028</t>
  </si>
  <si>
    <t>566000</t>
  </si>
  <si>
    <t>567459</t>
  </si>
  <si>
    <t>ЕР8.603.847 Планка</t>
  </si>
  <si>
    <t>ЛТИЯ.745428.001-02 Шина</t>
  </si>
  <si>
    <t>568897</t>
  </si>
  <si>
    <t>568898</t>
  </si>
  <si>
    <t>ЛТИЯ.745356.004-02 Шина</t>
  </si>
  <si>
    <t>568899</t>
  </si>
  <si>
    <t>ЛТИЯ.757855.005 ФЛАНЕЦ</t>
  </si>
  <si>
    <t>569103</t>
  </si>
  <si>
    <t>569104</t>
  </si>
  <si>
    <t>530</t>
  </si>
  <si>
    <t>569105</t>
  </si>
  <si>
    <t>07.02.2022</t>
  </si>
  <si>
    <t>08.02.2022</t>
  </si>
  <si>
    <t>04.02.2022</t>
  </si>
  <si>
    <t>09.02.2022</t>
  </si>
  <si>
    <t>10.02.2022</t>
  </si>
  <si>
    <t>15.02.2022</t>
  </si>
  <si>
    <t>19.02.2022</t>
  </si>
  <si>
    <t>24.02.2022</t>
  </si>
  <si>
    <t>17.02.2022</t>
  </si>
  <si>
    <t>18.02.2022</t>
  </si>
  <si>
    <t>22.02.2022</t>
  </si>
  <si>
    <t>00ЕР86670410000000000</t>
  </si>
  <si>
    <t>00ЕР86108380000000000</t>
  </si>
  <si>
    <t>16.02.2022</t>
  </si>
  <si>
    <t>00ЕР86038470000000000</t>
  </si>
  <si>
    <t>002-Токарная,004-Фрезерная,006-Слесарная,</t>
  </si>
  <si>
    <t>002-Прессование,004-Прессование,006-Слесарная,</t>
  </si>
  <si>
    <t>11.02.2022</t>
  </si>
  <si>
    <t>СКИД.757461.002-01.05 Наконечник П 0,5-3-ЛТ-07 ГОСТ 22002.1-82</t>
  </si>
  <si>
    <t>002-Гальваническое покрытие н3.O-Bu(99,8)6,</t>
  </si>
  <si>
    <t>Срок</t>
  </si>
  <si>
    <t>На контроле: не добавлены в план, но были выданы в ПДБ, либо имеется частичный запуск</t>
  </si>
  <si>
    <t>Легенда:</t>
  </si>
  <si>
    <t>s - 1ый мес: (К,З) или 3ий мес: (В)</t>
  </si>
  <si>
    <t>f - в отставании, либо 1ый или 2ой мес: (В)</t>
  </si>
  <si>
    <t>3 мес план:</t>
  </si>
  <si>
    <t>Тех.надзор Орхидея-1 (79-23-1,79-23-2)</t>
  </si>
  <si>
    <t>АН "Мурманск-БН" (78-08-1)</t>
  </si>
  <si>
    <t>АН00.000000.029</t>
  </si>
  <si>
    <t xml:space="preserve"> на март 2022 года</t>
  </si>
  <si>
    <t>569225</t>
  </si>
  <si>
    <t>6 500</t>
  </si>
  <si>
    <t>569226</t>
  </si>
  <si>
    <t>ЛТИЯ.713431.001 Втулка</t>
  </si>
  <si>
    <t>1 260</t>
  </si>
  <si>
    <t>569229</t>
  </si>
  <si>
    <t>569231</t>
  </si>
  <si>
    <t>ЛТИЯ.715121.036 ВТУЛКА ПРУТОК АМг2 КВ 8Х10 ГОСТ 21488-97</t>
  </si>
  <si>
    <t>569240</t>
  </si>
  <si>
    <t xml:space="preserve"> ЗАКЛЕПКА 2Х3.37 ГОСТ 12638-80</t>
  </si>
  <si>
    <t>340</t>
  </si>
  <si>
    <t>569241</t>
  </si>
  <si>
    <t xml:space="preserve"> Заклепка 1,6х3.38.М3.139 ГОСТ 12638-80</t>
  </si>
  <si>
    <t>569242</t>
  </si>
  <si>
    <t>ЛТИЯ.745356.001 Контакт</t>
  </si>
  <si>
    <t>569243</t>
  </si>
  <si>
    <t>ЛТИЯ.715111.023-02 СТЕРЖЕНЬ</t>
  </si>
  <si>
    <t>569244</t>
  </si>
  <si>
    <t>569245</t>
  </si>
  <si>
    <t>ЮПИЯ.753124.005-27 ВТУЛКА ОСТ 4Г 0.822.009-73</t>
  </si>
  <si>
    <t>1 120</t>
  </si>
  <si>
    <t>569249</t>
  </si>
  <si>
    <t>ЮПИЯ.753124.005-25 Втулка ОСТ4 ГО.822.009</t>
  </si>
  <si>
    <t>569250</t>
  </si>
  <si>
    <t>002-Автоматная,</t>
  </si>
  <si>
    <t>СКИД.757468.002-32.05 Лепесток 2-1,6-3,0-11-Л63-07 ГОСТ 16840-78</t>
  </si>
  <si>
    <t>СКИД.757463.001-24.05 Наконечник П 10-8-ЛТ-07 ГОСТ 22002.7-76</t>
  </si>
  <si>
    <t>СКИД.757468.002-16.05 Лепесток 2-1,0-3,0-7-Л63-07 ГОСТ 16840-78</t>
  </si>
  <si>
    <t>Апрель</t>
  </si>
  <si>
    <t>Производственный план на 3 месяца с 04.2022 г.</t>
  </si>
  <si>
    <t>Трудоемкость 04.22 - 06.22</t>
  </si>
  <si>
    <t>Товарный выпуск 04.22 - 06.22</t>
  </si>
  <si>
    <t>Ошибки ПДО</t>
  </si>
  <si>
    <t>Неман: Такелаж для РПА</t>
  </si>
  <si>
    <t>Шкаф (23-10-149)</t>
  </si>
  <si>
    <t>Неман_АЭ (96-69-1)</t>
  </si>
  <si>
    <t>СЗ №05/68</t>
  </si>
  <si>
    <t>ДСЕ для 11102 (зак 77-44-1..6)</t>
  </si>
  <si>
    <t>СЗ №17/163 на Рамы для кузовов-контейнеров</t>
  </si>
  <si>
    <t>4 заказа</t>
  </si>
  <si>
    <t>Волна С (79-22-1, 79-22-2)</t>
  </si>
  <si>
    <t>Волна С (96-69-2)</t>
  </si>
  <si>
    <t>ДСЕ для 11102 (зак 77-44-7..12)</t>
  </si>
  <si>
    <t>ЩРС-28 (96-57-3)</t>
  </si>
  <si>
    <t>ЩРУ-28 (96-57-2)</t>
  </si>
  <si>
    <t>Ю-628 Прибор ПУ_079 (96-80-4,96-89-4)</t>
  </si>
  <si>
    <t>К-676-2АШ_под намотку, 13 исп. (96-89-3)</t>
  </si>
  <si>
    <t>Ю-628 Прибор КБ1 6х6,9х9 (96-80-4,96-89-4)</t>
  </si>
  <si>
    <t>К-676-2АШ_Антена, 13 исп. (96-89-3)</t>
  </si>
  <si>
    <t>Ю-628 ЗИП+Прочее (96-80-4,96-89-4)</t>
  </si>
  <si>
    <t>К-676-2АШ_Остальное, 13 исп. (96-89-3)</t>
  </si>
  <si>
    <t>Ю-627 Прибор К6-64 (96-89-6)</t>
  </si>
  <si>
    <t>Ю-627 Прибор К1,ЗИП (96-89-6)</t>
  </si>
  <si>
    <t>РПДУ-1000,(96-80-1) с 1 по 4 шт.</t>
  </si>
  <si>
    <t>Волна-С для РПДУ 1000 (96-80-1)</t>
  </si>
  <si>
    <t>РПДУ 1000, (96-80-1) с 5 по 8 шт.</t>
  </si>
  <si>
    <t>К-674-11Б (96-89-1, 89-89-2)</t>
  </si>
  <si>
    <t>К-625 (96-90-5)</t>
  </si>
  <si>
    <t>К-676-2АШ_под намотку, 13 исп., (96-90-3)</t>
  </si>
  <si>
    <t>Ю-628 Прибор ПУ_079 (96-90-4)</t>
  </si>
  <si>
    <t>К-676-2АШ_Антена, 13 исп., (96-90-3)</t>
  </si>
  <si>
    <t>Ю-628 Прибор КБ1 6х6 (96-90-4)</t>
  </si>
  <si>
    <t>К-676-2АШ_Остальное, 13 исп., (96-90-3)</t>
  </si>
  <si>
    <t>Ю-628 ЗИП+Прочее (96-90-4)</t>
  </si>
  <si>
    <t>Ю-627 Прибор К6-64 (96-90-6)</t>
  </si>
  <si>
    <t>Ю-627 Прибор К1,ЗИП (96-90-6)</t>
  </si>
  <si>
    <t>К-674-11Б(96-90-1, 96-90-2)</t>
  </si>
  <si>
    <t>3 577</t>
  </si>
  <si>
    <t>3 555</t>
  </si>
  <si>
    <t>3 556</t>
  </si>
  <si>
    <t>3 557</t>
  </si>
  <si>
    <t>3 558</t>
  </si>
  <si>
    <t>3 559</t>
  </si>
  <si>
    <t>3 560</t>
  </si>
  <si>
    <t>3 561</t>
  </si>
  <si>
    <t>3 562</t>
  </si>
  <si>
    <t>3 563</t>
  </si>
  <si>
    <t>3 564</t>
  </si>
  <si>
    <t>3 565</t>
  </si>
  <si>
    <t>3 566</t>
  </si>
  <si>
    <t>3 567</t>
  </si>
  <si>
    <t>3 568</t>
  </si>
  <si>
    <t>3 569</t>
  </si>
  <si>
    <t>3 570</t>
  </si>
  <si>
    <t>3 571</t>
  </si>
  <si>
    <t>3 572</t>
  </si>
  <si>
    <t>3 573</t>
  </si>
  <si>
    <t>3 574</t>
  </si>
  <si>
    <t>3 575</t>
  </si>
  <si>
    <t>3 576</t>
  </si>
  <si>
    <t>3 578</t>
  </si>
  <si>
    <t>3 579</t>
  </si>
  <si>
    <t>3 580</t>
  </si>
  <si>
    <t>3 581</t>
  </si>
  <si>
    <t>96-80-4,96-89-4,</t>
  </si>
  <si>
    <t>96-80-1_влн,</t>
  </si>
  <si>
    <t>96-57-3,</t>
  </si>
  <si>
    <t>96-89-1,96-89-2,</t>
  </si>
  <si>
    <t>96-89-4,</t>
  </si>
  <si>
    <t>96-90-1,96-90-2,</t>
  </si>
  <si>
    <t>96-89-6,</t>
  </si>
  <si>
    <t>96-89-3,</t>
  </si>
  <si>
    <t>96-90-3,</t>
  </si>
  <si>
    <t>96-90-4,</t>
  </si>
  <si>
    <t>96-90-6,</t>
  </si>
  <si>
    <t>23-10-149_15,</t>
  </si>
  <si>
    <t>96-69-1_163,96-69-2_163,96-75_163,</t>
  </si>
  <si>
    <t>96-57-2,</t>
  </si>
  <si>
    <t>79-22-1_влн,79-22-2_влн,</t>
  </si>
  <si>
    <t>96-68_163,96-69-1_163,96-69-2_163,96-75_163,</t>
  </si>
  <si>
    <t>96-89-5,</t>
  </si>
  <si>
    <t>96-90-5,</t>
  </si>
  <si>
    <t>96-69-2_влн,</t>
  </si>
  <si>
    <t>96-69-1_163,</t>
  </si>
  <si>
    <t>28-52_2402,</t>
  </si>
  <si>
    <t>96-75_163,</t>
  </si>
  <si>
    <t>96-69-1_163,96-69-2_163,</t>
  </si>
  <si>
    <t>96-69-2_163,</t>
  </si>
  <si>
    <t>96-89-1,</t>
  </si>
  <si>
    <t>96-90-1,</t>
  </si>
  <si>
    <t>Расшифровка трудоемкости по рабочим центрам 100 цеха на апрель 2022 г. (МЗП)</t>
  </si>
  <si>
    <t>Приложение к плану производства цеха 100 на апрель 2022 г.</t>
  </si>
  <si>
    <t>План производства цеха 100 на апрель 2022 г.</t>
  </si>
  <si>
    <t>Дата начала плана равно [01.04.22] и показывать скрытые сз: 0 - нет (по умолч.); 1 - да равно [1] и Показывать примечание к позиции заказа: 0 - нет (по умолч.); 1 - да равно [0]</t>
  </si>
  <si>
    <t>ID отчета: 4105; Пользователь: Баличев Эдуард Александрович; Дата, время 23.03.2022, 14:34:15</t>
  </si>
  <si>
    <t>СК по очередям и группам очередей механо-заготовительного цеха на 23.03.2022 13:02:51</t>
  </si>
  <si>
    <t>ID отчета: 4082; Пользователь: Баличев Эдуард Александрович; Дата, время 23.03.2022, 14:43:10</t>
  </si>
  <si>
    <t>Волна РУ (76-12)</t>
  </si>
  <si>
    <t>Р-673 (74-09,74-10)</t>
  </si>
  <si>
    <t>Номера очередей (через;) (по умолч. все запущ-ые очереди и с датой выпуска в тек. и след.месяце) равно [1;2;3;4;5;6;7;3282;3358;3304;3344;3409;3473;3486;3464;3417;3475;3299;3406;3503;3509;3259;3254;3267;3263;3269;3264;3268;3271;3278;3274;3277;3266;...</t>
  </si>
  <si>
    <t>ID отчета: 4385; Пользователь: Баличев Эдуард Александрович; Дата, время 23.03.2022, 14:59:11</t>
  </si>
  <si>
    <t>3 582</t>
  </si>
  <si>
    <t>74-09,74-10,</t>
  </si>
  <si>
    <t>76-12,</t>
  </si>
  <si>
    <t>23-10-149_шк,</t>
  </si>
  <si>
    <t>ID отчета: 4390; Пользователь: Баличев Эдуард Александрович; Дата, время 23.03.2022, 15:04:39</t>
  </si>
  <si>
    <t>569632</t>
  </si>
  <si>
    <t>ГТ-Э4070.00.00.01 Бирка для маркировки</t>
  </si>
  <si>
    <t>8 000</t>
  </si>
  <si>
    <t>569636</t>
  </si>
  <si>
    <t>ЖЯ7.934.033 Наконечник</t>
  </si>
  <si>
    <t>571189</t>
  </si>
  <si>
    <t>ЮПИЯ.713263.002-03 Втулка ОСТ 4Г 0.822.009-73</t>
  </si>
  <si>
    <t>770</t>
  </si>
  <si>
    <t>571190</t>
  </si>
  <si>
    <t>571191</t>
  </si>
  <si>
    <t>ЮПИЯ.713361.005-19 Втулка ОСТ 4Г 0.822.009</t>
  </si>
  <si>
    <t>1 160</t>
  </si>
  <si>
    <t>572373</t>
  </si>
  <si>
    <t>572375</t>
  </si>
  <si>
    <t>ПБИН.715300.030 Ось</t>
  </si>
  <si>
    <t>572376</t>
  </si>
  <si>
    <t>572383</t>
  </si>
  <si>
    <t>ЛТИЯ.715344.001 Колонка</t>
  </si>
  <si>
    <t>572867</t>
  </si>
  <si>
    <t>572869</t>
  </si>
  <si>
    <t xml:space="preserve"> ШТИФТ 2.2Х10.20Х13.116 ГОСТ 3128-70</t>
  </si>
  <si>
    <t>572871</t>
  </si>
  <si>
    <t>572872</t>
  </si>
  <si>
    <t>572873</t>
  </si>
  <si>
    <t xml:space="preserve"> СТОЙКА М2,5Х15-56.016 ГОСТ 20865-81</t>
  </si>
  <si>
    <t>572874</t>
  </si>
  <si>
    <t xml:space="preserve"> СТОЙКА М2,5Х8-56.016 ГОСТ 20865-81</t>
  </si>
  <si>
    <t>573887</t>
  </si>
  <si>
    <t>573889</t>
  </si>
  <si>
    <t>573898</t>
  </si>
  <si>
    <t>ЮПИЯ.713361.002-21 Втулка ОСТ 4Г 0.822.009</t>
  </si>
  <si>
    <t>1 152</t>
  </si>
  <si>
    <t>574042</t>
  </si>
  <si>
    <t>ЛТИЯ.715541.001 Втулка</t>
  </si>
  <si>
    <t>574045</t>
  </si>
  <si>
    <t>ПБИН.758100.056-02 Винт</t>
  </si>
  <si>
    <t>574046</t>
  </si>
  <si>
    <t>ПБИН.711300.102 Наконечник</t>
  </si>
  <si>
    <t>574050</t>
  </si>
  <si>
    <t>ПБИН.713400.026 Втулка</t>
  </si>
  <si>
    <t>574051</t>
  </si>
  <si>
    <t>ПБИН.715400.024-06 Втулка</t>
  </si>
  <si>
    <t>574052</t>
  </si>
  <si>
    <t>ПБИН.723200.040 Цанга</t>
  </si>
  <si>
    <t>574054</t>
  </si>
  <si>
    <t>574055</t>
  </si>
  <si>
    <t xml:space="preserve"> Стойка НМ3х17х22-56.016 ГОСТ 20862-81</t>
  </si>
  <si>
    <t>574056</t>
  </si>
  <si>
    <t>ПБИН.758100.056-08 Винт</t>
  </si>
  <si>
    <t>576239</t>
  </si>
  <si>
    <t>ЛТИЯ.754342.182-01 Изделие-заготовка для ЛТИЯ.754342.052(01-06; 14-18; 23-29; 31)</t>
  </si>
  <si>
    <t>576240</t>
  </si>
  <si>
    <t>569266</t>
  </si>
  <si>
    <t>ЖЯ8.935.488 ГАЙКА</t>
  </si>
  <si>
    <t>569267</t>
  </si>
  <si>
    <t>ЖЯ8.242.333 КОЛЬЦО</t>
  </si>
  <si>
    <t>569311</t>
  </si>
  <si>
    <t>569313</t>
  </si>
  <si>
    <t>ЛТИЯ.741424.169 Скоба</t>
  </si>
  <si>
    <t>569314</t>
  </si>
  <si>
    <t>ЛТИЯ.741334.017 Шина</t>
  </si>
  <si>
    <t>569450</t>
  </si>
  <si>
    <t>ЖЯ6.687.661 КАРКАС</t>
  </si>
  <si>
    <t>10501</t>
  </si>
  <si>
    <t>569451</t>
  </si>
  <si>
    <t>569452</t>
  </si>
  <si>
    <t>569481</t>
  </si>
  <si>
    <t>ЛТИЯ.745356.005-01 Шина</t>
  </si>
  <si>
    <t>569492</t>
  </si>
  <si>
    <t>ЛТИЯ.741144.019-10 Шина</t>
  </si>
  <si>
    <t>569495</t>
  </si>
  <si>
    <t>ЛТИЯ.741144.024-01 Шина</t>
  </si>
  <si>
    <t>569633</t>
  </si>
  <si>
    <t>2 000</t>
  </si>
  <si>
    <t>569635</t>
  </si>
  <si>
    <t>569642</t>
  </si>
  <si>
    <t>ПБИН.753600.010 Шайба</t>
  </si>
  <si>
    <t>569643</t>
  </si>
  <si>
    <t xml:space="preserve"> ШАЙБА ОСТ 4Г 0.010.016 СКИД.758494.001-01</t>
  </si>
  <si>
    <t>569644</t>
  </si>
  <si>
    <t>ЦЛИБ.741100.070 Планка</t>
  </si>
  <si>
    <t>569645</t>
  </si>
  <si>
    <t>ПБИН.758400.075 Шайба пружинная</t>
  </si>
  <si>
    <t>569646</t>
  </si>
  <si>
    <t>ПБИН.751300.006 Кулачок</t>
  </si>
  <si>
    <t>569651</t>
  </si>
  <si>
    <t>СКИД.757466.001-19.03 Лепесток 1-3-3,2х12-07 ГОСТ 22376-77</t>
  </si>
  <si>
    <t>569654</t>
  </si>
  <si>
    <t>569658</t>
  </si>
  <si>
    <t xml:space="preserve"> ВТУЛКА 5-6 Г19421-74 НО-68-1 ТУ381051082</t>
  </si>
  <si>
    <t>569659</t>
  </si>
  <si>
    <t>ЖЯ7.904.192 КОНТАКТ</t>
  </si>
  <si>
    <t>569660</t>
  </si>
  <si>
    <t>ЖЯ7.892.185 ИЗОЛЯТОР</t>
  </si>
  <si>
    <t>569661</t>
  </si>
  <si>
    <t>ЛТИЯ.757513.002 ИЗОЛЯТОР</t>
  </si>
  <si>
    <t>569664</t>
  </si>
  <si>
    <t>ЕР7.930.918-33 Шина</t>
  </si>
  <si>
    <t>569690</t>
  </si>
  <si>
    <t>ЛТИЯ.741144.004-022 Шина</t>
  </si>
  <si>
    <t>571194</t>
  </si>
  <si>
    <t>ЛТИЯ.741144.019 Шина</t>
  </si>
  <si>
    <t>571778</t>
  </si>
  <si>
    <t>ЛТИЯ.741346.005-02 Бирка</t>
  </si>
  <si>
    <t>571780</t>
  </si>
  <si>
    <t>571783</t>
  </si>
  <si>
    <t>ЛТИЯ.745428.002 Шина</t>
  </si>
  <si>
    <t>571784</t>
  </si>
  <si>
    <t>571785</t>
  </si>
  <si>
    <t>ЛТИЯ.741144.019-09 Шина</t>
  </si>
  <si>
    <t>571786</t>
  </si>
  <si>
    <t>ЛТИЯ.741376.001-01 Шина</t>
  </si>
  <si>
    <t>571787</t>
  </si>
  <si>
    <t>ЛТИЯ.741376.001-04 Шина</t>
  </si>
  <si>
    <t>572372</t>
  </si>
  <si>
    <t>572374</t>
  </si>
  <si>
    <t>572378</t>
  </si>
  <si>
    <t>ПБИН.758100.056-03 Винт</t>
  </si>
  <si>
    <t>572384</t>
  </si>
  <si>
    <t>ЛТИЯ.754312.108 Шильдик</t>
  </si>
  <si>
    <t>350</t>
  </si>
  <si>
    <t>572385</t>
  </si>
  <si>
    <t>ЛТИЯ.745425.009 Шина</t>
  </si>
  <si>
    <t>572386</t>
  </si>
  <si>
    <t>ЛТИЯ.745425.009-01 Шина</t>
  </si>
  <si>
    <t>572387</t>
  </si>
  <si>
    <t>572864</t>
  </si>
  <si>
    <t>ПБИН.746700.047 Скоба</t>
  </si>
  <si>
    <t>572865</t>
  </si>
  <si>
    <t>ЕР7.852.119-01 Крышка</t>
  </si>
  <si>
    <t>572866</t>
  </si>
  <si>
    <t>572868</t>
  </si>
  <si>
    <t>ЕР8.927.371 ШПИЛЬКА</t>
  </si>
  <si>
    <t>572870</t>
  </si>
  <si>
    <t>ПБИН.758400.239 Гайка</t>
  </si>
  <si>
    <t>572875</t>
  </si>
  <si>
    <t>ПБИН.713500.059 Втулка</t>
  </si>
  <si>
    <t>572876</t>
  </si>
  <si>
    <t>ЦЛИБ.758400.071 Гайка</t>
  </si>
  <si>
    <t>572877</t>
  </si>
  <si>
    <t>573886</t>
  </si>
  <si>
    <t>ПБИН.745200.247 Уголок</t>
  </si>
  <si>
    <t>573888</t>
  </si>
  <si>
    <t>СКИД.757463.003-19.05 Наконечник П 6-6-П-ЛТ-07 ГОСТ 22002.11-76</t>
  </si>
  <si>
    <t>573890</t>
  </si>
  <si>
    <t>573896</t>
  </si>
  <si>
    <t>574038</t>
  </si>
  <si>
    <t>ЛТИЯ.715161.014 Стойка</t>
  </si>
  <si>
    <t>574039</t>
  </si>
  <si>
    <t>ЛТИЯ.741214.004 Шина</t>
  </si>
  <si>
    <t>574041</t>
  </si>
  <si>
    <t>ЛТИЯ.741134.144 ШИНА</t>
  </si>
  <si>
    <t>574043</t>
  </si>
  <si>
    <t>574047</t>
  </si>
  <si>
    <t>ЦЛИБ.758400.058 Шайба</t>
  </si>
  <si>
    <t>574048</t>
  </si>
  <si>
    <t>ЦЛИБ.758400.058-01 Шайба</t>
  </si>
  <si>
    <t>574049</t>
  </si>
  <si>
    <t>ПБИН.713700.022 Втулка</t>
  </si>
  <si>
    <t>574053</t>
  </si>
  <si>
    <t>ПБИН.757400.046 Гнездо</t>
  </si>
  <si>
    <t>574057</t>
  </si>
  <si>
    <t>ПБИН.711100.139-02 Втулка</t>
  </si>
  <si>
    <t>574058</t>
  </si>
  <si>
    <t>ПБИН.757500.079 Изолятор</t>
  </si>
  <si>
    <t>574059</t>
  </si>
  <si>
    <t>ПБИН.757400.132 Петля</t>
  </si>
  <si>
    <t>574060</t>
  </si>
  <si>
    <t>574062</t>
  </si>
  <si>
    <t>ПБИН.758400.175-01 Шайба</t>
  </si>
  <si>
    <t>574063</t>
  </si>
  <si>
    <t>574064</t>
  </si>
  <si>
    <t>ПБИН.758200.023 Винт</t>
  </si>
  <si>
    <t>574202</t>
  </si>
  <si>
    <t>ЛТИЯ.711341.005-03 Втулка</t>
  </si>
  <si>
    <t>432</t>
  </si>
  <si>
    <t>574203</t>
  </si>
  <si>
    <t>574204</t>
  </si>
  <si>
    <t>ЛТИЯ.711341.005-01 Втулка</t>
  </si>
  <si>
    <t>574206</t>
  </si>
  <si>
    <t>ЛТИЯ.711341.005-02 Втулка</t>
  </si>
  <si>
    <t>574207</t>
  </si>
  <si>
    <t>СКИД.757468.002-18.05 Лепесток 2-1,0-3,0-11-Л63-07 ГОСТ 16840-78</t>
  </si>
  <si>
    <t>13 000</t>
  </si>
  <si>
    <t>574208</t>
  </si>
  <si>
    <t>574209</t>
  </si>
  <si>
    <t>574210</t>
  </si>
  <si>
    <t>574211</t>
  </si>
  <si>
    <t>574212</t>
  </si>
  <si>
    <t>574213</t>
  </si>
  <si>
    <t>574214</t>
  </si>
  <si>
    <t>СКИД.713141.003-31.04 Втулка  I-5,3х8-Д16Т-10 ОСТ4.822.000-77</t>
  </si>
  <si>
    <t>574215</t>
  </si>
  <si>
    <t>СКИД.757467.002-19.03 Лепесток 1-2-3,2х20-07 ГОСТ 22375-77</t>
  </si>
  <si>
    <t>744</t>
  </si>
  <si>
    <t>574216</t>
  </si>
  <si>
    <t>ЛТИЯ.741344.009-03 Шина</t>
  </si>
  <si>
    <t>574217</t>
  </si>
  <si>
    <t>ЛТИЯ.741348.001 Шина</t>
  </si>
  <si>
    <t>574219</t>
  </si>
  <si>
    <t>СКИД.757463.001-08.05 Наконечник П 1-5-ЛТ-07 ГОСТ 22002.7-76</t>
  </si>
  <si>
    <t>574220</t>
  </si>
  <si>
    <t>574224</t>
  </si>
  <si>
    <t>ЛТИЯ.715111.025 Штырь</t>
  </si>
  <si>
    <t>576233</t>
  </si>
  <si>
    <t>ЛТИЯ.754342.186-01 Изделие-заготовка для ЛТИЯ.754342.054(01-02)</t>
  </si>
  <si>
    <t>576234</t>
  </si>
  <si>
    <t>ЛТИЯ.754312.122-03 Изделие-заготовка для ЛТИЯ.754312.015(16-17)</t>
  </si>
  <si>
    <t>576235</t>
  </si>
  <si>
    <t>ЛТИЯ.754312.122-01 Изделие-заготовка для ЛТИЯ.754312.015(05-07)</t>
  </si>
  <si>
    <t>576236</t>
  </si>
  <si>
    <t>ЛТИЯ.754312.124-01 Изделие-заготовка для ЛТИЯ.754312.016(01-03)</t>
  </si>
  <si>
    <t>576237</t>
  </si>
  <si>
    <t>ЛТИЯ.754312.122-02 Изделие-заготовка для ЛТИЯ.754312.015(08-15)</t>
  </si>
  <si>
    <t>576238</t>
  </si>
  <si>
    <t>ЛТИЯ.754312.131 Изделие-заготовка для ЛТИЯ.754342.049</t>
  </si>
  <si>
    <t>576241</t>
  </si>
  <si>
    <t>ЛТИЯ.754312.132 Изделие-заготовка для ЛТИЯ.754342.132</t>
  </si>
  <si>
    <t>576242</t>
  </si>
  <si>
    <t>ЛТИЯ.754312.130 Изделие-заготовка для ЛТИЯ.754312.040</t>
  </si>
  <si>
    <t>576243</t>
  </si>
  <si>
    <t>ЛТИЯ.754342.185 Изделие-заготовка для ЛТИЯ.754342.055(00-08)</t>
  </si>
  <si>
    <t>576244</t>
  </si>
  <si>
    <t>ЛТИЯ.711142.003 Пластина</t>
  </si>
  <si>
    <t>252</t>
  </si>
  <si>
    <t>576245</t>
  </si>
  <si>
    <t>ЛТИЯ.745322.057 Швеллер</t>
  </si>
  <si>
    <t>576270</t>
  </si>
  <si>
    <t>576428</t>
  </si>
  <si>
    <t>ЛТИЯ.741348.001-08 Шина</t>
  </si>
  <si>
    <t>576429</t>
  </si>
  <si>
    <t>ЛТИЯ.715141.033 ВТУЛКА</t>
  </si>
  <si>
    <t>560</t>
  </si>
  <si>
    <t>576483</t>
  </si>
  <si>
    <t>ЛТИЯ.745428.001-01 Шина</t>
  </si>
  <si>
    <t>576484</t>
  </si>
  <si>
    <t>17.03.2022</t>
  </si>
  <si>
    <t>05.03.2022</t>
  </si>
  <si>
    <t>16.03.2022</t>
  </si>
  <si>
    <t>22.03.2022</t>
  </si>
  <si>
    <t>01.03.2022</t>
  </si>
  <si>
    <t>15.03.2022</t>
  </si>
  <si>
    <t>07.03.2022</t>
  </si>
  <si>
    <t>04.03.2022</t>
  </si>
  <si>
    <t>02.03.2022</t>
  </si>
  <si>
    <t>03.03.2022</t>
  </si>
  <si>
    <t>002-Гибка,</t>
  </si>
  <si>
    <t>ГТ0000000Э40700000001</t>
  </si>
  <si>
    <t>14.03.2022</t>
  </si>
  <si>
    <t>18.03.2022</t>
  </si>
  <si>
    <t>002-,</t>
  </si>
  <si>
    <t>21.03.2022</t>
  </si>
  <si>
    <t>23.03.2022</t>
  </si>
  <si>
    <t>002-Комплектование,004-Прессование,006-Слесарная,</t>
  </si>
  <si>
    <t>002-Прессование,004-Фильерирование,006-Слесарная,</t>
  </si>
  <si>
    <t>002-Токарная,004-Фрезерная,006-Слесарная,008-Промывка,</t>
  </si>
  <si>
    <t>002-Сушка,004-Прессование,006-Слесарная,</t>
  </si>
  <si>
    <t>002-Токарная,004-Промывка,</t>
  </si>
  <si>
    <t>002-Токарная,004-Слесарная,</t>
  </si>
  <si>
    <t>12.03.2022</t>
  </si>
  <si>
    <t>ЛТИЯ74142416900000000</t>
  </si>
  <si>
    <t>ЛТИЯ.754312.122 Изделие-заготовка для ЛТИЯ.754312.015(00-04)</t>
  </si>
  <si>
    <t>ЛТИЯ.754312.122-04 Изделие-заготовка для ЛТИЯ.754312.015-18)</t>
  </si>
  <si>
    <t xml:space="preserve">СКИД.757467.002-19.03 Лепесток 1-2-3,2х20-07 ГОСТ 22375-77 </t>
  </si>
  <si>
    <t>00ЕР89273710000000000</t>
  </si>
  <si>
    <t>ЮПИЯ.713361.002-33 Втулка ОСТ 4Г 0.822.009</t>
  </si>
  <si>
    <t>ПБИН.715400.024-02 Втулка</t>
  </si>
  <si>
    <t>ЛТИЯ71134100500000003</t>
  </si>
  <si>
    <t>20.03.2022</t>
  </si>
  <si>
    <t>19.03.2022</t>
  </si>
  <si>
    <t>СКИД.757463.001-16.05 Наконечник П 6-4-ЛТ-07 ГОСТ 22002.7-76</t>
  </si>
  <si>
    <t>002-Гальваническое покрытие О-Ви(99,8)6,</t>
  </si>
  <si>
    <t>Р170П</t>
  </si>
  <si>
    <t>Кузов</t>
  </si>
  <si>
    <t>Р673</t>
  </si>
  <si>
    <t>ЩК</t>
  </si>
  <si>
    <t>Информация скрыта</t>
  </si>
  <si>
    <t>информация скрыта</t>
  </si>
  <si>
    <t>информация скрыта ___________</t>
  </si>
  <si>
    <t>информация скрыта _______</t>
  </si>
  <si>
    <t>информация скрыта __________</t>
  </si>
  <si>
    <t>информация скрыта  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</si>
</sst>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&quot;.&quot;mm&quot;.&quot;yy"/>
    <numFmt numFmtId="165" formatCode="mm&quot;.&quot;yy"/>
    <numFmt numFmtId="166" formatCode="mm&quot;.&quot;yyyy"/>
    <numFmt numFmtId="167" formatCode="0_ ;[Red]\-0\ "/>
    <numFmt numFmtId="168" formatCode="#,##0_ ;[Red]\-#,##0\ "/>
    <numFmt numFmtId="169" formatCode="0.00_);0.00\-"/>
    <numFmt numFmtId="170" formatCode="#,##0.0"/>
  </numFmts>
  <fonts count="90">
    <font>
      <sz val="10"/>
      <color indexed="8"/>
      <name val="MS Sans Serif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0"/>
      <name val="MS Sans Serif"/>
      <family val="2"/>
      <charset val="204"/>
    </font>
    <font>
      <b/>
      <sz val="10"/>
      <name val="MS Sans Serif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MS Sans Serif"/>
      <family val="2"/>
      <charset val="204"/>
    </font>
    <font>
      <b/>
      <sz val="10"/>
      <color theme="1"/>
      <name val="MS Sans Serif"/>
      <family val="2"/>
      <charset val="204"/>
    </font>
    <font>
      <sz val="25"/>
      <color indexed="8"/>
      <name val="Arial Narrow"/>
      <family val="2"/>
      <charset val="204"/>
    </font>
    <font>
      <b/>
      <sz val="25"/>
      <color indexed="8"/>
      <name val="Arial Narrow"/>
      <family val="2"/>
      <charset val="204"/>
    </font>
    <font>
      <sz val="25"/>
      <color theme="1"/>
      <name val="Arial Narrow"/>
      <family val="2"/>
      <charset val="204"/>
    </font>
    <font>
      <b/>
      <sz val="25"/>
      <name val="Arial Narrow"/>
      <family val="2"/>
      <charset val="204"/>
    </font>
    <font>
      <sz val="25"/>
      <name val="Arial Narrow"/>
      <family val="2"/>
      <charset val="204"/>
    </font>
    <font>
      <i/>
      <sz val="25"/>
      <color indexed="8"/>
      <name val="Arial Narrow"/>
      <family val="2"/>
      <charset val="204"/>
    </font>
    <font>
      <b/>
      <sz val="60"/>
      <color indexed="8"/>
      <name val="Arial Narrow"/>
      <family val="2"/>
      <charset val="204"/>
    </font>
    <font>
      <sz val="30"/>
      <color indexed="8"/>
      <name val="Arial Narrow"/>
      <family val="2"/>
      <charset val="204"/>
    </font>
    <font>
      <b/>
      <sz val="30"/>
      <color indexed="8"/>
      <name val="Arial Narrow"/>
      <family val="2"/>
      <charset val="204"/>
    </font>
    <font>
      <sz val="30"/>
      <color theme="1"/>
      <name val="Arial Narrow"/>
      <family val="2"/>
      <charset val="204"/>
    </font>
    <font>
      <sz val="10"/>
      <color indexed="8"/>
      <name val="Arial Narrow"/>
      <family val="2"/>
      <charset val="204"/>
    </font>
    <font>
      <i/>
      <sz val="18"/>
      <name val="Arial Narrow"/>
      <family val="2"/>
      <charset val="204"/>
    </font>
    <font>
      <b/>
      <sz val="25"/>
      <color rgb="FF000000"/>
      <name val="Arial Narrow"/>
      <family val="2"/>
      <charset val="204"/>
    </font>
    <font>
      <b/>
      <sz val="14"/>
      <color indexed="8"/>
      <name val="Calibri"/>
      <family val="2"/>
      <charset val="204"/>
      <scheme val="minor"/>
    </font>
    <font>
      <sz val="14"/>
      <color indexed="8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24"/>
      <color indexed="8"/>
      <name val="Calibri"/>
      <family val="2"/>
      <charset val="204"/>
      <scheme val="minor"/>
    </font>
    <font>
      <sz val="14"/>
      <color indexed="8"/>
      <name val="MS Sans Serif"/>
      <family val="2"/>
      <charset val="204"/>
    </font>
    <font>
      <b/>
      <sz val="28"/>
      <name val="Calibri"/>
      <family val="2"/>
      <charset val="204"/>
      <scheme val="minor"/>
    </font>
    <font>
      <sz val="24"/>
      <color indexed="8"/>
      <name val="MS Sans Serif"/>
      <family val="2"/>
      <charset val="204"/>
    </font>
    <font>
      <b/>
      <sz val="20"/>
      <color indexed="8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name val="Arial Narrow"/>
      <family val="2"/>
      <charset val="204"/>
    </font>
    <font>
      <sz val="14"/>
      <color rgb="FF000000"/>
      <name val="Calibri"/>
      <family val="2"/>
      <charset val="204"/>
      <scheme val="minor"/>
    </font>
    <font>
      <b/>
      <i/>
      <sz val="14"/>
      <color indexed="8"/>
      <name val="Calibri"/>
      <family val="2"/>
      <charset val="204"/>
      <scheme val="minor"/>
    </font>
    <font>
      <b/>
      <i/>
      <sz val="14"/>
      <color indexed="8"/>
      <name val="Arial Narrow"/>
      <family val="2"/>
      <charset val="204"/>
    </font>
    <font>
      <b/>
      <sz val="14"/>
      <color theme="6" tint="-0.499984740745262"/>
      <name val="Calibri"/>
      <family val="2"/>
      <charset val="204"/>
      <scheme val="minor"/>
    </font>
    <font>
      <b/>
      <sz val="14"/>
      <color theme="6" tint="-0.499984740745262"/>
      <name val="Arial Narrow"/>
      <family val="2"/>
      <charset val="204"/>
    </font>
    <font>
      <sz val="10"/>
      <color theme="6" tint="-0.499984740745262"/>
      <name val="MS Sans Serif"/>
      <family val="2"/>
      <charset val="204"/>
    </font>
    <font>
      <b/>
      <sz val="14"/>
      <color theme="1"/>
      <name val="Arial Narrow"/>
      <family val="2"/>
      <charset val="204"/>
    </font>
    <font>
      <b/>
      <sz val="14"/>
      <name val="Arial Narrow"/>
      <family val="2"/>
      <charset val="204"/>
    </font>
    <font>
      <sz val="14"/>
      <color indexed="8"/>
      <name val="Arial Narrow"/>
      <family val="2"/>
      <charset val="204"/>
    </font>
    <font>
      <sz val="14"/>
      <color theme="1"/>
      <name val="Calibri"/>
      <family val="2"/>
      <charset val="204"/>
      <scheme val="minor"/>
    </font>
    <font>
      <i/>
      <sz val="8.0500000000000007"/>
      <color indexed="8"/>
      <name val="Times New Roman Cyr"/>
      <charset val="204"/>
    </font>
    <font>
      <sz val="16"/>
      <name val="Calibri"/>
      <family val="2"/>
      <charset val="204"/>
    </font>
    <font>
      <sz val="11"/>
      <name val="Calibri"/>
      <family val="2"/>
      <charset val="204"/>
    </font>
    <font>
      <b/>
      <sz val="20"/>
      <name val="Calibri"/>
      <family val="2"/>
      <charset val="204"/>
    </font>
    <font>
      <b/>
      <sz val="11"/>
      <name val="Calibe"/>
      <charset val="204"/>
    </font>
    <font>
      <b/>
      <sz val="11"/>
      <color indexed="8"/>
      <name val="Calibe"/>
      <charset val="204"/>
    </font>
    <font>
      <sz val="11"/>
      <color indexed="8"/>
      <name val="Calibe"/>
      <charset val="204"/>
    </font>
    <font>
      <sz val="14"/>
      <color indexed="8"/>
      <name val="Calibe"/>
      <charset val="204"/>
    </font>
    <font>
      <sz val="14"/>
      <name val="Calibri"/>
      <family val="2"/>
      <charset val="204"/>
    </font>
    <font>
      <sz val="8"/>
      <color indexed="8"/>
      <name val="Arial Narrow"/>
      <family val="2"/>
      <charset val="204"/>
    </font>
    <font>
      <sz val="8"/>
      <color theme="1"/>
      <name val="Arial Narrow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  <charset val="204"/>
    </font>
    <font>
      <b/>
      <sz val="26"/>
      <name val="Arial"/>
      <family val="2"/>
      <charset val="204"/>
    </font>
    <font>
      <b/>
      <sz val="16"/>
      <name val="Arial"/>
      <family val="2"/>
      <charset val="204"/>
    </font>
    <font>
      <b/>
      <sz val="22"/>
      <name val="Arial"/>
      <family val="2"/>
      <charset val="204"/>
    </font>
    <font>
      <b/>
      <sz val="20"/>
      <name val="Arial"/>
      <family val="2"/>
      <charset val="204"/>
    </font>
    <font>
      <b/>
      <sz val="22"/>
      <color theme="1"/>
      <name val="Arial"/>
      <family val="2"/>
      <charset val="204"/>
    </font>
    <font>
      <b/>
      <sz val="24"/>
      <name val="Arial"/>
      <family val="2"/>
      <charset val="204"/>
    </font>
    <font>
      <b/>
      <sz val="14"/>
      <name val="Arial"/>
      <family val="2"/>
      <charset val="204"/>
    </font>
    <font>
      <sz val="14"/>
      <name val="Arial"/>
      <family val="2"/>
      <charset val="204"/>
    </font>
    <font>
      <b/>
      <sz val="26"/>
      <color rgb="FF000000"/>
      <name val="Arial"/>
      <family val="2"/>
      <charset val="204"/>
    </font>
    <font>
      <sz val="8.9"/>
      <color indexed="8"/>
      <name val="Arial Narrow"/>
      <family val="2"/>
      <charset val="204"/>
    </font>
    <font>
      <sz val="9.85"/>
      <color indexed="8"/>
      <name val="Arial Narrow"/>
      <family val="2"/>
      <charset val="204"/>
    </font>
    <font>
      <b/>
      <sz val="11.05"/>
      <color indexed="8"/>
      <name val="Arial Narrow"/>
      <family val="2"/>
      <charset val="204"/>
    </font>
    <font>
      <b/>
      <sz val="8.0500000000000007"/>
      <color indexed="8"/>
      <name val="Arial Narrow"/>
      <family val="2"/>
      <charset val="204"/>
    </font>
    <font>
      <b/>
      <sz val="6.85"/>
      <color indexed="8"/>
      <name val="Arial Narrow"/>
      <family val="2"/>
      <charset val="204"/>
    </font>
    <font>
      <sz val="6.85"/>
      <color indexed="8"/>
      <name val="Arial Narrow"/>
      <family val="2"/>
      <charset val="204"/>
    </font>
    <font>
      <i/>
      <sz val="6.85"/>
      <color indexed="8"/>
      <name val="Arial Narrow"/>
      <family val="2"/>
      <charset val="204"/>
    </font>
    <font>
      <sz val="8.0500000000000007"/>
      <color indexed="8"/>
      <name val="Arial Narrow"/>
      <family val="2"/>
      <charset val="204"/>
    </font>
    <font>
      <sz val="8.0500000000000007"/>
      <color indexed="9"/>
      <name val="Arial Narrow"/>
      <family val="2"/>
      <charset val="204"/>
    </font>
    <font>
      <b/>
      <sz val="8.9"/>
      <color indexed="8"/>
      <name val="Arial Narrow"/>
      <family val="2"/>
      <charset val="204"/>
    </font>
    <font>
      <i/>
      <sz val="6"/>
      <color indexed="8"/>
      <name val="Arial Narrow"/>
      <family val="2"/>
      <charset val="204"/>
    </font>
    <font>
      <sz val="6"/>
      <color indexed="8"/>
      <name val="Arial Narrow"/>
      <family val="2"/>
      <charset val="204"/>
    </font>
    <font>
      <sz val="6.85"/>
      <color indexed="9"/>
      <name val="Arial Narrow"/>
      <family val="2"/>
      <charset val="204"/>
    </font>
    <font>
      <u/>
      <sz val="6.85"/>
      <color indexed="8"/>
      <name val="Arial Narrow"/>
      <family val="2"/>
      <charset val="204"/>
    </font>
    <font>
      <sz val="3.95"/>
      <color indexed="8"/>
      <name val="Arial Narrow"/>
      <family val="2"/>
      <charset val="204"/>
    </font>
    <font>
      <b/>
      <u/>
      <sz val="8.9"/>
      <color indexed="8"/>
      <name val="Arial Narrow"/>
      <family val="2"/>
      <charset val="204"/>
    </font>
    <font>
      <sz val="10"/>
      <color rgb="FF000000"/>
      <name val="MS Sans Serif"/>
    </font>
    <font>
      <sz val="22"/>
      <name val="Arial"/>
      <family val="2"/>
      <charset val="204"/>
    </font>
    <font>
      <sz val="22"/>
      <color indexed="8"/>
      <name val="MS Sans Serif"/>
      <charset val="204"/>
    </font>
    <font>
      <b/>
      <sz val="14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7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</borders>
  <cellStyleXfs count="11">
    <xf numFmtId="0" fontId="0" fillId="0" borderId="0"/>
    <xf numFmtId="0" fontId="5" fillId="0" borderId="0"/>
    <xf numFmtId="0" fontId="8" fillId="0" borderId="0"/>
    <xf numFmtId="0" fontId="4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2" fillId="0" borderId="0"/>
    <xf numFmtId="0" fontId="1" fillId="0" borderId="0"/>
  </cellStyleXfs>
  <cellXfs count="419">
    <xf numFmtId="0" fontId="0" fillId="0" borderId="0" xfId="0" applyNumberFormat="1" applyFill="1" applyBorder="1" applyAlignment="1" applyProtection="1"/>
    <xf numFmtId="0" fontId="5" fillId="0" borderId="0" xfId="0" applyNumberFormat="1" applyFont="1" applyFill="1" applyBorder="1" applyAlignment="1" applyProtection="1"/>
    <xf numFmtId="0" fontId="11" fillId="2" borderId="0" xfId="0" applyNumberFormat="1" applyFont="1" applyFill="1" applyBorder="1" applyAlignment="1" applyProtection="1">
      <alignment horizontal="center" vertical="center"/>
    </xf>
    <xf numFmtId="0" fontId="12" fillId="2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vertical="center"/>
    </xf>
    <xf numFmtId="0" fontId="13" fillId="2" borderId="0" xfId="0" applyFont="1" applyFill="1" applyBorder="1" applyAlignment="1">
      <alignment vertical="center" wrapText="1"/>
    </xf>
    <xf numFmtId="0" fontId="11" fillId="2" borderId="0" xfId="0" applyNumberFormat="1" applyFont="1" applyFill="1" applyBorder="1" applyAlignment="1" applyProtection="1">
      <alignment vertical="center"/>
    </xf>
    <xf numFmtId="0" fontId="12" fillId="2" borderId="0" xfId="0" applyNumberFormat="1" applyFont="1" applyFill="1" applyBorder="1" applyAlignment="1" applyProtection="1">
      <alignment vertical="center"/>
    </xf>
    <xf numFmtId="1" fontId="11" fillId="2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1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vertical="center" wrapText="1"/>
    </xf>
    <xf numFmtId="0" fontId="16" fillId="2" borderId="0" xfId="0" applyNumberFormat="1" applyFont="1" applyFill="1" applyBorder="1" applyAlignment="1" applyProtection="1">
      <alignment vertical="center"/>
    </xf>
    <xf numFmtId="0" fontId="16" fillId="2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18" fillId="2" borderId="0" xfId="0" applyNumberFormat="1" applyFont="1" applyFill="1" applyBorder="1" applyAlignment="1" applyProtection="1">
      <alignment horizontal="center" vertical="center"/>
    </xf>
    <xf numFmtId="0" fontId="19" fillId="2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vertical="center"/>
    </xf>
    <xf numFmtId="0" fontId="20" fillId="2" borderId="0" xfId="0" applyFont="1" applyFill="1" applyBorder="1" applyAlignment="1">
      <alignment vertical="center" wrapText="1"/>
    </xf>
    <xf numFmtId="1" fontId="20" fillId="2" borderId="0" xfId="0" applyNumberFormat="1" applyFont="1" applyFill="1" applyBorder="1" applyAlignment="1">
      <alignment horizontal="center" vertical="center"/>
    </xf>
    <xf numFmtId="0" fontId="18" fillId="2" borderId="0" xfId="0" applyNumberFormat="1" applyFont="1" applyFill="1" applyBorder="1" applyAlignment="1" applyProtection="1">
      <alignment vertical="center"/>
    </xf>
    <xf numFmtId="0" fontId="19" fillId="2" borderId="0" xfId="0" applyNumberFormat="1" applyFont="1" applyFill="1" applyBorder="1" applyAlignment="1" applyProtection="1">
      <alignment vertical="center"/>
    </xf>
    <xf numFmtId="0" fontId="18" fillId="2" borderId="0" xfId="0" applyNumberFormat="1" applyFont="1" applyFill="1" applyBorder="1" applyAlignment="1" applyProtection="1">
      <alignment horizontal="center" vertical="center" wrapText="1"/>
    </xf>
    <xf numFmtId="1" fontId="18" fillId="2" borderId="0" xfId="0" applyNumberFormat="1" applyFont="1" applyFill="1" applyBorder="1" applyAlignment="1" applyProtection="1">
      <alignment horizontal="center" vertical="center"/>
    </xf>
    <xf numFmtId="1" fontId="18" fillId="0" borderId="0" xfId="0" applyNumberFormat="1" applyFont="1" applyFill="1" applyBorder="1" applyAlignment="1" applyProtection="1">
      <alignment horizontal="center" vertical="center"/>
    </xf>
    <xf numFmtId="1" fontId="12" fillId="2" borderId="0" xfId="0" applyNumberFormat="1" applyFont="1" applyFill="1" applyBorder="1" applyAlignment="1" applyProtection="1">
      <alignment horizontal="center" vertical="center"/>
    </xf>
    <xf numFmtId="0" fontId="20" fillId="0" borderId="12" xfId="0" applyFont="1" applyBorder="1" applyAlignment="1">
      <alignment horizontal="center" vertical="center" wrapText="1"/>
    </xf>
    <xf numFmtId="0" fontId="20" fillId="0" borderId="12" xfId="0" applyFont="1" applyBorder="1" applyAlignment="1">
      <alignment vertical="center" wrapText="1"/>
    </xf>
    <xf numFmtId="0" fontId="18" fillId="2" borderId="12" xfId="0" applyNumberFormat="1" applyFont="1" applyFill="1" applyBorder="1" applyAlignment="1" applyProtection="1">
      <alignment horizontal="center" vertical="center"/>
    </xf>
    <xf numFmtId="0" fontId="20" fillId="2" borderId="12" xfId="0" applyFont="1" applyFill="1" applyBorder="1" applyAlignment="1">
      <alignment vertical="center" wrapText="1"/>
    </xf>
    <xf numFmtId="0" fontId="20" fillId="2" borderId="12" xfId="0" applyFont="1" applyFill="1" applyBorder="1" applyAlignment="1">
      <alignment horizontal="center" vertical="center"/>
    </xf>
    <xf numFmtId="0" fontId="19" fillId="2" borderId="12" xfId="0" applyNumberFormat="1" applyFont="1" applyFill="1" applyBorder="1" applyAlignment="1" applyProtection="1">
      <alignment vertical="center" wrapText="1"/>
    </xf>
    <xf numFmtId="0" fontId="19" fillId="2" borderId="12" xfId="0" applyNumberFormat="1" applyFont="1" applyFill="1" applyBorder="1" applyAlignment="1" applyProtection="1">
      <alignment vertical="center"/>
    </xf>
    <xf numFmtId="0" fontId="18" fillId="2" borderId="12" xfId="0" applyNumberFormat="1" applyFont="1" applyFill="1" applyBorder="1" applyAlignment="1" applyProtection="1">
      <alignment horizontal="center" vertical="center" wrapText="1"/>
    </xf>
    <xf numFmtId="0" fontId="18" fillId="0" borderId="12" xfId="0" applyNumberFormat="1" applyFont="1" applyFill="1" applyBorder="1" applyAlignment="1" applyProtection="1">
      <alignment horizontal="center" vertical="center"/>
    </xf>
    <xf numFmtId="1" fontId="18" fillId="0" borderId="12" xfId="0" applyNumberFormat="1" applyFont="1" applyFill="1" applyBorder="1" applyAlignment="1" applyProtection="1">
      <alignment horizontal="center" vertical="center"/>
    </xf>
    <xf numFmtId="0" fontId="11" fillId="0" borderId="12" xfId="0" applyNumberFormat="1" applyFont="1" applyFill="1" applyBorder="1" applyAlignment="1" applyProtection="1">
      <alignment vertical="center" wrapText="1"/>
    </xf>
    <xf numFmtId="0" fontId="20" fillId="2" borderId="12" xfId="0" applyFont="1" applyFill="1" applyBorder="1" applyAlignment="1">
      <alignment horizontal="left" vertical="center"/>
    </xf>
    <xf numFmtId="0" fontId="12" fillId="2" borderId="0" xfId="0" applyNumberFormat="1" applyFont="1" applyFill="1" applyBorder="1" applyAlignment="1" applyProtection="1">
      <alignment horizontal="left" vertical="center"/>
    </xf>
    <xf numFmtId="0" fontId="20" fillId="2" borderId="12" xfId="0" applyFont="1" applyFill="1" applyBorder="1" applyAlignment="1">
      <alignment horizontal="right" vertical="center"/>
    </xf>
    <xf numFmtId="0" fontId="20" fillId="2" borderId="14" xfId="0" applyFont="1" applyFill="1" applyBorder="1" applyAlignment="1">
      <alignment horizontal="right" vertical="center"/>
    </xf>
    <xf numFmtId="0" fontId="20" fillId="2" borderId="0" xfId="0" applyFont="1" applyFill="1" applyBorder="1" applyAlignment="1">
      <alignment vertical="center"/>
    </xf>
    <xf numFmtId="0" fontId="9" fillId="0" borderId="0" xfId="0" applyFont="1" applyProtection="1">
      <protection locked="0"/>
    </xf>
    <xf numFmtId="0" fontId="5" fillId="0" borderId="0" xfId="0" applyNumberFormat="1" applyFont="1" applyFill="1" applyBorder="1" applyAlignment="1" applyProtection="1">
      <protection locked="0"/>
    </xf>
    <xf numFmtId="3" fontId="9" fillId="2" borderId="1" xfId="0" applyNumberFormat="1" applyFont="1" applyFill="1" applyBorder="1" applyProtection="1">
      <protection locked="0"/>
    </xf>
    <xf numFmtId="0" fontId="5" fillId="7" borderId="1" xfId="0" applyNumberFormat="1" applyFont="1" applyFill="1" applyBorder="1" applyAlignment="1" applyProtection="1">
      <alignment horizontal="right"/>
      <protection locked="0"/>
    </xf>
    <xf numFmtId="0" fontId="21" fillId="0" borderId="0" xfId="0" applyNumberFormat="1" applyFont="1" applyFill="1" applyBorder="1" applyAlignment="1" applyProtection="1">
      <protection locked="0"/>
    </xf>
    <xf numFmtId="0" fontId="7" fillId="2" borderId="1" xfId="0" applyFont="1" applyFill="1" applyBorder="1" applyProtection="1"/>
    <xf numFmtId="0" fontId="9" fillId="3" borderId="1" xfId="0" applyFont="1" applyFill="1" applyBorder="1" applyProtection="1"/>
    <xf numFmtId="3" fontId="9" fillId="3" borderId="1" xfId="0" applyNumberFormat="1" applyFont="1" applyFill="1" applyBorder="1" applyProtection="1"/>
    <xf numFmtId="3" fontId="9" fillId="4" borderId="1" xfId="0" applyNumberFormat="1" applyFont="1" applyFill="1" applyBorder="1" applyProtection="1"/>
    <xf numFmtId="0" fontId="9" fillId="2" borderId="1" xfId="0" applyFont="1" applyFill="1" applyBorder="1" applyProtection="1"/>
    <xf numFmtId="0" fontId="10" fillId="2" borderId="1" xfId="0" applyFont="1" applyFill="1" applyBorder="1" applyProtection="1"/>
    <xf numFmtId="3" fontId="9" fillId="2" borderId="1" xfId="0" applyNumberFormat="1" applyFont="1" applyFill="1" applyBorder="1" applyProtection="1"/>
    <xf numFmtId="0" fontId="5" fillId="0" borderId="1" xfId="0" applyFont="1" applyFill="1" applyBorder="1" applyProtection="1"/>
    <xf numFmtId="3" fontId="5" fillId="0" borderId="1" xfId="0" applyNumberFormat="1" applyFont="1" applyFill="1" applyBorder="1" applyProtection="1"/>
    <xf numFmtId="1" fontId="5" fillId="4" borderId="1" xfId="0" applyNumberFormat="1" applyFont="1" applyFill="1" applyBorder="1" applyProtection="1"/>
    <xf numFmtId="1" fontId="5" fillId="0" borderId="1" xfId="0" applyNumberFormat="1" applyFont="1" applyFill="1" applyBorder="1" applyProtection="1"/>
    <xf numFmtId="3" fontId="5" fillId="4" borderId="1" xfId="0" applyNumberFormat="1" applyFont="1" applyFill="1" applyBorder="1" applyProtection="1"/>
    <xf numFmtId="1" fontId="20" fillId="2" borderId="0" xfId="0" applyNumberFormat="1" applyFont="1" applyFill="1" applyBorder="1" applyAlignment="1">
      <alignment horizontal="center" vertical="center" wrapText="1"/>
    </xf>
    <xf numFmtId="1" fontId="13" fillId="2" borderId="0" xfId="0" applyNumberFormat="1" applyFont="1" applyFill="1" applyBorder="1" applyAlignment="1">
      <alignment horizontal="center" vertical="center" wrapText="1"/>
    </xf>
    <xf numFmtId="1" fontId="16" fillId="2" borderId="0" xfId="0" applyNumberFormat="1" applyFont="1" applyFill="1" applyBorder="1" applyAlignment="1" applyProtection="1">
      <alignment horizontal="center" vertical="center"/>
    </xf>
    <xf numFmtId="1" fontId="20" fillId="0" borderId="12" xfId="0" applyNumberFormat="1" applyFont="1" applyFill="1" applyBorder="1" applyAlignment="1">
      <alignment horizontal="center" vertical="center"/>
    </xf>
    <xf numFmtId="1" fontId="20" fillId="0" borderId="0" xfId="0" applyNumberFormat="1" applyFont="1" applyFill="1" applyBorder="1" applyAlignment="1">
      <alignment horizontal="center" vertical="center"/>
    </xf>
    <xf numFmtId="0" fontId="18" fillId="2" borderId="0" xfId="0" applyNumberFormat="1" applyFont="1" applyFill="1" applyBorder="1" applyAlignment="1" applyProtection="1">
      <alignment horizontal="left" vertical="center"/>
    </xf>
    <xf numFmtId="1" fontId="22" fillId="0" borderId="1" xfId="0" applyNumberFormat="1" applyFont="1" applyFill="1" applyBorder="1" applyAlignment="1" applyProtection="1">
      <alignment horizontal="center" vertical="center"/>
    </xf>
    <xf numFmtId="0" fontId="14" fillId="0" borderId="19" xfId="0" applyNumberFormat="1" applyFont="1" applyFill="1" applyBorder="1" applyAlignment="1" applyProtection="1">
      <alignment horizontal="center" vertical="center"/>
    </xf>
    <xf numFmtId="1" fontId="12" fillId="0" borderId="18" xfId="0" applyNumberFormat="1" applyFont="1" applyFill="1" applyBorder="1" applyAlignment="1" applyProtection="1">
      <alignment horizontal="center" vertical="center"/>
    </xf>
    <xf numFmtId="1" fontId="12" fillId="0" borderId="18" xfId="1" applyNumberFormat="1" applyFont="1" applyFill="1" applyBorder="1" applyAlignment="1" applyProtection="1">
      <alignment horizontal="center" vertical="center"/>
    </xf>
    <xf numFmtId="1" fontId="12" fillId="2" borderId="18" xfId="1" applyNumberFormat="1" applyFont="1" applyFill="1" applyBorder="1" applyAlignment="1" applyProtection="1">
      <alignment horizontal="center" vertical="center"/>
    </xf>
    <xf numFmtId="3" fontId="9" fillId="8" borderId="1" xfId="0" applyNumberFormat="1" applyFont="1" applyFill="1" applyBorder="1" applyProtection="1">
      <protection locked="0"/>
    </xf>
    <xf numFmtId="0" fontId="15" fillId="0" borderId="19" xfId="0" applyNumberFormat="1" applyFont="1" applyFill="1" applyBorder="1" applyAlignment="1" applyProtection="1">
      <alignment vertical="center" wrapText="1"/>
    </xf>
    <xf numFmtId="1" fontId="20" fillId="0" borderId="12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1" fontId="19" fillId="0" borderId="12" xfId="0" applyNumberFormat="1" applyFont="1" applyFill="1" applyBorder="1" applyAlignment="1" applyProtection="1">
      <alignment horizontal="center" vertical="center"/>
    </xf>
    <xf numFmtId="1" fontId="19" fillId="0" borderId="0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>
      <alignment vertical="center" wrapText="1"/>
    </xf>
    <xf numFmtId="0" fontId="17" fillId="0" borderId="0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3" fontId="15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5" fillId="2" borderId="18" xfId="0" applyNumberFormat="1" applyFont="1" applyFill="1" applyBorder="1" applyAlignment="1" applyProtection="1">
      <alignment vertical="center" wrapText="1"/>
    </xf>
    <xf numFmtId="14" fontId="15" fillId="2" borderId="18" xfId="0" applyNumberFormat="1" applyFont="1" applyFill="1" applyBorder="1" applyAlignment="1" applyProtection="1">
      <alignment horizontal="center" vertical="center"/>
    </xf>
    <xf numFmtId="3" fontId="14" fillId="0" borderId="18" xfId="0" applyNumberFormat="1" applyFont="1" applyFill="1" applyBorder="1" applyAlignment="1" applyProtection="1">
      <alignment horizontal="center" vertical="center"/>
    </xf>
    <xf numFmtId="1" fontId="15" fillId="0" borderId="19" xfId="0" applyNumberFormat="1" applyFont="1" applyFill="1" applyBorder="1" applyAlignment="1" applyProtection="1">
      <alignment horizontal="center" vertical="center" wrapText="1"/>
    </xf>
    <xf numFmtId="14" fontId="15" fillId="0" borderId="19" xfId="0" applyNumberFormat="1" applyFont="1" applyFill="1" applyBorder="1" applyAlignment="1" applyProtection="1">
      <alignment horizontal="center" vertical="center" wrapText="1"/>
    </xf>
    <xf numFmtId="0" fontId="23" fillId="0" borderId="1" xfId="0" applyNumberFormat="1" applyFont="1" applyFill="1" applyBorder="1" applyAlignment="1" applyProtection="1">
      <alignment horizontal="center"/>
    </xf>
    <xf numFmtId="0" fontId="20" fillId="2" borderId="0" xfId="0" applyFont="1" applyFill="1" applyBorder="1" applyAlignment="1">
      <alignment horizontal="right" vertical="center"/>
    </xf>
    <xf numFmtId="1" fontId="14" fillId="0" borderId="19" xfId="0" applyNumberFormat="1" applyFont="1" applyFill="1" applyBorder="1" applyAlignment="1" applyProtection="1">
      <alignment horizontal="center" vertical="center" wrapText="1"/>
    </xf>
    <xf numFmtId="1" fontId="25" fillId="0" borderId="1" xfId="0" applyNumberFormat="1" applyFont="1" applyBorder="1" applyAlignment="1">
      <alignment vertical="center"/>
    </xf>
    <xf numFmtId="0" fontId="25" fillId="0" borderId="1" xfId="0" applyFont="1" applyBorder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/>
    <xf numFmtId="1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/>
    <xf numFmtId="0" fontId="28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0" fillId="0" borderId="0" xfId="0" applyFont="1"/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1" fontId="28" fillId="0" borderId="6" xfId="0" applyNumberFormat="1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/>
    </xf>
    <xf numFmtId="3" fontId="37" fillId="0" borderId="19" xfId="0" applyNumberFormat="1" applyFont="1" applyBorder="1" applyAlignment="1">
      <alignment vertical="center"/>
    </xf>
    <xf numFmtId="1" fontId="39" fillId="0" borderId="1" xfId="0" applyNumberFormat="1" applyFont="1" applyBorder="1" applyAlignment="1">
      <alignment vertical="center" wrapText="1"/>
    </xf>
    <xf numFmtId="0" fontId="40" fillId="0" borderId="0" xfId="0" applyFont="1" applyAlignment="1">
      <alignment vertical="center"/>
    </xf>
    <xf numFmtId="167" fontId="0" fillId="0" borderId="0" xfId="0" applyNumberFormat="1"/>
    <xf numFmtId="167" fontId="24" fillId="0" borderId="0" xfId="0" applyNumberFormat="1" applyFont="1" applyAlignment="1">
      <alignment horizontal="center" vertical="center"/>
    </xf>
    <xf numFmtId="167" fontId="34" fillId="0" borderId="0" xfId="0" applyNumberFormat="1" applyFont="1" applyAlignment="1">
      <alignment vertical="center"/>
    </xf>
    <xf numFmtId="167" fontId="43" fillId="0" borderId="0" xfId="0" applyNumberFormat="1" applyFont="1" applyAlignment="1">
      <alignment vertical="center"/>
    </xf>
    <xf numFmtId="167" fontId="43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" fontId="28" fillId="0" borderId="15" xfId="0" applyNumberFormat="1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3" fillId="0" borderId="0" xfId="0" applyFont="1"/>
    <xf numFmtId="0" fontId="43" fillId="0" borderId="1" xfId="0" applyFont="1" applyBorder="1" applyAlignment="1">
      <alignment vertical="center"/>
    </xf>
    <xf numFmtId="3" fontId="42" fillId="0" borderId="1" xfId="0" applyNumberFormat="1" applyFont="1" applyBorder="1" applyAlignment="1">
      <alignment horizontal="right" vertical="center"/>
    </xf>
    <xf numFmtId="0" fontId="43" fillId="0" borderId="0" xfId="0" applyFont="1" applyAlignment="1">
      <alignment vertical="center"/>
    </xf>
    <xf numFmtId="0" fontId="33" fillId="0" borderId="1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38" fillId="0" borderId="3" xfId="0" applyFont="1" applyBorder="1" applyAlignment="1">
      <alignment vertical="center"/>
    </xf>
    <xf numFmtId="167" fontId="24" fillId="0" borderId="1" xfId="0" applyNumberFormat="1" applyFont="1" applyBorder="1" applyAlignment="1">
      <alignment vertical="center"/>
    </xf>
    <xf numFmtId="0" fontId="45" fillId="0" borderId="0" xfId="0" applyFont="1" applyAlignment="1">
      <alignment horizontal="left" vertical="center"/>
    </xf>
    <xf numFmtId="0" fontId="20" fillId="2" borderId="0" xfId="0" applyFont="1" applyFill="1" applyBorder="1" applyAlignment="1">
      <alignment horizontal="left" vertical="center"/>
    </xf>
    <xf numFmtId="0" fontId="17" fillId="2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168" fontId="41" fillId="0" borderId="32" xfId="0" applyNumberFormat="1" applyFont="1" applyBorder="1" applyAlignment="1">
      <alignment vertical="center"/>
    </xf>
    <xf numFmtId="168" fontId="41" fillId="0" borderId="1" xfId="0" applyNumberFormat="1" applyFont="1" applyBorder="1" applyAlignment="1">
      <alignment horizontal="right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vertical="center" wrapText="1"/>
    </xf>
    <xf numFmtId="0" fontId="47" fillId="0" borderId="0" xfId="0" applyFont="1"/>
    <xf numFmtId="0" fontId="48" fillId="0" borderId="26" xfId="0" applyFont="1" applyBorder="1" applyAlignment="1">
      <alignment vertical="center"/>
    </xf>
    <xf numFmtId="0" fontId="48" fillId="0" borderId="26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2" fontId="49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vertical="center" wrapText="1"/>
    </xf>
    <xf numFmtId="0" fontId="51" fillId="0" borderId="1" xfId="0" applyFont="1" applyBorder="1" applyAlignment="1">
      <alignment horizontal="center" vertical="center"/>
    </xf>
    <xf numFmtId="169" fontId="51" fillId="0" borderId="1" xfId="0" applyNumberFormat="1" applyFont="1" applyBorder="1" applyAlignment="1">
      <alignment vertical="center"/>
    </xf>
    <xf numFmtId="0" fontId="52" fillId="0" borderId="0" xfId="0" applyFont="1"/>
    <xf numFmtId="169" fontId="50" fillId="0" borderId="1" xfId="0" applyNumberFormat="1" applyFont="1" applyBorder="1" applyAlignment="1">
      <alignment wrapText="1"/>
    </xf>
    <xf numFmtId="0" fontId="47" fillId="0" borderId="0" xfId="0" applyFont="1" applyAlignment="1">
      <alignment horizontal="center" vertical="center"/>
    </xf>
    <xf numFmtId="0" fontId="49" fillId="0" borderId="17" xfId="0" applyFont="1" applyBorder="1" applyAlignment="1">
      <alignment horizontal="center" vertical="center" wrapText="1"/>
    </xf>
    <xf numFmtId="2" fontId="49" fillId="0" borderId="17" xfId="0" applyNumberFormat="1" applyFont="1" applyBorder="1" applyAlignment="1">
      <alignment horizontal="center" vertical="center" wrapText="1"/>
    </xf>
    <xf numFmtId="0" fontId="49" fillId="0" borderId="17" xfId="0" applyFont="1" applyBorder="1" applyAlignment="1">
      <alignment horizontal="center" vertical="center"/>
    </xf>
    <xf numFmtId="0" fontId="50" fillId="0" borderId="1" xfId="0" applyFont="1" applyBorder="1" applyAlignment="1">
      <alignment wrapText="1"/>
    </xf>
    <xf numFmtId="0" fontId="53" fillId="0" borderId="36" xfId="0" applyFont="1" applyBorder="1"/>
    <xf numFmtId="0" fontId="43" fillId="0" borderId="37" xfId="0" applyFont="1" applyBorder="1" applyAlignment="1">
      <alignment horizontal="right" vertical="center"/>
    </xf>
    <xf numFmtId="0" fontId="43" fillId="0" borderId="37" xfId="0" applyFont="1" applyBorder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53" fillId="0" borderId="0" xfId="0" applyFont="1"/>
    <xf numFmtId="0" fontId="43" fillId="0" borderId="0" xfId="0" applyFont="1" applyAlignment="1">
      <alignment horizontal="right" vertical="center"/>
    </xf>
    <xf numFmtId="0" fontId="53" fillId="0" borderId="36" xfId="0" applyFont="1" applyBorder="1" applyAlignment="1">
      <alignment horizontal="center" vertical="center"/>
    </xf>
    <xf numFmtId="0" fontId="43" fillId="9" borderId="38" xfId="0" applyFont="1" applyFill="1" applyBorder="1" applyAlignment="1">
      <alignment horizontal="right" vertical="center"/>
    </xf>
    <xf numFmtId="0" fontId="43" fillId="9" borderId="38" xfId="0" applyFont="1" applyFill="1" applyBorder="1" applyAlignment="1">
      <alignment horizontal="left" vertical="center"/>
    </xf>
    <xf numFmtId="0" fontId="43" fillId="9" borderId="0" xfId="0" applyFont="1" applyFill="1" applyAlignment="1">
      <alignment horizontal="left" vertical="center"/>
    </xf>
    <xf numFmtId="0" fontId="43" fillId="0" borderId="38" xfId="0" applyFont="1" applyBorder="1" applyAlignment="1">
      <alignment horizontal="right" vertical="center"/>
    </xf>
    <xf numFmtId="0" fontId="43" fillId="0" borderId="38" xfId="0" applyFont="1" applyBorder="1" applyAlignment="1">
      <alignment horizontal="left" vertical="center"/>
    </xf>
    <xf numFmtId="49" fontId="54" fillId="0" borderId="0" xfId="0" applyNumberFormat="1" applyFont="1"/>
    <xf numFmtId="49" fontId="55" fillId="0" borderId="39" xfId="0" applyNumberFormat="1" applyFont="1" applyBorder="1"/>
    <xf numFmtId="49" fontId="54" fillId="0" borderId="39" xfId="0" applyNumberFormat="1" applyFont="1" applyBorder="1"/>
    <xf numFmtId="49" fontId="55" fillId="0" borderId="0" xfId="0" applyNumberFormat="1" applyFont="1"/>
    <xf numFmtId="0" fontId="0" fillId="0" borderId="0" xfId="0" applyAlignment="1">
      <alignment horizontal="left"/>
    </xf>
    <xf numFmtId="0" fontId="57" fillId="0" borderId="17" xfId="0" applyFont="1" applyBorder="1"/>
    <xf numFmtId="0" fontId="57" fillId="0" borderId="35" xfId="0" applyFont="1" applyBorder="1"/>
    <xf numFmtId="0" fontId="57" fillId="0" borderId="35" xfId="0" applyFont="1" applyBorder="1" applyAlignment="1">
      <alignment horizontal="center"/>
    </xf>
    <xf numFmtId="0" fontId="0" fillId="0" borderId="35" xfId="0" applyBorder="1"/>
    <xf numFmtId="0" fontId="57" fillId="0" borderId="19" xfId="0" applyFont="1" applyBorder="1" applyAlignment="1">
      <alignment horizontal="right"/>
    </xf>
    <xf numFmtId="0" fontId="57" fillId="0" borderId="19" xfId="0" applyFont="1" applyBorder="1"/>
    <xf numFmtId="0" fontId="0" fillId="0" borderId="19" xfId="0" applyBorder="1"/>
    <xf numFmtId="0" fontId="58" fillId="2" borderId="3" xfId="0" applyFont="1" applyFill="1" applyBorder="1" applyAlignment="1">
      <alignment vertical="top" wrapText="1"/>
    </xf>
    <xf numFmtId="3" fontId="59" fillId="2" borderId="1" xfId="0" applyNumberFormat="1" applyFont="1" applyFill="1" applyBorder="1" applyAlignment="1">
      <alignment horizontal="right" vertical="top"/>
    </xf>
    <xf numFmtId="3" fontId="0" fillId="0" borderId="0" xfId="0" applyNumberFormat="1"/>
    <xf numFmtId="170" fontId="59" fillId="2" borderId="1" xfId="0" applyNumberFormat="1" applyFont="1" applyFill="1" applyBorder="1" applyAlignment="1">
      <alignment horizontal="right" vertical="top"/>
    </xf>
    <xf numFmtId="1" fontId="59" fillId="2" borderId="1" xfId="0" applyNumberFormat="1" applyFont="1" applyFill="1" applyBorder="1" applyAlignment="1">
      <alignment horizontal="right" vertical="top"/>
    </xf>
    <xf numFmtId="0" fontId="0" fillId="2" borderId="0" xfId="0" applyFill="1"/>
    <xf numFmtId="0" fontId="58" fillId="4" borderId="3" xfId="0" applyFont="1" applyFill="1" applyBorder="1" applyAlignment="1">
      <alignment vertical="top" wrapText="1"/>
    </xf>
    <xf numFmtId="3" fontId="59" fillId="4" borderId="1" xfId="0" applyNumberFormat="1" applyFont="1" applyFill="1" applyBorder="1" applyAlignment="1">
      <alignment horizontal="right" vertical="top"/>
    </xf>
    <xf numFmtId="0" fontId="0" fillId="0" borderId="1" xfId="0" applyBorder="1"/>
    <xf numFmtId="1" fontId="0" fillId="0" borderId="1" xfId="0" applyNumberFormat="1" applyBorder="1"/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5" fillId="0" borderId="0" xfId="0" applyNumberFormat="1" applyFont="1" applyFill="1" applyBorder="1" applyAlignment="1" applyProtection="1">
      <alignment horizontal="right"/>
      <protection locked="0"/>
    </xf>
    <xf numFmtId="0" fontId="5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6" fillId="0" borderId="0" xfId="0" applyFont="1" applyAlignment="1"/>
    <xf numFmtId="0" fontId="57" fillId="0" borderId="40" xfId="0" applyFont="1" applyFill="1" applyBorder="1" applyAlignment="1">
      <alignment horizontal="center"/>
    </xf>
    <xf numFmtId="0" fontId="57" fillId="0" borderId="35" xfId="0" applyFont="1" applyFill="1" applyBorder="1" applyAlignment="1">
      <alignment horizontal="center"/>
    </xf>
    <xf numFmtId="0" fontId="57" fillId="0" borderId="19" xfId="0" applyFont="1" applyFill="1" applyBorder="1" applyAlignment="1">
      <alignment horizontal="center"/>
    </xf>
    <xf numFmtId="14" fontId="0" fillId="0" borderId="0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14" fontId="0" fillId="0" borderId="0" xfId="0" applyNumberFormat="1"/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17" fillId="2" borderId="0" xfId="0" applyNumberFormat="1" applyFont="1" applyFill="1" applyBorder="1" applyAlignment="1" applyProtection="1">
      <alignment horizontal="center" vertical="center"/>
    </xf>
    <xf numFmtId="0" fontId="60" fillId="2" borderId="0" xfId="0" applyFont="1" applyFill="1"/>
    <xf numFmtId="0" fontId="63" fillId="2" borderId="44" xfId="0" applyFont="1" applyFill="1" applyBorder="1" applyAlignment="1">
      <alignment horizontal="center" vertical="center"/>
    </xf>
    <xf numFmtId="0" fontId="63" fillId="2" borderId="22" xfId="0" applyFont="1" applyFill="1" applyBorder="1" applyAlignment="1">
      <alignment horizontal="center" vertical="center"/>
    </xf>
    <xf numFmtId="0" fontId="64" fillId="2" borderId="22" xfId="0" applyFont="1" applyFill="1" applyBorder="1" applyAlignment="1">
      <alignment horizontal="center" vertical="center"/>
    </xf>
    <xf numFmtId="0" fontId="63" fillId="2" borderId="45" xfId="0" applyFont="1" applyFill="1" applyBorder="1" applyAlignment="1">
      <alignment horizontal="center" vertical="center"/>
    </xf>
    <xf numFmtId="0" fontId="63" fillId="2" borderId="46" xfId="0" applyFont="1" applyFill="1" applyBorder="1" applyAlignment="1">
      <alignment horizontal="center" vertical="center"/>
    </xf>
    <xf numFmtId="0" fontId="63" fillId="2" borderId="46" xfId="0" applyFont="1" applyFill="1" applyBorder="1" applyAlignment="1">
      <alignment horizontal="center" vertical="center" wrapText="1"/>
    </xf>
    <xf numFmtId="0" fontId="63" fillId="2" borderId="47" xfId="0" applyFont="1" applyFill="1" applyBorder="1" applyAlignment="1">
      <alignment horizontal="center" vertical="center"/>
    </xf>
    <xf numFmtId="0" fontId="64" fillId="2" borderId="18" xfId="0" applyFont="1" applyFill="1" applyBorder="1" applyAlignment="1">
      <alignment horizontal="center" vertical="center"/>
    </xf>
    <xf numFmtId="0" fontId="64" fillId="2" borderId="0" xfId="0" applyFont="1" applyFill="1" applyAlignment="1">
      <alignment horizontal="center" vertical="center"/>
    </xf>
    <xf numFmtId="0" fontId="63" fillId="2" borderId="49" xfId="0" applyFont="1" applyFill="1" applyBorder="1" applyAlignment="1">
      <alignment horizontal="center" vertical="center"/>
    </xf>
    <xf numFmtId="0" fontId="63" fillId="2" borderId="50" xfId="0" applyFont="1" applyFill="1" applyBorder="1" applyAlignment="1">
      <alignment horizontal="center" vertical="center"/>
    </xf>
    <xf numFmtId="0" fontId="65" fillId="2" borderId="25" xfId="0" applyFont="1" applyFill="1" applyBorder="1" applyAlignment="1">
      <alignment horizontal="center" vertical="center"/>
    </xf>
    <xf numFmtId="0" fontId="65" fillId="2" borderId="51" xfId="0" applyFont="1" applyFill="1" applyBorder="1" applyAlignment="1">
      <alignment horizontal="center" vertical="center"/>
    </xf>
    <xf numFmtId="0" fontId="65" fillId="2" borderId="19" xfId="0" applyFont="1" applyFill="1" applyBorder="1" applyAlignment="1">
      <alignment horizontal="center" vertical="center"/>
    </xf>
    <xf numFmtId="0" fontId="65" fillId="2" borderId="19" xfId="0" applyFont="1" applyFill="1" applyBorder="1" applyAlignment="1">
      <alignment horizontal="center" vertical="center" wrapText="1"/>
    </xf>
    <xf numFmtId="0" fontId="65" fillId="2" borderId="52" xfId="0" applyFont="1" applyFill="1" applyBorder="1" applyAlignment="1">
      <alignment horizontal="center" vertical="center"/>
    </xf>
    <xf numFmtId="0" fontId="65" fillId="2" borderId="49" xfId="0" applyFont="1" applyFill="1" applyBorder="1" applyAlignment="1">
      <alignment horizontal="center" vertical="center"/>
    </xf>
    <xf numFmtId="0" fontId="65" fillId="2" borderId="0" xfId="0" applyFont="1" applyFill="1" applyAlignment="1">
      <alignment horizontal="center" vertical="center"/>
    </xf>
    <xf numFmtId="0" fontId="63" fillId="2" borderId="53" xfId="0" applyFont="1" applyFill="1" applyBorder="1" applyAlignment="1">
      <alignment horizontal="center" vertical="center" wrapText="1"/>
    </xf>
    <xf numFmtId="0" fontId="63" fillId="2" borderId="29" xfId="0" applyFont="1" applyFill="1" applyBorder="1" applyAlignment="1">
      <alignment horizontal="center" vertical="center"/>
    </xf>
    <xf numFmtId="0" fontId="65" fillId="2" borderId="54" xfId="0" applyFont="1" applyFill="1" applyBorder="1" applyAlignment="1">
      <alignment horizontal="center" vertical="center"/>
    </xf>
    <xf numFmtId="0" fontId="65" fillId="2" borderId="55" xfId="0" applyFont="1" applyFill="1" applyBorder="1" applyAlignment="1">
      <alignment horizontal="center" vertical="center"/>
    </xf>
    <xf numFmtId="0" fontId="65" fillId="2" borderId="32" xfId="0" applyFont="1" applyFill="1" applyBorder="1" applyAlignment="1">
      <alignment horizontal="center" vertical="center"/>
    </xf>
    <xf numFmtId="0" fontId="65" fillId="2" borderId="32" xfId="0" applyFont="1" applyFill="1" applyBorder="1" applyAlignment="1">
      <alignment horizontal="center" vertical="center" wrapText="1"/>
    </xf>
    <xf numFmtId="0" fontId="65" fillId="2" borderId="56" xfId="0" applyFont="1" applyFill="1" applyBorder="1" applyAlignment="1">
      <alignment horizontal="center" vertical="center"/>
    </xf>
    <xf numFmtId="0" fontId="60" fillId="2" borderId="54" xfId="0" applyFont="1" applyFill="1" applyBorder="1" applyAlignment="1">
      <alignment horizontal="center" vertical="center"/>
    </xf>
    <xf numFmtId="0" fontId="60" fillId="2" borderId="0" xfId="0" applyFont="1" applyFill="1" applyAlignment="1">
      <alignment horizontal="center" vertical="center"/>
    </xf>
    <xf numFmtId="0" fontId="63" fillId="2" borderId="54" xfId="0" applyFont="1" applyFill="1" applyBorder="1" applyAlignment="1">
      <alignment horizontal="center" vertical="center"/>
    </xf>
    <xf numFmtId="0" fontId="63" fillId="2" borderId="0" xfId="0" applyFont="1" applyFill="1" applyAlignment="1">
      <alignment horizontal="center" vertical="center" wrapText="1"/>
    </xf>
    <xf numFmtId="0" fontId="68" fillId="2" borderId="0" xfId="0" applyFont="1" applyFill="1" applyAlignment="1">
      <alignment horizontal="center" vertical="center"/>
    </xf>
    <xf numFmtId="0" fontId="67" fillId="2" borderId="55" xfId="0" applyFont="1" applyFill="1" applyBorder="1" applyAlignment="1">
      <alignment horizontal="center" vertical="center" wrapText="1"/>
    </xf>
    <xf numFmtId="0" fontId="67" fillId="2" borderId="65" xfId="0" applyFont="1" applyFill="1" applyBorder="1" applyAlignment="1">
      <alignment horizontal="center" vertical="center" wrapText="1"/>
    </xf>
    <xf numFmtId="0" fontId="60" fillId="2" borderId="0" xfId="0" applyFont="1" applyFill="1" applyAlignment="1">
      <alignment horizontal="center"/>
    </xf>
    <xf numFmtId="0" fontId="60" fillId="2" borderId="0" xfId="0" applyFont="1" applyFill="1" applyAlignment="1">
      <alignment horizontal="center" vertical="center" wrapText="1"/>
    </xf>
    <xf numFmtId="0" fontId="15" fillId="0" borderId="19" xfId="0" applyNumberFormat="1" applyFont="1" applyFill="1" applyBorder="1" applyAlignment="1" applyProtection="1">
      <alignment horizontal="center" vertical="center" wrapText="1"/>
    </xf>
    <xf numFmtId="14" fontId="11" fillId="0" borderId="0" xfId="0" applyNumberFormat="1" applyFont="1" applyFill="1" applyBorder="1" applyAlignment="1" applyProtection="1">
      <alignment horizontal="center" vertical="center"/>
    </xf>
    <xf numFmtId="0" fontId="63" fillId="2" borderId="0" xfId="0" applyFont="1" applyFill="1" applyAlignment="1">
      <alignment horizontal="center" vertical="center"/>
    </xf>
    <xf numFmtId="0" fontId="67" fillId="2" borderId="32" xfId="0" applyFont="1" applyFill="1" applyBorder="1" applyAlignment="1">
      <alignment horizontal="center" vertical="center" wrapText="1"/>
    </xf>
    <xf numFmtId="0" fontId="26" fillId="0" borderId="6" xfId="0" applyNumberFormat="1" applyFont="1" applyFill="1" applyBorder="1" applyAlignment="1" applyProtection="1">
      <alignment wrapText="1"/>
    </xf>
    <xf numFmtId="0" fontId="26" fillId="0" borderId="15" xfId="0" applyNumberFormat="1" applyFont="1" applyFill="1" applyBorder="1" applyAlignment="1" applyProtection="1">
      <alignment horizontal="right" wrapText="1"/>
    </xf>
    <xf numFmtId="0" fontId="26" fillId="0" borderId="4" xfId="0" applyNumberFormat="1" applyFont="1" applyFill="1" applyBorder="1" applyAlignment="1" applyProtection="1">
      <alignment horizontal="right" wrapText="1"/>
    </xf>
    <xf numFmtId="0" fontId="26" fillId="0" borderId="7" xfId="0" applyNumberFormat="1" applyFont="1" applyFill="1" applyBorder="1" applyAlignment="1" applyProtection="1">
      <alignment wrapText="1"/>
    </xf>
    <xf numFmtId="0" fontId="26" fillId="0" borderId="0" xfId="0" applyNumberFormat="1" applyFont="1" applyFill="1" applyBorder="1" applyAlignment="1" applyProtection="1">
      <alignment horizontal="right" wrapText="1"/>
    </xf>
    <xf numFmtId="0" fontId="26" fillId="0" borderId="16" xfId="0" applyNumberFormat="1" applyFont="1" applyFill="1" applyBorder="1" applyAlignment="1" applyProtection="1">
      <alignment horizontal="right" wrapText="1"/>
    </xf>
    <xf numFmtId="0" fontId="26" fillId="0" borderId="7" xfId="0" applyNumberFormat="1" applyFont="1" applyFill="1" applyBorder="1" applyAlignment="1" applyProtection="1"/>
    <xf numFmtId="0" fontId="11" fillId="0" borderId="66" xfId="0" applyNumberFormat="1" applyFont="1" applyFill="1" applyBorder="1" applyAlignment="1" applyProtection="1">
      <alignment vertical="center" wrapText="1"/>
    </xf>
    <xf numFmtId="0" fontId="15" fillId="2" borderId="6" xfId="0" applyNumberFormat="1" applyFont="1" applyFill="1" applyBorder="1" applyAlignment="1" applyProtection="1">
      <alignment vertical="center" wrapText="1"/>
    </xf>
    <xf numFmtId="0" fontId="58" fillId="2" borderId="1" xfId="0" applyFont="1" applyFill="1" applyBorder="1" applyAlignment="1">
      <alignment vertical="top" wrapText="1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horizontal="right" vertical="center"/>
    </xf>
    <xf numFmtId="0" fontId="71" fillId="0" borderId="0" xfId="0" applyFont="1" applyAlignment="1">
      <alignment horizontal="left" vertical="center"/>
    </xf>
    <xf numFmtId="0" fontId="71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73" fillId="0" borderId="21" xfId="0" applyFont="1" applyBorder="1" applyAlignment="1">
      <alignment horizontal="center" vertical="center"/>
    </xf>
    <xf numFmtId="0" fontId="74" fillId="0" borderId="0" xfId="0" applyFont="1" applyAlignment="1">
      <alignment horizontal="left" vertical="center"/>
    </xf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0" fontId="76" fillId="0" borderId="0" xfId="0" applyFont="1" applyAlignment="1">
      <alignment horizontal="right" vertical="center"/>
    </xf>
    <xf numFmtId="165" fontId="70" fillId="0" borderId="0" xfId="0" applyNumberFormat="1" applyFont="1" applyAlignment="1">
      <alignment horizontal="center" vertical="center"/>
    </xf>
    <xf numFmtId="166" fontId="70" fillId="0" borderId="0" xfId="0" applyNumberFormat="1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165" fontId="77" fillId="0" borderId="0" xfId="0" applyNumberFormat="1" applyFont="1" applyAlignment="1">
      <alignment horizontal="right" vertical="center"/>
    </xf>
    <xf numFmtId="165" fontId="77" fillId="0" borderId="0" xfId="0" applyNumberFormat="1" applyFont="1" applyAlignment="1">
      <alignment horizontal="center" vertical="center"/>
    </xf>
    <xf numFmtId="0" fontId="75" fillId="0" borderId="0" xfId="0" applyFont="1" applyAlignment="1">
      <alignment horizontal="left" vertical="center"/>
    </xf>
    <xf numFmtId="0" fontId="77" fillId="0" borderId="0" xfId="0" applyFont="1" applyAlignment="1">
      <alignment vertical="center"/>
    </xf>
    <xf numFmtId="3" fontId="78" fillId="0" borderId="0" xfId="0" applyNumberFormat="1" applyFont="1" applyAlignment="1">
      <alignment horizontal="right" vertical="center"/>
    </xf>
    <xf numFmtId="3" fontId="77" fillId="0" borderId="0" xfId="0" applyNumberFormat="1" applyFont="1" applyAlignment="1">
      <alignment horizontal="right" vertical="center"/>
    </xf>
    <xf numFmtId="0" fontId="71" fillId="0" borderId="0" xfId="0" applyFont="1" applyAlignment="1">
      <alignment horizontal="center" vertical="center"/>
    </xf>
    <xf numFmtId="0" fontId="77" fillId="0" borderId="21" xfId="0" applyFont="1" applyBorder="1" applyAlignment="1">
      <alignment horizontal="center" vertical="center"/>
    </xf>
    <xf numFmtId="0" fontId="80" fillId="0" borderId="0" xfId="0" applyFont="1" applyAlignment="1">
      <alignment vertical="center"/>
    </xf>
    <xf numFmtId="0" fontId="80" fillId="0" borderId="0" xfId="0" applyFont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1" fontId="75" fillId="0" borderId="0" xfId="0" applyNumberFormat="1" applyFont="1" applyAlignment="1">
      <alignment horizontal="center" vertical="center"/>
    </xf>
    <xf numFmtId="1" fontId="75" fillId="0" borderId="0" xfId="0" applyNumberFormat="1" applyFont="1" applyAlignment="1">
      <alignment horizontal="right" vertical="center"/>
    </xf>
    <xf numFmtId="0" fontId="74" fillId="0" borderId="0" xfId="0" applyFont="1" applyAlignment="1">
      <alignment horizontal="center" vertical="center"/>
    </xf>
    <xf numFmtId="164" fontId="75" fillId="0" borderId="0" xfId="0" applyNumberFormat="1" applyFont="1" applyAlignment="1">
      <alignment horizontal="center" vertical="center"/>
    </xf>
    <xf numFmtId="1" fontId="82" fillId="0" borderId="0" xfId="0" applyNumberFormat="1" applyFont="1" applyAlignment="1">
      <alignment horizontal="center" vertical="center"/>
    </xf>
    <xf numFmtId="1" fontId="82" fillId="5" borderId="0" xfId="0" applyNumberFormat="1" applyFont="1" applyFill="1" applyAlignment="1">
      <alignment horizontal="center" vertical="center"/>
    </xf>
    <xf numFmtId="3" fontId="82" fillId="0" borderId="0" xfId="0" applyNumberFormat="1" applyFont="1" applyAlignment="1">
      <alignment horizontal="center" vertical="center"/>
    </xf>
    <xf numFmtId="0" fontId="81" fillId="0" borderId="0" xfId="0" applyFont="1" applyAlignment="1">
      <alignment vertical="center"/>
    </xf>
    <xf numFmtId="1" fontId="82" fillId="11" borderId="0" xfId="0" applyNumberFormat="1" applyFont="1" applyFill="1" applyAlignment="1">
      <alignment horizontal="center" vertical="center"/>
    </xf>
    <xf numFmtId="3" fontId="82" fillId="6" borderId="0" xfId="0" applyNumberFormat="1" applyFont="1" applyFill="1" applyAlignment="1">
      <alignment horizontal="center" vertical="center"/>
    </xf>
    <xf numFmtId="0" fontId="74" fillId="9" borderId="0" xfId="0" applyFont="1" applyFill="1" applyAlignment="1">
      <alignment horizontal="center" vertical="center"/>
    </xf>
    <xf numFmtId="0" fontId="74" fillId="6" borderId="0" xfId="0" applyFont="1" applyFill="1" applyAlignment="1">
      <alignment horizontal="center" vertical="center"/>
    </xf>
    <xf numFmtId="3" fontId="82" fillId="10" borderId="0" xfId="0" applyNumberFormat="1" applyFont="1" applyFill="1" applyAlignment="1">
      <alignment horizontal="center" vertical="center"/>
    </xf>
    <xf numFmtId="0" fontId="83" fillId="0" borderId="0" xfId="0" applyFont="1" applyAlignment="1">
      <alignment horizontal="left" vertical="center"/>
    </xf>
    <xf numFmtId="0" fontId="79" fillId="0" borderId="0" xfId="0" applyFont="1" applyAlignment="1">
      <alignment horizontal="center" vertical="center"/>
    </xf>
    <xf numFmtId="0" fontId="73" fillId="0" borderId="0" xfId="0" applyFont="1" applyAlignment="1">
      <alignment horizontal="left" vertical="center"/>
    </xf>
    <xf numFmtId="0" fontId="84" fillId="0" borderId="0" xfId="0" applyFont="1" applyAlignment="1">
      <alignment horizontal="center" vertical="center"/>
    </xf>
    <xf numFmtId="1" fontId="77" fillId="0" borderId="0" xfId="0" applyNumberFormat="1" applyFont="1" applyAlignment="1">
      <alignment vertical="center"/>
    </xf>
    <xf numFmtId="0" fontId="77" fillId="9" borderId="0" xfId="0" applyFont="1" applyFill="1" applyAlignment="1">
      <alignment horizontal="center" vertical="center"/>
    </xf>
    <xf numFmtId="0" fontId="77" fillId="0" borderId="0" xfId="0" applyFont="1" applyAlignment="1">
      <alignment horizontal="left" vertical="center"/>
    </xf>
    <xf numFmtId="0" fontId="85" fillId="0" borderId="0" xfId="0" applyFont="1" applyAlignment="1">
      <alignment vertical="center"/>
    </xf>
    <xf numFmtId="169" fontId="77" fillId="0" borderId="0" xfId="0" applyNumberFormat="1" applyFont="1" applyAlignment="1">
      <alignment vertic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17" fillId="2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9" fillId="0" borderId="0" xfId="0" applyFont="1" applyAlignment="1">
      <alignment horizontal="center" vertical="center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20" fillId="2" borderId="0" xfId="0" applyFont="1" applyFill="1" applyBorder="1" applyAlignment="1">
      <alignment horizontal="left" vertical="center"/>
    </xf>
    <xf numFmtId="0" fontId="17" fillId="2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87" fillId="2" borderId="0" xfId="0" applyFont="1" applyFill="1"/>
    <xf numFmtId="0" fontId="88" fillId="0" borderId="0" xfId="0" applyNumberFormat="1" applyFont="1" applyFill="1" applyBorder="1" applyAlignment="1" applyProtection="1"/>
    <xf numFmtId="0" fontId="33" fillId="0" borderId="24" xfId="0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6" xfId="0" applyFont="1" applyBorder="1" applyAlignment="1">
      <alignment horizontal="center" vertical="center" textRotation="90"/>
    </xf>
    <xf numFmtId="0" fontId="0" fillId="0" borderId="20" xfId="0" applyBorder="1"/>
    <xf numFmtId="0" fontId="33" fillId="0" borderId="6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167" fontId="24" fillId="0" borderId="1" xfId="0" applyNumberFormat="1" applyFont="1" applyBorder="1" applyAlignment="1">
      <alignment horizontal="center" vertical="center"/>
    </xf>
    <xf numFmtId="0" fontId="32" fillId="0" borderId="34" xfId="0" applyFont="1" applyBorder="1" applyAlignment="1">
      <alignment horizontal="center" vertical="center" textRotation="90"/>
    </xf>
    <xf numFmtId="0" fontId="32" fillId="0" borderId="33" xfId="0" applyFont="1" applyBorder="1" applyAlignment="1">
      <alignment horizontal="center" vertical="center" textRotation="90"/>
    </xf>
    <xf numFmtId="0" fontId="31" fillId="0" borderId="17" xfId="0" applyFont="1" applyBorder="1" applyAlignment="1">
      <alignment horizontal="center" vertical="center" textRotation="90"/>
    </xf>
    <xf numFmtId="0" fontId="31" fillId="0" borderId="19" xfId="0" applyFont="1" applyBorder="1" applyAlignment="1">
      <alignment horizontal="center" vertical="center" textRotation="90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8" fillId="0" borderId="28" xfId="0" applyFont="1" applyBorder="1" applyAlignment="1">
      <alignment horizontal="center" vertical="center"/>
    </xf>
    <xf numFmtId="167" fontId="24" fillId="0" borderId="29" xfId="0" applyNumberFormat="1" applyFont="1" applyBorder="1" applyAlignment="1">
      <alignment horizontal="center" vertical="center"/>
    </xf>
    <xf numFmtId="167" fontId="24" fillId="0" borderId="30" xfId="0" applyNumberFormat="1" applyFont="1" applyBorder="1" applyAlignment="1">
      <alignment horizontal="center" vertical="center"/>
    </xf>
    <xf numFmtId="167" fontId="24" fillId="0" borderId="31" xfId="0" applyNumberFormat="1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 textRotation="90"/>
    </xf>
    <xf numFmtId="0" fontId="31" fillId="0" borderId="35" xfId="0" applyFont="1" applyBorder="1" applyAlignment="1">
      <alignment horizontal="center" vertical="center" textRotation="90"/>
    </xf>
    <xf numFmtId="0" fontId="50" fillId="0" borderId="3" xfId="0" applyFont="1" applyBorder="1" applyAlignment="1">
      <alignment horizontal="right" vertical="center" wrapText="1"/>
    </xf>
    <xf numFmtId="0" fontId="50" fillId="0" borderId="2" xfId="0" applyFont="1" applyBorder="1" applyAlignment="1">
      <alignment horizontal="right" vertical="center" wrapText="1"/>
    </xf>
    <xf numFmtId="0" fontId="50" fillId="0" borderId="11" xfId="0" applyFont="1" applyBorder="1" applyAlignment="1">
      <alignment horizontal="right" vertical="center" wrapText="1"/>
    </xf>
    <xf numFmtId="0" fontId="50" fillId="0" borderId="1" xfId="0" applyFont="1" applyBorder="1" applyAlignment="1">
      <alignment horizontal="right" wrapText="1"/>
    </xf>
    <xf numFmtId="0" fontId="50" fillId="0" borderId="3" xfId="0" applyFont="1" applyBorder="1" applyAlignment="1">
      <alignment horizontal="right" wrapText="1"/>
    </xf>
    <xf numFmtId="0" fontId="50" fillId="0" borderId="2" xfId="0" applyFont="1" applyBorder="1" applyAlignment="1">
      <alignment horizontal="right" wrapText="1"/>
    </xf>
    <xf numFmtId="0" fontId="50" fillId="0" borderId="11" xfId="0" applyFont="1" applyBorder="1" applyAlignment="1">
      <alignment horizontal="right" wrapText="1"/>
    </xf>
    <xf numFmtId="0" fontId="20" fillId="2" borderId="0" xfId="0" applyFont="1" applyFill="1" applyAlignment="1">
      <alignment horizontal="left" vertical="center" wrapText="1"/>
    </xf>
    <xf numFmtId="0" fontId="20" fillId="2" borderId="0" xfId="0" applyFont="1" applyFill="1" applyBorder="1" applyAlignment="1">
      <alignment horizontal="left" vertical="center" wrapText="1"/>
    </xf>
    <xf numFmtId="0" fontId="20" fillId="2" borderId="0" xfId="0" applyFont="1" applyFill="1" applyBorder="1" applyAlignment="1">
      <alignment horizontal="left" vertical="center"/>
    </xf>
    <xf numFmtId="0" fontId="17" fillId="2" borderId="0" xfId="0" applyNumberFormat="1" applyFont="1" applyFill="1" applyBorder="1" applyAlignment="1" applyProtection="1">
      <alignment horizontal="center" vertical="center"/>
    </xf>
    <xf numFmtId="0" fontId="12" fillId="2" borderId="5" xfId="0" applyNumberFormat="1" applyFont="1" applyFill="1" applyBorder="1" applyAlignment="1" applyProtection="1">
      <alignment horizontal="right" vertical="center"/>
    </xf>
    <xf numFmtId="0" fontId="11" fillId="0" borderId="13" xfId="0" applyNumberFormat="1" applyFont="1" applyFill="1" applyBorder="1" applyAlignment="1" applyProtection="1">
      <alignment horizontal="left" vertical="center" wrapText="1"/>
    </xf>
    <xf numFmtId="0" fontId="11" fillId="0" borderId="0" xfId="0" applyNumberFormat="1" applyFont="1" applyFill="1" applyBorder="1" applyAlignment="1" applyProtection="1">
      <alignment horizontal="left" vertical="center" wrapText="1"/>
    </xf>
    <xf numFmtId="0" fontId="12" fillId="0" borderId="6" xfId="0" applyNumberFormat="1" applyFont="1" applyFill="1" applyBorder="1" applyAlignment="1" applyProtection="1">
      <alignment horizontal="center" vertical="center" wrapText="1"/>
    </xf>
    <xf numFmtId="0" fontId="12" fillId="0" borderId="7" xfId="0" applyNumberFormat="1" applyFont="1" applyFill="1" applyBorder="1" applyAlignment="1" applyProtection="1">
      <alignment horizontal="center" vertical="center" wrapText="1"/>
    </xf>
    <xf numFmtId="0" fontId="12" fillId="0" borderId="20" xfId="0" applyNumberFormat="1" applyFont="1" applyFill="1" applyBorder="1" applyAlignment="1" applyProtection="1">
      <alignment horizontal="center" vertical="center" wrapText="1"/>
    </xf>
    <xf numFmtId="1" fontId="12" fillId="0" borderId="8" xfId="0" applyNumberFormat="1" applyFont="1" applyFill="1" applyBorder="1" applyAlignment="1" applyProtection="1">
      <alignment horizontal="center" vertical="center" wrapText="1"/>
    </xf>
    <xf numFmtId="1" fontId="12" fillId="0" borderId="4" xfId="0" applyNumberFormat="1" applyFont="1" applyFill="1" applyBorder="1" applyAlignment="1" applyProtection="1">
      <alignment horizontal="center" vertical="center" wrapText="1"/>
    </xf>
    <xf numFmtId="1" fontId="12" fillId="0" borderId="9" xfId="0" applyNumberFormat="1" applyFont="1" applyFill="1" applyBorder="1" applyAlignment="1" applyProtection="1">
      <alignment horizontal="center" vertical="center" wrapText="1"/>
    </xf>
    <xf numFmtId="1" fontId="12" fillId="0" borderId="10" xfId="0" applyNumberFormat="1" applyFont="1" applyFill="1" applyBorder="1" applyAlignment="1" applyProtection="1">
      <alignment horizontal="center" vertical="center" wrapText="1"/>
    </xf>
    <xf numFmtId="1" fontId="12" fillId="0" borderId="8" xfId="1" applyNumberFormat="1" applyFont="1" applyFill="1" applyBorder="1" applyAlignment="1" applyProtection="1">
      <alignment horizontal="center" vertical="center" wrapText="1"/>
    </xf>
    <xf numFmtId="1" fontId="12" fillId="0" borderId="4" xfId="1" applyNumberFormat="1" applyFont="1" applyFill="1" applyBorder="1" applyAlignment="1" applyProtection="1">
      <alignment horizontal="center" vertical="center" wrapText="1"/>
    </xf>
    <xf numFmtId="1" fontId="12" fillId="0" borderId="9" xfId="1" applyNumberFormat="1" applyFont="1" applyFill="1" applyBorder="1" applyAlignment="1" applyProtection="1">
      <alignment horizontal="center" vertical="center" wrapText="1"/>
    </xf>
    <xf numFmtId="1" fontId="12" fillId="0" borderId="10" xfId="1" applyNumberFormat="1" applyFont="1" applyFill="1" applyBorder="1" applyAlignment="1" applyProtection="1">
      <alignment horizontal="center" vertical="center" wrapText="1"/>
    </xf>
    <xf numFmtId="0" fontId="14" fillId="0" borderId="22" xfId="0" applyNumberFormat="1" applyFont="1" applyFill="1" applyBorder="1" applyAlignment="1" applyProtection="1">
      <alignment horizontal="center" vertical="center"/>
    </xf>
    <xf numFmtId="0" fontId="14" fillId="0" borderId="23" xfId="0" applyNumberFormat="1" applyFont="1" applyFill="1" applyBorder="1" applyAlignment="1" applyProtection="1">
      <alignment horizontal="center" vertical="center"/>
    </xf>
    <xf numFmtId="0" fontId="14" fillId="0" borderId="24" xfId="0" applyNumberFormat="1" applyFont="1" applyFill="1" applyBorder="1" applyAlignment="1" applyProtection="1">
      <alignment horizontal="center" vertical="center"/>
    </xf>
    <xf numFmtId="0" fontId="12" fillId="0" borderId="6" xfId="0" applyNumberFormat="1" applyFont="1" applyFill="1" applyBorder="1" applyAlignment="1" applyProtection="1">
      <alignment horizontal="center" vertical="center"/>
    </xf>
    <xf numFmtId="0" fontId="12" fillId="0" borderId="7" xfId="0" applyNumberFormat="1" applyFont="1" applyFill="1" applyBorder="1" applyAlignment="1" applyProtection="1">
      <alignment horizontal="center" vertical="center"/>
    </xf>
    <xf numFmtId="0" fontId="12" fillId="0" borderId="20" xfId="0" applyNumberFormat="1" applyFont="1" applyFill="1" applyBorder="1" applyAlignment="1" applyProtection="1">
      <alignment horizontal="center" vertical="center"/>
    </xf>
    <xf numFmtId="0" fontId="14" fillId="0" borderId="8" xfId="0" applyNumberFormat="1" applyFont="1" applyFill="1" applyBorder="1" applyAlignment="1" applyProtection="1">
      <alignment horizontal="center" vertical="center"/>
    </xf>
    <xf numFmtId="0" fontId="14" fillId="0" borderId="15" xfId="0" applyNumberFormat="1" applyFont="1" applyFill="1" applyBorder="1" applyAlignment="1" applyProtection="1">
      <alignment horizontal="center" vertical="center"/>
    </xf>
    <xf numFmtId="0" fontId="14" fillId="0" borderId="4" xfId="0" applyNumberFormat="1" applyFont="1" applyFill="1" applyBorder="1" applyAlignment="1" applyProtection="1">
      <alignment horizontal="center" vertical="center"/>
    </xf>
    <xf numFmtId="0" fontId="11" fillId="0" borderId="1" xfId="0" applyNumberFormat="1" applyFont="1" applyFill="1" applyBorder="1" applyAlignment="1" applyProtection="1">
      <alignment horizontal="center" vertical="center" wrapText="1"/>
    </xf>
    <xf numFmtId="0" fontId="16" fillId="2" borderId="1" xfId="0" applyNumberFormat="1" applyFont="1" applyFill="1" applyBorder="1" applyAlignment="1" applyProtection="1">
      <alignment horizontal="left" vertical="center" indent="3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1" fillId="0" borderId="1" xfId="0" applyNumberFormat="1" applyFont="1" applyFill="1" applyBorder="1" applyAlignment="1" applyProtection="1">
      <alignment horizontal="left" vertical="center" wrapText="1" indent="2"/>
    </xf>
    <xf numFmtId="14" fontId="61" fillId="2" borderId="0" xfId="0" applyNumberFormat="1" applyFont="1" applyFill="1" applyAlignment="1">
      <alignment horizontal="center"/>
    </xf>
    <xf numFmtId="0" fontId="61" fillId="2" borderId="0" xfId="0" applyFont="1" applyFill="1" applyAlignment="1">
      <alignment horizontal="center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63" fillId="2" borderId="41" xfId="0" applyFont="1" applyFill="1" applyBorder="1" applyAlignment="1">
      <alignment horizontal="left" vertical="center"/>
    </xf>
    <xf numFmtId="0" fontId="63" fillId="2" borderId="42" xfId="0" applyFont="1" applyFill="1" applyBorder="1" applyAlignment="1">
      <alignment horizontal="left" vertical="center"/>
    </xf>
    <xf numFmtId="0" fontId="63" fillId="2" borderId="43" xfId="0" applyFont="1" applyFill="1" applyBorder="1" applyAlignment="1">
      <alignment horizontal="left" vertical="center"/>
    </xf>
    <xf numFmtId="0" fontId="63" fillId="2" borderId="0" xfId="0" applyFont="1" applyFill="1" applyAlignment="1">
      <alignment horizontal="center" vertical="center"/>
    </xf>
    <xf numFmtId="0" fontId="63" fillId="2" borderId="48" xfId="0" applyFont="1" applyFill="1" applyBorder="1" applyAlignment="1">
      <alignment horizontal="left" vertical="center"/>
    </xf>
    <xf numFmtId="0" fontId="63" fillId="2" borderId="1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horizontal="left" vertical="center"/>
    </xf>
    <xf numFmtId="0" fontId="63" fillId="2" borderId="55" xfId="0" applyFont="1" applyFill="1" applyBorder="1" applyAlignment="1">
      <alignment horizontal="left" vertical="center"/>
    </xf>
    <xf numFmtId="0" fontId="63" fillId="2" borderId="32" xfId="0" applyFont="1" applyFill="1" applyBorder="1" applyAlignment="1">
      <alignment horizontal="left" vertical="center"/>
    </xf>
    <xf numFmtId="0" fontId="63" fillId="2" borderId="56" xfId="0" applyFont="1" applyFill="1" applyBorder="1" applyAlignment="1">
      <alignment horizontal="left" vertical="center"/>
    </xf>
    <xf numFmtId="0" fontId="66" fillId="2" borderId="0" xfId="0" applyFont="1" applyFill="1" applyAlignment="1">
      <alignment horizontal="center" vertical="center"/>
    </xf>
    <xf numFmtId="0" fontId="67" fillId="2" borderId="57" xfId="0" applyFont="1" applyFill="1" applyBorder="1" applyAlignment="1">
      <alignment horizontal="center" vertical="center"/>
    </xf>
    <xf numFmtId="0" fontId="67" fillId="2" borderId="30" xfId="0" applyFont="1" applyFill="1" applyBorder="1" applyAlignment="1">
      <alignment horizontal="center" vertical="center"/>
    </xf>
    <xf numFmtId="0" fontId="67" fillId="2" borderId="6" xfId="0" applyFont="1" applyFill="1" applyBorder="1" applyAlignment="1">
      <alignment horizontal="center" vertical="center"/>
    </xf>
    <xf numFmtId="0" fontId="67" fillId="2" borderId="34" xfId="0" applyFont="1" applyFill="1" applyBorder="1" applyAlignment="1">
      <alignment horizontal="center" vertical="center" wrapText="1"/>
    </xf>
    <xf numFmtId="0" fontId="67" fillId="2" borderId="63" xfId="0" applyFont="1" applyFill="1" applyBorder="1" applyAlignment="1">
      <alignment horizontal="center" vertical="center" wrapText="1"/>
    </xf>
    <xf numFmtId="0" fontId="67" fillId="2" borderId="58" xfId="0" applyFont="1" applyFill="1" applyBorder="1" applyAlignment="1">
      <alignment horizontal="center" vertical="center" wrapText="1"/>
    </xf>
    <xf numFmtId="0" fontId="67" fillId="2" borderId="64" xfId="0" applyFont="1" applyFill="1" applyBorder="1" applyAlignment="1">
      <alignment horizontal="center" vertical="center" wrapText="1"/>
    </xf>
    <xf numFmtId="0" fontId="67" fillId="2" borderId="58" xfId="0" applyFont="1" applyFill="1" applyBorder="1" applyAlignment="1">
      <alignment horizontal="center" vertical="center"/>
    </xf>
    <xf numFmtId="0" fontId="67" fillId="2" borderId="64" xfId="0" applyFont="1" applyFill="1" applyBorder="1" applyAlignment="1">
      <alignment horizontal="center" vertical="center"/>
    </xf>
    <xf numFmtId="0" fontId="67" fillId="2" borderId="43" xfId="0" applyFont="1" applyFill="1" applyBorder="1" applyAlignment="1">
      <alignment horizontal="center" vertical="center" wrapText="1"/>
    </xf>
    <xf numFmtId="0" fontId="67" fillId="2" borderId="61" xfId="0" applyFont="1" applyFill="1" applyBorder="1" applyAlignment="1">
      <alignment horizontal="center" vertical="center" wrapText="1"/>
    </xf>
    <xf numFmtId="0" fontId="67" fillId="2" borderId="42" xfId="0" applyFont="1" applyFill="1" applyBorder="1" applyAlignment="1">
      <alignment horizontal="center" vertical="center" wrapText="1"/>
    </xf>
    <xf numFmtId="0" fontId="67" fillId="2" borderId="32" xfId="0" applyFont="1" applyFill="1" applyBorder="1" applyAlignment="1">
      <alignment horizontal="center" vertical="center" wrapText="1"/>
    </xf>
    <xf numFmtId="0" fontId="67" fillId="2" borderId="59" xfId="0" applyFont="1" applyFill="1" applyBorder="1" applyAlignment="1">
      <alignment horizontal="center" vertical="center" wrapText="1"/>
    </xf>
    <xf numFmtId="0" fontId="67" fillId="2" borderId="60" xfId="0" applyFont="1" applyFill="1" applyBorder="1" applyAlignment="1">
      <alignment horizontal="center" vertical="center" wrapText="1"/>
    </xf>
    <xf numFmtId="0" fontId="67" fillId="2" borderId="56" xfId="0" applyFont="1" applyFill="1" applyBorder="1" applyAlignment="1">
      <alignment horizontal="center" vertical="center" wrapText="1"/>
    </xf>
    <xf numFmtId="0" fontId="67" fillId="2" borderId="50" xfId="0" applyFont="1" applyFill="1" applyBorder="1" applyAlignment="1">
      <alignment horizontal="center" vertical="center" wrapText="1"/>
    </xf>
    <xf numFmtId="0" fontId="67" fillId="2" borderId="62" xfId="0" applyFont="1" applyFill="1" applyBorder="1" applyAlignment="1">
      <alignment horizontal="center" vertical="center" wrapText="1"/>
    </xf>
    <xf numFmtId="0" fontId="68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0" fontId="5" fillId="0" borderId="11" xfId="0" applyFont="1" applyFill="1" applyBorder="1" applyAlignment="1" applyProtection="1">
      <alignment horizontal="center"/>
    </xf>
    <xf numFmtId="0" fontId="5" fillId="4" borderId="3" xfId="0" applyFont="1" applyFill="1" applyBorder="1" applyAlignment="1" applyProtection="1">
      <alignment horizontal="center"/>
    </xf>
    <xf numFmtId="0" fontId="5" fillId="4" borderId="2" xfId="0" applyFont="1" applyFill="1" applyBorder="1" applyAlignment="1" applyProtection="1">
      <alignment horizontal="center"/>
    </xf>
    <xf numFmtId="0" fontId="5" fillId="4" borderId="11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center"/>
    </xf>
  </cellXfs>
  <cellStyles count="11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3 2" xfId="4" xr:uid="{00000000-0005-0000-0000-000003000000}"/>
    <cellStyle name="Обычный 3 3" xfId="7" xr:uid="{00000000-0005-0000-0000-000004000000}"/>
    <cellStyle name="Обычный 4" xfId="3" xr:uid="{00000000-0005-0000-0000-000005000000}"/>
    <cellStyle name="Обычный 4 2" xfId="8" xr:uid="{00000000-0005-0000-0000-000006000000}"/>
    <cellStyle name="Обычный 5" xfId="6" xr:uid="{00000000-0005-0000-0000-000007000000}"/>
    <cellStyle name="Обычный 6" xfId="5" xr:uid="{00000000-0005-0000-0000-000008000000}"/>
    <cellStyle name="Обычный 7" xfId="9" xr:uid="{00000000-0005-0000-0000-000009000000}"/>
    <cellStyle name="Обычный 8" xfId="10" xr:uid="{00000000-0005-0000-0000-00000A000000}"/>
  </cellStyles>
  <dxfs count="68"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</dxf>
    <dxf>
      <font>
        <b/>
        <i val="0"/>
        <color theme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</dxf>
    <dxf>
      <font>
        <b/>
        <i val="0"/>
        <color theme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73749"/>
      <color rgb="FFCE7A78"/>
      <color rgb="FF009900"/>
      <color rgb="FF33CCFF"/>
      <color rgb="FFFFFF99"/>
      <color rgb="FF006600"/>
      <color rgb="FF5C73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 sz="2400"/>
              <a:t>Плановая и фактическая трудоемкость</a:t>
            </a:r>
          </a:p>
        </c:rich>
      </c:tx>
      <c:layout>
        <c:manualLayout>
          <c:xMode val="edge"/>
          <c:yMode val="edge"/>
          <c:x val="0.24877061099069933"/>
          <c:y val="4.8101346202692385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520465881003579"/>
          <c:y val="7.5243996008671571E-2"/>
          <c:w val="0.8591416465176458"/>
          <c:h val="0.70593565897142163"/>
        </c:manualLayout>
      </c:layout>
      <c:lineChart>
        <c:grouping val="standard"/>
        <c:varyColors val="0"/>
        <c:ser>
          <c:idx val="0"/>
          <c:order val="0"/>
          <c:tx>
            <c:strRef>
              <c:f>Данные!$A$3</c:f>
              <c:strCache>
                <c:ptCount val="1"/>
                <c:pt idx="0">
                  <c:v>Плановая трудоемкость (н/ч)</c:v>
                </c:pt>
              </c:strCache>
            </c:strRef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01-4F28-9516-2815CDA432AE}"/>
                </c:ext>
              </c:extLst>
            </c:dLbl>
            <c:dLbl>
              <c:idx val="30"/>
              <c:layout>
                <c:manualLayout>
                  <c:x val="-8.8793070582685582E-2"/>
                  <c:y val="-9.267403291422804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01-4F28-9516-2815CDA432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Данные!$D$3:$AH$3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30658.103000000003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01-4F28-9516-2815CDA432AE}"/>
            </c:ext>
          </c:extLst>
        </c:ser>
        <c:ser>
          <c:idx val="1"/>
          <c:order val="1"/>
          <c:tx>
            <c:strRef>
              <c:f>Данные!$A$4</c:f>
              <c:strCache>
                <c:ptCount val="1"/>
                <c:pt idx="0">
                  <c:v>Среднесуточный выпуск (н/ч)</c:v>
                </c:pt>
              </c:strCache>
            </c:strRef>
          </c:tx>
          <c:marker>
            <c:symbol val="none"/>
          </c:marker>
          <c:dLbls>
            <c:dLbl>
              <c:idx val="30"/>
              <c:layout>
                <c:manualLayout>
                  <c:x val="-6.7802208330107014E-2"/>
                  <c:y val="-7.6364161800939023E-2"/>
                </c:manualLayout>
              </c:layout>
              <c:spPr/>
              <c:txPr>
                <a:bodyPr/>
                <a:lstStyle/>
                <a:p>
                  <a:pPr>
                    <a:defRPr sz="3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01-4F28-9516-2815CDA432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Данные!$D$4:$AH$4</c:f>
              <c:numCache>
                <c:formatCode>General</c:formatCode>
                <c:ptCount val="31"/>
                <c:pt idx="0" formatCode="#,##0">
                  <c:v>1459.9096666666669</c:v>
                </c:pt>
                <c:pt idx="30" formatCode="#,##0">
                  <c:v>1459.9096666666669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01-4F28-9516-2815CDA432AE}"/>
            </c:ext>
          </c:extLst>
        </c:ser>
        <c:ser>
          <c:idx val="2"/>
          <c:order val="2"/>
          <c:tx>
            <c:strRef>
              <c:f>Данные!$A$5</c:f>
              <c:strCache>
                <c:ptCount val="1"/>
                <c:pt idx="0">
                  <c:v>Фактическая трудоемкость (н/ч)</c:v>
                </c:pt>
              </c:strCache>
            </c:strRef>
          </c:tx>
          <c:marker>
            <c:symbol val="none"/>
          </c:marker>
          <c:dLbls>
            <c:dLbl>
              <c:idx val="30"/>
              <c:layout>
                <c:manualLayout>
                  <c:x val="-1.1035349286726505E-2"/>
                  <c:y val="0.1102633705189450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01-4F28-9516-2815CDA432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3200" b="1"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Данные!$D$5:$AH$5</c:f>
              <c:numCache>
                <c:formatCode>General</c:formatCode>
                <c:ptCount val="31"/>
                <c:pt idx="0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01-4F28-9516-2815CDA43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188096"/>
        <c:axId val="93189632"/>
      </c:lineChart>
      <c:catAx>
        <c:axId val="9318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3189632"/>
        <c:crosses val="autoZero"/>
        <c:auto val="1"/>
        <c:lblAlgn val="ctr"/>
        <c:lblOffset val="100"/>
        <c:noMultiLvlLbl val="0"/>
      </c:catAx>
      <c:valAx>
        <c:axId val="9318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3188096"/>
        <c:crosses val="autoZero"/>
        <c:crossBetween val="between"/>
        <c:majorUnit val="2000"/>
      </c:valAx>
    </c:plotArea>
    <c:legend>
      <c:legendPos val="r"/>
      <c:layout>
        <c:manualLayout>
          <c:xMode val="edge"/>
          <c:yMode val="edge"/>
          <c:x val="0"/>
          <c:y val="0.86524944665373005"/>
          <c:w val="0.91066540462933065"/>
          <c:h val="0.13312695792057117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17" l="0.17" r="0.17" t="0.17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 sz="2400"/>
              <a:t>План запуска и выпуска по СК</a:t>
            </a:r>
          </a:p>
        </c:rich>
      </c:tx>
      <c:layout>
        <c:manualLayout>
          <c:xMode val="edge"/>
          <c:yMode val="edge"/>
          <c:x val="0.25958093580043851"/>
          <c:y val="2.133120587843053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3614815997784693E-2"/>
          <c:y val="0.10993314460964022"/>
          <c:w val="0.90460595803126631"/>
          <c:h val="0.68735471433323381"/>
        </c:manualLayout>
      </c:layout>
      <c:lineChart>
        <c:grouping val="standard"/>
        <c:varyColors val="0"/>
        <c:ser>
          <c:idx val="0"/>
          <c:order val="0"/>
          <c:tx>
            <c:v>Плановый выпуск</c:v>
          </c:tx>
          <c:marker>
            <c:symbol val="none"/>
          </c:marker>
          <c:dLbls>
            <c:dLbl>
              <c:idx val="30"/>
              <c:layout>
                <c:manualLayout>
                  <c:x val="-0.1666182796280945"/>
                  <c:y val="4.32373168543807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800" b="1"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Данные!$D$7:$AH$7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1979.6000000000001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B-4C7E-9A1C-81830E940FCC}"/>
            </c:ext>
          </c:extLst>
        </c:ser>
        <c:ser>
          <c:idx val="1"/>
          <c:order val="1"/>
          <c:tx>
            <c:v>Плановый запуск</c:v>
          </c:tx>
          <c:marker>
            <c:symbol val="none"/>
          </c:marker>
          <c:dLbls>
            <c:dLbl>
              <c:idx val="30"/>
              <c:layout>
                <c:manualLayout>
                  <c:x val="-7.5022107682538738E-2"/>
                  <c:y val="-7.887072660221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800" b="1"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Данные!$D$8:$AH$8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3B-4C7E-9A1C-81830E94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25696"/>
        <c:axId val="90939776"/>
      </c:lineChart>
      <c:lineChart>
        <c:grouping val="standard"/>
        <c:varyColors val="0"/>
        <c:ser>
          <c:idx val="2"/>
          <c:order val="2"/>
          <c:tx>
            <c:v>Плановый среднесуточный выпуск</c:v>
          </c:tx>
          <c:marker>
            <c:symbol val="none"/>
          </c:marker>
          <c:dLbls>
            <c:dLbl>
              <c:idx val="0"/>
              <c:layout>
                <c:manualLayout>
                  <c:x val="7.6781755647970283E-3"/>
                  <c:y val="-5.7681655030692107E-2"/>
                </c:manualLayout>
              </c:layout>
              <c:spPr/>
              <c:txPr>
                <a:bodyPr/>
                <a:lstStyle/>
                <a:p>
                  <a:pPr>
                    <a:defRPr sz="3200" b="1"/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3B-4C7E-9A1C-81830E940FCC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Данные!$D$9:$AH$9</c:f>
              <c:numCache>
                <c:formatCode>0</c:formatCode>
                <c:ptCount val="31"/>
                <c:pt idx="0">
                  <c:v>94.26666666666668</c:v>
                </c:pt>
                <c:pt idx="30" formatCode="#,##0">
                  <c:v>94.26666666666668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3B-4C7E-9A1C-81830E940FCC}"/>
            </c:ext>
          </c:extLst>
        </c:ser>
        <c:ser>
          <c:idx val="3"/>
          <c:order val="3"/>
          <c:tx>
            <c:v>Плановый среднесуточный запуск</c:v>
          </c:tx>
          <c:marker>
            <c:symbol val="none"/>
          </c:marker>
          <c:dLbls>
            <c:dLbl>
              <c:idx val="0"/>
              <c:layout>
                <c:manualLayout>
                  <c:x val="-1.3667430870959722E-2"/>
                  <c:y val="-5.6598634605077122E-2"/>
                </c:manualLayout>
              </c:layout>
              <c:spPr/>
              <c:txPr>
                <a:bodyPr/>
                <a:lstStyle/>
                <a:p>
                  <a:pPr>
                    <a:defRPr sz="3200" b="1"/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Данные!$D$10:$AH$10</c:f>
              <c:numCache>
                <c:formatCode>0</c:formatCode>
                <c:ptCount val="31"/>
                <c:pt idx="0">
                  <c:v>244.04761904761904</c:v>
                </c:pt>
                <c:pt idx="30" formatCode="#,##0">
                  <c:v>244.04761904761904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D3B-4C7E-9A1C-81830E94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1312"/>
        <c:axId val="90942848"/>
      </c:lineChart>
      <c:catAx>
        <c:axId val="9092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0939776"/>
        <c:crosses val="autoZero"/>
        <c:auto val="1"/>
        <c:lblAlgn val="ctr"/>
        <c:lblOffset val="100"/>
        <c:noMultiLvlLbl val="0"/>
      </c:catAx>
      <c:valAx>
        <c:axId val="9093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0925696"/>
        <c:crosses val="autoZero"/>
        <c:crossBetween val="between"/>
      </c:valAx>
      <c:catAx>
        <c:axId val="90941312"/>
        <c:scaling>
          <c:orientation val="minMax"/>
        </c:scaling>
        <c:delete val="1"/>
        <c:axPos val="b"/>
        <c:majorTickMark val="out"/>
        <c:minorTickMark val="none"/>
        <c:tickLblPos val="none"/>
        <c:crossAx val="90942848"/>
        <c:crosses val="autoZero"/>
        <c:auto val="1"/>
        <c:lblAlgn val="ctr"/>
        <c:lblOffset val="100"/>
        <c:noMultiLvlLbl val="0"/>
      </c:catAx>
      <c:valAx>
        <c:axId val="9094284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0941312"/>
        <c:crosses val="max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0268687364376182E-3"/>
          <c:y val="0.87101997486046268"/>
          <c:w val="0.97674939063504806"/>
          <c:h val="9.9203350201572227E-2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" l="0" r="0" t="0" header="0.31496062992135765" footer="0.31496062992135765"/>
    <c:pageSetup paperSize="8"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 sz="2400"/>
              <a:t>Фонд рабочего времени</a:t>
            </a:r>
          </a:p>
        </c:rich>
      </c:tx>
      <c:layout>
        <c:manualLayout>
          <c:xMode val="edge"/>
          <c:yMode val="edge"/>
          <c:x val="0.3425390237059468"/>
          <c:y val="1.1844971072124421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4255987982674747E-2"/>
          <c:y val="0.11318339101014198"/>
          <c:w val="0.88493194973138956"/>
          <c:h val="0.65566585545442335"/>
        </c:manualLayout>
      </c:layout>
      <c:lineChart>
        <c:grouping val="standard"/>
        <c:varyColors val="0"/>
        <c:ser>
          <c:idx val="0"/>
          <c:order val="0"/>
          <c:tx>
            <c:v>Фонд рабочего времени, часы</c:v>
          </c:tx>
          <c:marker>
            <c:symbol val="none"/>
          </c:marker>
          <c:dLbls>
            <c:dLbl>
              <c:idx val="30"/>
              <c:layout>
                <c:manualLayout>
                  <c:x val="-9.4931718440855239E-2"/>
                  <c:y val="4.203855312787891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3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19-48FB-B755-FCE07E861F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Данные!$D$17:$AH$17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30658.103000000003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19-48FB-B755-FCE07E86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956544"/>
        <c:axId val="90958080"/>
      </c:lineChart>
      <c:catAx>
        <c:axId val="9095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0958080"/>
        <c:crosses val="autoZero"/>
        <c:auto val="1"/>
        <c:lblAlgn val="ctr"/>
        <c:lblOffset val="100"/>
        <c:noMultiLvlLbl val="0"/>
      </c:catAx>
      <c:valAx>
        <c:axId val="909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0956544"/>
        <c:crosses val="autoZero"/>
        <c:crossBetween val="between"/>
        <c:majorUnit val="2000"/>
      </c:valAx>
    </c:plotArea>
    <c:legend>
      <c:legendPos val="r"/>
      <c:layout>
        <c:manualLayout>
          <c:xMode val="edge"/>
          <c:yMode val="edge"/>
          <c:x val="8.1670087664499728E-3"/>
          <c:y val="0.89063005155391062"/>
          <c:w val="0.96642506870599332"/>
          <c:h val="6.692062321822799E-2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" l="0" r="0" t="0" header="0.30000000000000032" footer="0.30000000000000032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НЗП</a:t>
            </a:r>
          </a:p>
        </c:rich>
      </c:tx>
      <c:layout>
        <c:manualLayout>
          <c:xMode val="edge"/>
          <c:yMode val="edge"/>
          <c:x val="0.46769559292893265"/>
          <c:y val="5.12187643211265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5405889012263"/>
          <c:y val="0.20810994671245694"/>
          <c:w val="0.84892106877444962"/>
          <c:h val="0.61837823840126782"/>
        </c:manualLayout>
      </c:layout>
      <c:lineChart>
        <c:grouping val="standard"/>
        <c:varyColors val="0"/>
        <c:ser>
          <c:idx val="0"/>
          <c:order val="0"/>
          <c:tx>
            <c:v>Норматив по цеху</c:v>
          </c:tx>
          <c:marker>
            <c:symbol val="none"/>
          </c:marker>
          <c:dLbls>
            <c:dLbl>
              <c:idx val="30"/>
              <c:layout>
                <c:manualLayout>
                  <c:x val="-7.4740856207253945E-2"/>
                  <c:y val="-4.6336435218327934E-2"/>
                </c:manualLayout>
              </c:layout>
              <c:tx>
                <c:rich>
                  <a:bodyPr/>
                  <a:lstStyle/>
                  <a:p>
                    <a:pPr>
                      <a:defRPr sz="3200" b="1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r>
                      <a:rPr lang="en-US"/>
                      <a:t>650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72D-4F8C-BD5B-6C2951668E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Данные!$D$14:$AH$14</c:f>
              <c:numCache>
                <c:formatCode>General</c:formatCode>
                <c:ptCount val="31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  <c:pt idx="12">
                  <c:v>650</c:v>
                </c:pt>
                <c:pt idx="13">
                  <c:v>650</c:v>
                </c:pt>
                <c:pt idx="14">
                  <c:v>650</c:v>
                </c:pt>
                <c:pt idx="15">
                  <c:v>650</c:v>
                </c:pt>
                <c:pt idx="16">
                  <c:v>650</c:v>
                </c:pt>
                <c:pt idx="17">
                  <c:v>650</c:v>
                </c:pt>
                <c:pt idx="18">
                  <c:v>650</c:v>
                </c:pt>
                <c:pt idx="19">
                  <c:v>650</c:v>
                </c:pt>
                <c:pt idx="20">
                  <c:v>650</c:v>
                </c:pt>
                <c:pt idx="21">
                  <c:v>650</c:v>
                </c:pt>
                <c:pt idx="22">
                  <c:v>650</c:v>
                </c:pt>
                <c:pt idx="23">
                  <c:v>650</c:v>
                </c:pt>
                <c:pt idx="24">
                  <c:v>650</c:v>
                </c:pt>
                <c:pt idx="25">
                  <c:v>650</c:v>
                </c:pt>
                <c:pt idx="26">
                  <c:v>650</c:v>
                </c:pt>
                <c:pt idx="27">
                  <c:v>650</c:v>
                </c:pt>
                <c:pt idx="28">
                  <c:v>650</c:v>
                </c:pt>
                <c:pt idx="29">
                  <c:v>650</c:v>
                </c:pt>
                <c:pt idx="30" formatCode="#,##0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2D-4F8C-BD5B-6C2951668EAA}"/>
            </c:ext>
          </c:extLst>
        </c:ser>
        <c:ser>
          <c:idx val="1"/>
          <c:order val="1"/>
          <c:tx>
            <c:v>Критический предел</c:v>
          </c:tx>
          <c:marker>
            <c:symbol val="none"/>
          </c:marker>
          <c:dLbls>
            <c:dLbl>
              <c:idx val="30"/>
              <c:layout>
                <c:manualLayout>
                  <c:x val="-7.5788408450840533E-2"/>
                  <c:y val="-4.9037695757850934E-2"/>
                </c:manualLayout>
              </c:layout>
              <c:tx>
                <c:rich>
                  <a:bodyPr/>
                  <a:lstStyle/>
                  <a:p>
                    <a:pPr>
                      <a:defRPr sz="3200" b="1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r>
                      <a:rPr lang="en-US"/>
                      <a:t>950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72D-4F8C-BD5B-6C2951668E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Данные!$D$15:$AH$15</c:f>
              <c:numCache>
                <c:formatCode>General</c:formatCode>
                <c:ptCount val="31"/>
                <c:pt idx="0">
                  <c:v>950</c:v>
                </c:pt>
                <c:pt idx="1">
                  <c:v>950</c:v>
                </c:pt>
                <c:pt idx="2">
                  <c:v>950</c:v>
                </c:pt>
                <c:pt idx="3">
                  <c:v>950</c:v>
                </c:pt>
                <c:pt idx="4">
                  <c:v>950</c:v>
                </c:pt>
                <c:pt idx="5">
                  <c:v>950</c:v>
                </c:pt>
                <c:pt idx="6">
                  <c:v>950</c:v>
                </c:pt>
                <c:pt idx="7">
                  <c:v>950</c:v>
                </c:pt>
                <c:pt idx="8">
                  <c:v>950</c:v>
                </c:pt>
                <c:pt idx="9">
                  <c:v>950</c:v>
                </c:pt>
                <c:pt idx="10">
                  <c:v>950</c:v>
                </c:pt>
                <c:pt idx="11">
                  <c:v>950</c:v>
                </c:pt>
                <c:pt idx="12">
                  <c:v>950</c:v>
                </c:pt>
                <c:pt idx="13">
                  <c:v>950</c:v>
                </c:pt>
                <c:pt idx="14">
                  <c:v>950</c:v>
                </c:pt>
                <c:pt idx="15">
                  <c:v>950</c:v>
                </c:pt>
                <c:pt idx="16">
                  <c:v>950</c:v>
                </c:pt>
                <c:pt idx="17">
                  <c:v>950</c:v>
                </c:pt>
                <c:pt idx="18">
                  <c:v>950</c:v>
                </c:pt>
                <c:pt idx="19">
                  <c:v>950</c:v>
                </c:pt>
                <c:pt idx="20">
                  <c:v>950</c:v>
                </c:pt>
                <c:pt idx="21">
                  <c:v>950</c:v>
                </c:pt>
                <c:pt idx="22">
                  <c:v>950</c:v>
                </c:pt>
                <c:pt idx="23">
                  <c:v>950</c:v>
                </c:pt>
                <c:pt idx="24">
                  <c:v>950</c:v>
                </c:pt>
                <c:pt idx="25">
                  <c:v>950</c:v>
                </c:pt>
                <c:pt idx="26">
                  <c:v>950</c:v>
                </c:pt>
                <c:pt idx="27">
                  <c:v>950</c:v>
                </c:pt>
                <c:pt idx="28">
                  <c:v>950</c:v>
                </c:pt>
                <c:pt idx="29">
                  <c:v>950</c:v>
                </c:pt>
                <c:pt idx="30">
                  <c:v>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2D-4F8C-BD5B-6C2951668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43712"/>
        <c:axId val="91045248"/>
      </c:lineChart>
      <c:catAx>
        <c:axId val="910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045248"/>
        <c:crosses val="autoZero"/>
        <c:auto val="1"/>
        <c:lblAlgn val="ctr"/>
        <c:lblOffset val="100"/>
        <c:noMultiLvlLbl val="0"/>
      </c:catAx>
      <c:valAx>
        <c:axId val="9104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0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6.6509046961606547E-2"/>
          <c:y val="0.92150127551138461"/>
          <c:w val="0.89363640520544696"/>
          <c:h val="5.9602716327127533E-2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 sz="2400"/>
              <a:t>Плановая и фактическая трудоемкость</a:t>
            </a:r>
          </a:p>
        </c:rich>
      </c:tx>
      <c:layout>
        <c:manualLayout>
          <c:xMode val="edge"/>
          <c:yMode val="edge"/>
          <c:x val="0.24877061099069933"/>
          <c:y val="4.8101346202692385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520465881003579"/>
          <c:y val="7.5243996008671571E-2"/>
          <c:w val="0.85914164651764602"/>
          <c:h val="0.70593565897142163"/>
        </c:manualLayout>
      </c:layout>
      <c:lineChart>
        <c:grouping val="standard"/>
        <c:varyColors val="0"/>
        <c:ser>
          <c:idx val="0"/>
          <c:order val="0"/>
          <c:tx>
            <c:strRef>
              <c:f>Данные!$A$3</c:f>
              <c:strCache>
                <c:ptCount val="1"/>
                <c:pt idx="0">
                  <c:v>Плановая трудоемкость (н/ч)</c:v>
                </c:pt>
              </c:strCache>
            </c:strRef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01-4F28-9516-2815CDA432AE}"/>
                </c:ext>
              </c:extLst>
            </c:dLbl>
            <c:dLbl>
              <c:idx val="30"/>
              <c:layout>
                <c:manualLayout>
                  <c:x val="-8.8793070582685651E-2"/>
                  <c:y val="-9.267403291422804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01-4F28-9516-2815CDA432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3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Данные!$D$3:$AH$3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30658.103000000003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01-4F28-9516-2815CDA432AE}"/>
            </c:ext>
          </c:extLst>
        </c:ser>
        <c:ser>
          <c:idx val="1"/>
          <c:order val="1"/>
          <c:tx>
            <c:strRef>
              <c:f>Данные!$A$4</c:f>
              <c:strCache>
                <c:ptCount val="1"/>
                <c:pt idx="0">
                  <c:v>Среднесуточный выпуск (н/ч)</c:v>
                </c:pt>
              </c:strCache>
            </c:strRef>
          </c:tx>
          <c:marker>
            <c:symbol val="none"/>
          </c:marker>
          <c:dLbls>
            <c:dLbl>
              <c:idx val="30"/>
              <c:layout>
                <c:manualLayout>
                  <c:x val="-6.7802208330107014E-2"/>
                  <c:y val="-7.6364161800939023E-2"/>
                </c:manualLayout>
              </c:layout>
              <c:spPr/>
              <c:txPr>
                <a:bodyPr/>
                <a:lstStyle/>
                <a:p>
                  <a:pPr>
                    <a:defRPr sz="3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01-4F28-9516-2815CDA432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Данные!$D$4:$AH$4</c:f>
              <c:numCache>
                <c:formatCode>General</c:formatCode>
                <c:ptCount val="31"/>
                <c:pt idx="0" formatCode="#,##0">
                  <c:v>1459.9096666666669</c:v>
                </c:pt>
                <c:pt idx="30" formatCode="#,##0">
                  <c:v>1459.9096666666669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01-4F28-9516-2815CDA432AE}"/>
            </c:ext>
          </c:extLst>
        </c:ser>
        <c:ser>
          <c:idx val="2"/>
          <c:order val="2"/>
          <c:tx>
            <c:strRef>
              <c:f>Данные!$A$5</c:f>
              <c:strCache>
                <c:ptCount val="1"/>
                <c:pt idx="0">
                  <c:v>Фактическая трудоемкость (н/ч)</c:v>
                </c:pt>
              </c:strCache>
            </c:strRef>
          </c:tx>
          <c:marker>
            <c:symbol val="none"/>
          </c:marker>
          <c:dLbls>
            <c:dLbl>
              <c:idx val="30"/>
              <c:layout>
                <c:manualLayout>
                  <c:x val="-1.1035349286726505E-2"/>
                  <c:y val="0.1102633705189450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01-4F28-9516-2815CDA432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3200" b="1"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Данные!$D$5:$AH$5</c:f>
              <c:numCache>
                <c:formatCode>General</c:formatCode>
                <c:ptCount val="31"/>
                <c:pt idx="0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01-4F28-9516-2815CDA43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47040"/>
        <c:axId val="91048576"/>
      </c:lineChart>
      <c:catAx>
        <c:axId val="9104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048576"/>
        <c:crosses val="autoZero"/>
        <c:auto val="1"/>
        <c:lblAlgn val="ctr"/>
        <c:lblOffset val="100"/>
        <c:noMultiLvlLbl val="0"/>
      </c:catAx>
      <c:valAx>
        <c:axId val="9104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047040"/>
        <c:crosses val="autoZero"/>
        <c:crossBetween val="between"/>
        <c:majorUnit val="2000"/>
      </c:valAx>
    </c:plotArea>
    <c:legend>
      <c:legendPos val="r"/>
      <c:layout>
        <c:manualLayout>
          <c:xMode val="edge"/>
          <c:yMode val="edge"/>
          <c:x val="0"/>
          <c:y val="0.8652494466537306"/>
          <c:w val="0.91066540462933065"/>
          <c:h val="0.13312695792057117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17" l="0.17" r="0.17" t="0.17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 sz="2400"/>
              <a:t>План запуска и выпуска по СК</a:t>
            </a:r>
          </a:p>
        </c:rich>
      </c:tx>
      <c:layout>
        <c:manualLayout>
          <c:xMode val="edge"/>
          <c:yMode val="edge"/>
          <c:x val="0.25958093580043862"/>
          <c:y val="2.133120587843054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3614815997784693E-2"/>
          <c:y val="0.10993314460964022"/>
          <c:w val="0.90460595803126631"/>
          <c:h val="0.68735471433323381"/>
        </c:manualLayout>
      </c:layout>
      <c:lineChart>
        <c:grouping val="standard"/>
        <c:varyColors val="0"/>
        <c:ser>
          <c:idx val="0"/>
          <c:order val="0"/>
          <c:tx>
            <c:v>Плановый выпуск</c:v>
          </c:tx>
          <c:marker>
            <c:symbol val="none"/>
          </c:marker>
          <c:dLbls>
            <c:dLbl>
              <c:idx val="30"/>
              <c:layout>
                <c:manualLayout>
                  <c:x val="-0.1666182796280945"/>
                  <c:y val="4.32373168543807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800" b="1"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Данные!$D$7:$AH$7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1979.6000000000001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B-4C7E-9A1C-81830E940FCC}"/>
            </c:ext>
          </c:extLst>
        </c:ser>
        <c:ser>
          <c:idx val="1"/>
          <c:order val="1"/>
          <c:tx>
            <c:v>Плановый запуск</c:v>
          </c:tx>
          <c:marker>
            <c:symbol val="none"/>
          </c:marker>
          <c:dLbls>
            <c:dLbl>
              <c:idx val="30"/>
              <c:layout>
                <c:manualLayout>
                  <c:x val="-7.5022107682538738E-2"/>
                  <c:y val="-7.887072660221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800" b="1"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Данные!$D$8:$AH$8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3B-4C7E-9A1C-81830E94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59584"/>
        <c:axId val="91461120"/>
      </c:lineChart>
      <c:lineChart>
        <c:grouping val="standard"/>
        <c:varyColors val="0"/>
        <c:ser>
          <c:idx val="2"/>
          <c:order val="2"/>
          <c:tx>
            <c:v>Плановый среднесуточный выпуск</c:v>
          </c:tx>
          <c:marker>
            <c:symbol val="none"/>
          </c:marker>
          <c:dLbls>
            <c:dLbl>
              <c:idx val="0"/>
              <c:layout>
                <c:manualLayout>
                  <c:x val="7.6781755647970283E-3"/>
                  <c:y val="-5.7681655030692107E-2"/>
                </c:manualLayout>
              </c:layout>
              <c:spPr/>
              <c:txPr>
                <a:bodyPr/>
                <a:lstStyle/>
                <a:p>
                  <a:pPr>
                    <a:defRPr sz="3200" b="1"/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3B-4C7E-9A1C-81830E940FCC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Данные!$D$9:$AH$9</c:f>
              <c:numCache>
                <c:formatCode>0</c:formatCode>
                <c:ptCount val="31"/>
                <c:pt idx="0">
                  <c:v>94.26666666666668</c:v>
                </c:pt>
                <c:pt idx="30" formatCode="#,##0">
                  <c:v>94.26666666666668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3B-4C7E-9A1C-81830E940FCC}"/>
            </c:ext>
          </c:extLst>
        </c:ser>
        <c:ser>
          <c:idx val="3"/>
          <c:order val="3"/>
          <c:tx>
            <c:v>Плановый среднесуточный запуск</c:v>
          </c:tx>
          <c:marker>
            <c:symbol val="none"/>
          </c:marker>
          <c:dLbls>
            <c:dLbl>
              <c:idx val="0"/>
              <c:layout>
                <c:manualLayout>
                  <c:x val="-1.3667430870959722E-2"/>
                  <c:y val="-5.6598634605077122E-2"/>
                </c:manualLayout>
              </c:layout>
              <c:spPr/>
              <c:txPr>
                <a:bodyPr/>
                <a:lstStyle/>
                <a:p>
                  <a:pPr>
                    <a:defRPr sz="3200" b="1"/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3B-4C7E-9A1C-81830E940FC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Данные!$D$10:$AH$10</c:f>
              <c:numCache>
                <c:formatCode>0</c:formatCode>
                <c:ptCount val="31"/>
                <c:pt idx="0">
                  <c:v>244.04761904761904</c:v>
                </c:pt>
                <c:pt idx="30" formatCode="#,##0">
                  <c:v>244.04761904761904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D3B-4C7E-9A1C-81830E940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62656"/>
        <c:axId val="91472640"/>
      </c:lineChart>
      <c:catAx>
        <c:axId val="9145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461120"/>
        <c:crosses val="autoZero"/>
        <c:auto val="1"/>
        <c:lblAlgn val="ctr"/>
        <c:lblOffset val="100"/>
        <c:noMultiLvlLbl val="0"/>
      </c:catAx>
      <c:valAx>
        <c:axId val="9146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459584"/>
        <c:crosses val="autoZero"/>
        <c:crossBetween val="between"/>
      </c:valAx>
      <c:catAx>
        <c:axId val="91462656"/>
        <c:scaling>
          <c:orientation val="minMax"/>
        </c:scaling>
        <c:delete val="1"/>
        <c:axPos val="b"/>
        <c:majorTickMark val="out"/>
        <c:minorTickMark val="none"/>
        <c:tickLblPos val="none"/>
        <c:crossAx val="91472640"/>
        <c:crosses val="autoZero"/>
        <c:auto val="1"/>
        <c:lblAlgn val="ctr"/>
        <c:lblOffset val="100"/>
        <c:noMultiLvlLbl val="0"/>
      </c:catAx>
      <c:valAx>
        <c:axId val="9147264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462656"/>
        <c:crosses val="max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0268687364376182E-3"/>
          <c:y val="0.87101997486046268"/>
          <c:w val="0.97674939063504851"/>
          <c:h val="9.9203350201572227E-2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" l="0" r="0" t="0" header="0.31496062992135787" footer="0.31496062992135787"/>
    <c:pageSetup paperSize="8" orientation="portrait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 sz="2400"/>
              <a:t>Фонд рабочего времени</a:t>
            </a:r>
          </a:p>
        </c:rich>
      </c:tx>
      <c:layout>
        <c:manualLayout>
          <c:xMode val="edge"/>
          <c:yMode val="edge"/>
          <c:x val="0.3425390237059468"/>
          <c:y val="1.1844971072124421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4255987982674747E-2"/>
          <c:y val="0.11318339101014198"/>
          <c:w val="0.88493194973138956"/>
          <c:h val="0.65566585545442391"/>
        </c:manualLayout>
      </c:layout>
      <c:lineChart>
        <c:grouping val="standard"/>
        <c:varyColors val="0"/>
        <c:ser>
          <c:idx val="0"/>
          <c:order val="0"/>
          <c:tx>
            <c:v>Фонд рабочего времени, часы</c:v>
          </c:tx>
          <c:marker>
            <c:symbol val="none"/>
          </c:marker>
          <c:dLbls>
            <c:dLbl>
              <c:idx val="30"/>
              <c:layout>
                <c:manualLayout>
                  <c:x val="-9.4931718440855239E-2"/>
                  <c:y val="4.203855312787891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3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19-48FB-B755-FCE07E861FA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Данные!$D$17:$AH$17</c:f>
              <c:numCache>
                <c:formatCode>General</c:formatCode>
                <c:ptCount val="31"/>
                <c:pt idx="0">
                  <c:v>0</c:v>
                </c:pt>
                <c:pt idx="30" formatCode="#,##0">
                  <c:v>30658.103000000003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19-48FB-B755-FCE07E86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94272"/>
        <c:axId val="91495808"/>
      </c:lineChart>
      <c:catAx>
        <c:axId val="9149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495808"/>
        <c:crosses val="autoZero"/>
        <c:auto val="1"/>
        <c:lblAlgn val="ctr"/>
        <c:lblOffset val="100"/>
        <c:noMultiLvlLbl val="0"/>
      </c:catAx>
      <c:valAx>
        <c:axId val="9149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494272"/>
        <c:crosses val="autoZero"/>
        <c:crossBetween val="between"/>
        <c:majorUnit val="2000"/>
      </c:valAx>
    </c:plotArea>
    <c:legend>
      <c:legendPos val="r"/>
      <c:layout>
        <c:manualLayout>
          <c:xMode val="edge"/>
          <c:yMode val="edge"/>
          <c:x val="8.1670087664499728E-3"/>
          <c:y val="0.89063005155391062"/>
          <c:w val="0.96642506870599332"/>
          <c:h val="6.692062321822799E-2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" l="0" r="0" t="0" header="0.30000000000000032" footer="0.30000000000000032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НЗП</a:t>
            </a:r>
          </a:p>
        </c:rich>
      </c:tx>
      <c:layout>
        <c:manualLayout>
          <c:xMode val="edge"/>
          <c:yMode val="edge"/>
          <c:x val="0.46769559292893265"/>
          <c:y val="5.12187643211265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54058890122634"/>
          <c:y val="0.20810994671245694"/>
          <c:w val="0.84892106877444962"/>
          <c:h val="0.61837823840126782"/>
        </c:manualLayout>
      </c:layout>
      <c:lineChart>
        <c:grouping val="standard"/>
        <c:varyColors val="0"/>
        <c:ser>
          <c:idx val="0"/>
          <c:order val="0"/>
          <c:tx>
            <c:v>Норматив по цеху</c:v>
          </c:tx>
          <c:marker>
            <c:symbol val="none"/>
          </c:marker>
          <c:dLbls>
            <c:dLbl>
              <c:idx val="30"/>
              <c:layout>
                <c:manualLayout>
                  <c:x val="-7.4740856207253945E-2"/>
                  <c:y val="-4.6336435218327934E-2"/>
                </c:manualLayout>
              </c:layout>
              <c:tx>
                <c:rich>
                  <a:bodyPr/>
                  <a:lstStyle/>
                  <a:p>
                    <a:pPr>
                      <a:defRPr sz="3200" b="1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r>
                      <a:rPr lang="en-US"/>
                      <a:t>650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72D-4F8C-BD5B-6C2951668E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Данные!$D$14:$AH$14</c:f>
              <c:numCache>
                <c:formatCode>General</c:formatCode>
                <c:ptCount val="31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  <c:pt idx="12">
                  <c:v>650</c:v>
                </c:pt>
                <c:pt idx="13">
                  <c:v>650</c:v>
                </c:pt>
                <c:pt idx="14">
                  <c:v>650</c:v>
                </c:pt>
                <c:pt idx="15">
                  <c:v>650</c:v>
                </c:pt>
                <c:pt idx="16">
                  <c:v>650</c:v>
                </c:pt>
                <c:pt idx="17">
                  <c:v>650</c:v>
                </c:pt>
                <c:pt idx="18">
                  <c:v>650</c:v>
                </c:pt>
                <c:pt idx="19">
                  <c:v>650</c:v>
                </c:pt>
                <c:pt idx="20">
                  <c:v>650</c:v>
                </c:pt>
                <c:pt idx="21">
                  <c:v>650</c:v>
                </c:pt>
                <c:pt idx="22">
                  <c:v>650</c:v>
                </c:pt>
                <c:pt idx="23">
                  <c:v>650</c:v>
                </c:pt>
                <c:pt idx="24">
                  <c:v>650</c:v>
                </c:pt>
                <c:pt idx="25">
                  <c:v>650</c:v>
                </c:pt>
                <c:pt idx="26">
                  <c:v>650</c:v>
                </c:pt>
                <c:pt idx="27">
                  <c:v>650</c:v>
                </c:pt>
                <c:pt idx="28">
                  <c:v>650</c:v>
                </c:pt>
                <c:pt idx="29">
                  <c:v>650</c:v>
                </c:pt>
                <c:pt idx="30" formatCode="#,##0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2D-4F8C-BD5B-6C2951668EAA}"/>
            </c:ext>
          </c:extLst>
        </c:ser>
        <c:ser>
          <c:idx val="1"/>
          <c:order val="1"/>
          <c:tx>
            <c:v>Критический предел</c:v>
          </c:tx>
          <c:marker>
            <c:symbol val="none"/>
          </c:marker>
          <c:dLbls>
            <c:dLbl>
              <c:idx val="30"/>
              <c:layout>
                <c:manualLayout>
                  <c:x val="-7.5788408450840533E-2"/>
                  <c:y val="-4.9037695757850934E-2"/>
                </c:manualLayout>
              </c:layout>
              <c:tx>
                <c:rich>
                  <a:bodyPr/>
                  <a:lstStyle/>
                  <a:p>
                    <a:pPr>
                      <a:defRPr sz="3200" b="1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r>
                      <a:rPr lang="en-US"/>
                      <a:t>950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72D-4F8C-BD5B-6C2951668E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Данные!$D$15:$AH$15</c:f>
              <c:numCache>
                <c:formatCode>General</c:formatCode>
                <c:ptCount val="31"/>
                <c:pt idx="0">
                  <c:v>950</c:v>
                </c:pt>
                <c:pt idx="1">
                  <c:v>950</c:v>
                </c:pt>
                <c:pt idx="2">
                  <c:v>950</c:v>
                </c:pt>
                <c:pt idx="3">
                  <c:v>950</c:v>
                </c:pt>
                <c:pt idx="4">
                  <c:v>950</c:v>
                </c:pt>
                <c:pt idx="5">
                  <c:v>950</c:v>
                </c:pt>
                <c:pt idx="6">
                  <c:v>950</c:v>
                </c:pt>
                <c:pt idx="7">
                  <c:v>950</c:v>
                </c:pt>
                <c:pt idx="8">
                  <c:v>950</c:v>
                </c:pt>
                <c:pt idx="9">
                  <c:v>950</c:v>
                </c:pt>
                <c:pt idx="10">
                  <c:v>950</c:v>
                </c:pt>
                <c:pt idx="11">
                  <c:v>950</c:v>
                </c:pt>
                <c:pt idx="12">
                  <c:v>950</c:v>
                </c:pt>
                <c:pt idx="13">
                  <c:v>950</c:v>
                </c:pt>
                <c:pt idx="14">
                  <c:v>950</c:v>
                </c:pt>
                <c:pt idx="15">
                  <c:v>950</c:v>
                </c:pt>
                <c:pt idx="16">
                  <c:v>950</c:v>
                </c:pt>
                <c:pt idx="17">
                  <c:v>950</c:v>
                </c:pt>
                <c:pt idx="18">
                  <c:v>950</c:v>
                </c:pt>
                <c:pt idx="19">
                  <c:v>950</c:v>
                </c:pt>
                <c:pt idx="20">
                  <c:v>950</c:v>
                </c:pt>
                <c:pt idx="21">
                  <c:v>950</c:v>
                </c:pt>
                <c:pt idx="22">
                  <c:v>950</c:v>
                </c:pt>
                <c:pt idx="23">
                  <c:v>950</c:v>
                </c:pt>
                <c:pt idx="24">
                  <c:v>950</c:v>
                </c:pt>
                <c:pt idx="25">
                  <c:v>950</c:v>
                </c:pt>
                <c:pt idx="26">
                  <c:v>950</c:v>
                </c:pt>
                <c:pt idx="27">
                  <c:v>950</c:v>
                </c:pt>
                <c:pt idx="28">
                  <c:v>950</c:v>
                </c:pt>
                <c:pt idx="29">
                  <c:v>950</c:v>
                </c:pt>
                <c:pt idx="30">
                  <c:v>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2D-4F8C-BD5B-6C2951668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40480"/>
        <c:axId val="92017408"/>
      </c:lineChart>
      <c:catAx>
        <c:axId val="9154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2017408"/>
        <c:crosses val="autoZero"/>
        <c:auto val="1"/>
        <c:lblAlgn val="ctr"/>
        <c:lblOffset val="100"/>
        <c:noMultiLvlLbl val="0"/>
      </c:catAx>
      <c:valAx>
        <c:axId val="9201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91540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6.6509046961606547E-2"/>
          <c:y val="0.92150127551138461"/>
          <c:w val="0.89363640520544696"/>
          <c:h val="5.9602716327127533E-2"/>
        </c:manualLayout>
      </c:layout>
      <c:overlay val="0"/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span"/>
    <c:showDLblsOverMax val="0"/>
  </c:chart>
  <c:txPr>
    <a:bodyPr/>
    <a:lstStyle/>
    <a:p>
      <a:pPr>
        <a:defRPr sz="18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47625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MS Sans Serif"/>
                </a:rPr>
                <a:t>Изменить статус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3</xdr:col>
          <xdr:colOff>19050</xdr:colOff>
          <xdr:row>2</xdr:row>
          <xdr:rowOff>485775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MS Sans Serif"/>
                </a:rPr>
                <a:t>В план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542925</xdr:rowOff>
        </xdr:from>
        <xdr:to>
          <xdr:col>3</xdr:col>
          <xdr:colOff>4505325</xdr:colOff>
          <xdr:row>5</xdr:row>
          <xdr:rowOff>390525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Наименование очереди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47625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1283073" name="Button 1" hidden="1">
              <a:extLst>
                <a:ext uri="{63B3BB69-23CF-44E3-9099-C40C66FF867C}">
                  <a14:compatExt spid="_x0000_s1283073"/>
                </a:ext>
                <a:ext uri="{FF2B5EF4-FFF2-40B4-BE49-F238E27FC236}">
                  <a16:creationId xmlns:a16="http://schemas.microsoft.com/office/drawing/2014/main" id="{00000000-0008-0000-0100-0000019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MS Sans Serif"/>
                </a:rPr>
                <a:t>Изменить статус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3</xdr:col>
          <xdr:colOff>19050</xdr:colOff>
          <xdr:row>2</xdr:row>
          <xdr:rowOff>485775</xdr:rowOff>
        </xdr:to>
        <xdr:sp macro="" textlink="">
          <xdr:nvSpPr>
            <xdr:cNvPr id="1283074" name="Button 2" hidden="1">
              <a:extLst>
                <a:ext uri="{63B3BB69-23CF-44E3-9099-C40C66FF867C}">
                  <a14:compatExt spid="_x0000_s1283074"/>
                </a:ext>
                <a:ext uri="{FF2B5EF4-FFF2-40B4-BE49-F238E27FC236}">
                  <a16:creationId xmlns:a16="http://schemas.microsoft.com/office/drawing/2014/main" id="{00000000-0008-0000-0100-0000029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MS Sans Serif"/>
                </a:rPr>
                <a:t>В план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542925</xdr:rowOff>
        </xdr:from>
        <xdr:to>
          <xdr:col>3</xdr:col>
          <xdr:colOff>4505325</xdr:colOff>
          <xdr:row>5</xdr:row>
          <xdr:rowOff>390525</xdr:rowOff>
        </xdr:to>
        <xdr:sp macro="" textlink="">
          <xdr:nvSpPr>
            <xdr:cNvPr id="1283075" name="Button 3" hidden="1">
              <a:extLst>
                <a:ext uri="{63B3BB69-23CF-44E3-9099-C40C66FF867C}">
                  <a14:compatExt spid="_x0000_s1283075"/>
                </a:ext>
                <a:ext uri="{FF2B5EF4-FFF2-40B4-BE49-F238E27FC236}">
                  <a16:creationId xmlns:a16="http://schemas.microsoft.com/office/drawing/2014/main" id="{00000000-0008-0000-0100-0000039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Наименование очереди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247651</xdr:colOff>
      <xdr:row>9</xdr:row>
      <xdr:rowOff>563075</xdr:rowOff>
    </xdr:from>
    <xdr:to>
      <xdr:col>13</xdr:col>
      <xdr:colOff>4961401</xdr:colOff>
      <xdr:row>20</xdr:row>
      <xdr:rowOff>70775</xdr:rowOff>
    </xdr:to>
    <xdr:graphicFrame macro="">
      <xdr:nvGraphicFramePr>
        <xdr:cNvPr id="2" name="Диаграмма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283378</xdr:colOff>
      <xdr:row>29</xdr:row>
      <xdr:rowOff>680356</xdr:rowOff>
    </xdr:from>
    <xdr:to>
      <xdr:col>13</xdr:col>
      <xdr:colOff>4997128</xdr:colOff>
      <xdr:row>39</xdr:row>
      <xdr:rowOff>317324</xdr:rowOff>
    </xdr:to>
    <xdr:graphicFrame macro="">
      <xdr:nvGraphicFramePr>
        <xdr:cNvPr id="3" name="Диаграмма 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309996</xdr:colOff>
      <xdr:row>39</xdr:row>
      <xdr:rowOff>547317</xdr:rowOff>
    </xdr:from>
    <xdr:to>
      <xdr:col>13</xdr:col>
      <xdr:colOff>5023746</xdr:colOff>
      <xdr:row>49</xdr:row>
      <xdr:rowOff>169317</xdr:rowOff>
    </xdr:to>
    <xdr:graphicFrame macro="">
      <xdr:nvGraphicFramePr>
        <xdr:cNvPr id="4" name="Диаграмма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245919</xdr:colOff>
      <xdr:row>20</xdr:row>
      <xdr:rowOff>253999</xdr:rowOff>
    </xdr:from>
    <xdr:to>
      <xdr:col>13</xdr:col>
      <xdr:colOff>4959669</xdr:colOff>
      <xdr:row>29</xdr:row>
      <xdr:rowOff>561799</xdr:rowOff>
    </xdr:to>
    <xdr:graphicFrame macro="">
      <xdr:nvGraphicFramePr>
        <xdr:cNvPr id="5" name="Диаграмма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11620500</xdr:colOff>
          <xdr:row>10</xdr:row>
          <xdr:rowOff>0</xdr:rowOff>
        </xdr:from>
        <xdr:to>
          <xdr:col>5</xdr:col>
          <xdr:colOff>0</xdr:colOff>
          <xdr:row>13</xdr:row>
          <xdr:rowOff>19050</xdr:rowOff>
        </xdr:to>
        <xdr:sp macro="" textlink="">
          <xdr:nvSpPr>
            <xdr:cNvPr id="220165" name="Button 5" hidden="1">
              <a:extLst>
                <a:ext uri="{63B3BB69-23CF-44E3-9099-C40C66FF867C}">
                  <a14:compatExt spid="_x0000_s220165"/>
                </a:ext>
                <a:ext uri="{FF2B5EF4-FFF2-40B4-BE49-F238E27FC236}">
                  <a16:creationId xmlns:a16="http://schemas.microsoft.com/office/drawing/2014/main" id="{00000000-0008-0000-0500-000005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запуска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676275</xdr:rowOff>
        </xdr:from>
        <xdr:to>
          <xdr:col>6</xdr:col>
          <xdr:colOff>19050</xdr:colOff>
          <xdr:row>13</xdr:row>
          <xdr:rowOff>19050</xdr:rowOff>
        </xdr:to>
        <xdr:sp macro="" textlink="">
          <xdr:nvSpPr>
            <xdr:cNvPr id="220166" name="Button 6" hidden="1">
              <a:extLst>
                <a:ext uri="{63B3BB69-23CF-44E3-9099-C40C66FF867C}">
                  <a14:compatExt spid="_x0000_s220166"/>
                </a:ext>
                <a:ext uri="{FF2B5EF4-FFF2-40B4-BE49-F238E27FC236}">
                  <a16:creationId xmlns:a16="http://schemas.microsoft.com/office/drawing/2014/main" id="{00000000-0008-0000-0500-000006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выпуска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3</xdr:col>
          <xdr:colOff>0</xdr:colOff>
          <xdr:row>2</xdr:row>
          <xdr:rowOff>19050</xdr:rowOff>
        </xdr:to>
        <xdr:sp macro="" textlink="">
          <xdr:nvSpPr>
            <xdr:cNvPr id="220167" name="Button 7" hidden="1">
              <a:extLst>
                <a:ext uri="{63B3BB69-23CF-44E3-9099-C40C66FF867C}">
                  <a14:compatExt spid="_x0000_s220167"/>
                </a:ext>
                <a:ext uri="{FF2B5EF4-FFF2-40B4-BE49-F238E27FC236}">
                  <a16:creationId xmlns:a16="http://schemas.microsoft.com/office/drawing/2014/main" id="{00000000-0008-0000-0500-000007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Статистика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0.14408</cdr:x>
      <cdr:y>0.32471</cdr:y>
    </cdr:from>
    <cdr:to>
      <cdr:x>0.34846</cdr:x>
      <cdr:y>0.49737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0.14837</cdr:x>
      <cdr:y>0.32903</cdr:y>
    </cdr:from>
    <cdr:to>
      <cdr:x>0.35043</cdr:x>
      <cdr:y>0.49566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0.14837</cdr:x>
      <cdr:y>0.31965</cdr:y>
    </cdr:from>
    <cdr:to>
      <cdr:x>0.35167</cdr:x>
      <cdr:y>0.49497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0.1434</cdr:x>
      <cdr:y>0.30933</cdr:y>
    </cdr:from>
    <cdr:to>
      <cdr:x>0.34648</cdr:x>
      <cdr:y>0.48856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247651</xdr:colOff>
      <xdr:row>9</xdr:row>
      <xdr:rowOff>563075</xdr:rowOff>
    </xdr:from>
    <xdr:to>
      <xdr:col>13</xdr:col>
      <xdr:colOff>4961401</xdr:colOff>
      <xdr:row>20</xdr:row>
      <xdr:rowOff>70775</xdr:rowOff>
    </xdr:to>
    <xdr:graphicFrame macro="">
      <xdr:nvGraphicFramePr>
        <xdr:cNvPr id="2" name="Диаграмма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283378</xdr:colOff>
      <xdr:row>29</xdr:row>
      <xdr:rowOff>680356</xdr:rowOff>
    </xdr:from>
    <xdr:to>
      <xdr:col>13</xdr:col>
      <xdr:colOff>4997128</xdr:colOff>
      <xdr:row>39</xdr:row>
      <xdr:rowOff>317324</xdr:rowOff>
    </xdr:to>
    <xdr:graphicFrame macro="">
      <xdr:nvGraphicFramePr>
        <xdr:cNvPr id="3" name="Диаграмма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309996</xdr:colOff>
      <xdr:row>39</xdr:row>
      <xdr:rowOff>547317</xdr:rowOff>
    </xdr:from>
    <xdr:to>
      <xdr:col>13</xdr:col>
      <xdr:colOff>5023746</xdr:colOff>
      <xdr:row>49</xdr:row>
      <xdr:rowOff>169317</xdr:rowOff>
    </xdr:to>
    <xdr:graphicFrame macro="">
      <xdr:nvGraphicFramePr>
        <xdr:cNvPr id="4" name="Диаграмма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245919</xdr:colOff>
      <xdr:row>20</xdr:row>
      <xdr:rowOff>253999</xdr:rowOff>
    </xdr:from>
    <xdr:to>
      <xdr:col>13</xdr:col>
      <xdr:colOff>4959669</xdr:colOff>
      <xdr:row>29</xdr:row>
      <xdr:rowOff>561799</xdr:rowOff>
    </xdr:to>
    <xdr:graphicFrame macro="">
      <xdr:nvGraphicFramePr>
        <xdr:cNvPr id="5" name="Диаграмма 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11620500</xdr:colOff>
          <xdr:row>10</xdr:row>
          <xdr:rowOff>0</xdr:rowOff>
        </xdr:from>
        <xdr:to>
          <xdr:col>5</xdr:col>
          <xdr:colOff>0</xdr:colOff>
          <xdr:row>13</xdr:row>
          <xdr:rowOff>19050</xdr:rowOff>
        </xdr:to>
        <xdr:sp macro="" textlink="">
          <xdr:nvSpPr>
            <xdr:cNvPr id="1284097" name="Button 1" hidden="1">
              <a:extLst>
                <a:ext uri="{63B3BB69-23CF-44E3-9099-C40C66FF867C}">
                  <a14:compatExt spid="_x0000_s1284097"/>
                </a:ext>
                <a:ext uri="{FF2B5EF4-FFF2-40B4-BE49-F238E27FC236}">
                  <a16:creationId xmlns:a16="http://schemas.microsoft.com/office/drawing/2014/main" id="{00000000-0008-0000-0600-0000019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запуска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676275</xdr:rowOff>
        </xdr:from>
        <xdr:to>
          <xdr:col>6</xdr:col>
          <xdr:colOff>19050</xdr:colOff>
          <xdr:row>13</xdr:row>
          <xdr:rowOff>19050</xdr:rowOff>
        </xdr:to>
        <xdr:sp macro="" textlink="">
          <xdr:nvSpPr>
            <xdr:cNvPr id="1284098" name="Button 2" hidden="1">
              <a:extLst>
                <a:ext uri="{63B3BB69-23CF-44E3-9099-C40C66FF867C}">
                  <a14:compatExt spid="_x0000_s1284098"/>
                </a:ext>
                <a:ext uri="{FF2B5EF4-FFF2-40B4-BE49-F238E27FC236}">
                  <a16:creationId xmlns:a16="http://schemas.microsoft.com/office/drawing/2014/main" id="{00000000-0008-0000-0600-0000029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выпуска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3</xdr:col>
          <xdr:colOff>0</xdr:colOff>
          <xdr:row>2</xdr:row>
          <xdr:rowOff>19050</xdr:rowOff>
        </xdr:to>
        <xdr:sp macro="" textlink="">
          <xdr:nvSpPr>
            <xdr:cNvPr id="1284099" name="Button 3" hidden="1">
              <a:extLst>
                <a:ext uri="{63B3BB69-23CF-44E3-9099-C40C66FF867C}">
                  <a14:compatExt spid="_x0000_s1284099"/>
                </a:ext>
                <a:ext uri="{FF2B5EF4-FFF2-40B4-BE49-F238E27FC236}">
                  <a16:creationId xmlns:a16="http://schemas.microsoft.com/office/drawing/2014/main" id="{00000000-0008-0000-0600-00000398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Статистика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0.14408</cdr:x>
      <cdr:y>0.32471</cdr:y>
    </cdr:from>
    <cdr:to>
      <cdr:x>0.34846</cdr:x>
      <cdr:y>0.49737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0.14837</cdr:x>
      <cdr:y>0.32903</cdr:y>
    </cdr:from>
    <cdr:to>
      <cdr:x>0.35043</cdr:x>
      <cdr:y>0.49566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0.14837</cdr:x>
      <cdr:y>0.31965</cdr:y>
    </cdr:from>
    <cdr:to>
      <cdr:x>0.35167</cdr:x>
      <cdr:y>0.49497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0.1434</cdr:x>
      <cdr:y>0.30933</cdr:y>
    </cdr:from>
    <cdr:to>
      <cdr:x>0.34648</cdr:x>
      <cdr:y>0.48856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4286" y="996426"/>
          <a:ext cx="1302488" cy="5139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  <a:p xmlns:a="http://schemas.openxmlformats.org/drawingml/2006/main">
          <a:endParaRPr lang="ru-RU" sz="1730" b="1" baseline="0">
            <a:solidFill>
              <a:srgbClr val="FF0000"/>
            </a:solidFill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11630025</xdr:colOff>
          <xdr:row>5</xdr:row>
          <xdr:rowOff>0</xdr:rowOff>
        </xdr:from>
        <xdr:to>
          <xdr:col>4</xdr:col>
          <xdr:colOff>1647825</xdr:colOff>
          <xdr:row>7</xdr:row>
          <xdr:rowOff>400050</xdr:rowOff>
        </xdr:to>
        <xdr:sp macro="" textlink="">
          <xdr:nvSpPr>
            <xdr:cNvPr id="1104897" name="Button 1" hidden="1">
              <a:extLst>
                <a:ext uri="{63B3BB69-23CF-44E3-9099-C40C66FF867C}">
                  <a14:compatExt spid="_x0000_s1104897"/>
                </a:ext>
                <a:ext uri="{FF2B5EF4-FFF2-40B4-BE49-F238E27FC236}">
                  <a16:creationId xmlns:a16="http://schemas.microsoft.com/office/drawing/2014/main" id="{00000000-0008-0000-0800-000001D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запуска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676275</xdr:rowOff>
        </xdr:from>
        <xdr:to>
          <xdr:col>6</xdr:col>
          <xdr:colOff>0</xdr:colOff>
          <xdr:row>7</xdr:row>
          <xdr:rowOff>400050</xdr:rowOff>
        </xdr:to>
        <xdr:sp macro="" textlink="">
          <xdr:nvSpPr>
            <xdr:cNvPr id="1104898" name="Button 2" hidden="1">
              <a:extLst>
                <a:ext uri="{63B3BB69-23CF-44E3-9099-C40C66FF867C}">
                  <a14:compatExt spid="_x0000_s1104898"/>
                </a:ext>
                <a:ext uri="{FF2B5EF4-FFF2-40B4-BE49-F238E27FC236}">
                  <a16:creationId xmlns:a16="http://schemas.microsoft.com/office/drawing/2014/main" id="{00000000-0008-0000-0800-000002D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выпуска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11630025</xdr:colOff>
          <xdr:row>5</xdr:row>
          <xdr:rowOff>0</xdr:rowOff>
        </xdr:from>
        <xdr:to>
          <xdr:col>4</xdr:col>
          <xdr:colOff>1647825</xdr:colOff>
          <xdr:row>7</xdr:row>
          <xdr:rowOff>400050</xdr:rowOff>
        </xdr:to>
        <xdr:sp macro="" textlink="">
          <xdr:nvSpPr>
            <xdr:cNvPr id="1276929" name="Button 1" hidden="1">
              <a:extLst>
                <a:ext uri="{63B3BB69-23CF-44E3-9099-C40C66FF867C}">
                  <a14:compatExt spid="_x0000_s1276929"/>
                </a:ext>
                <a:ext uri="{FF2B5EF4-FFF2-40B4-BE49-F238E27FC236}">
                  <a16:creationId xmlns:a16="http://schemas.microsoft.com/office/drawing/2014/main" id="{00000000-0008-0000-0900-0000017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запуска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676275</xdr:rowOff>
        </xdr:from>
        <xdr:to>
          <xdr:col>6</xdr:col>
          <xdr:colOff>0</xdr:colOff>
          <xdr:row>7</xdr:row>
          <xdr:rowOff>400050</xdr:rowOff>
        </xdr:to>
        <xdr:sp macro="" textlink="">
          <xdr:nvSpPr>
            <xdr:cNvPr id="1276930" name="Button 2" hidden="1">
              <a:extLst>
                <a:ext uri="{63B3BB69-23CF-44E3-9099-C40C66FF867C}">
                  <a14:compatExt spid="_x0000_s1276930"/>
                </a:ext>
                <a:ext uri="{FF2B5EF4-FFF2-40B4-BE49-F238E27FC236}">
                  <a16:creationId xmlns:a16="http://schemas.microsoft.com/office/drawing/2014/main" id="{00000000-0008-0000-0900-0000027C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2500" b="1" i="0" u="none" strike="noStrike" baseline="0">
                  <a:solidFill>
                    <a:srgbClr val="000000"/>
                  </a:solidFill>
                  <a:latin typeface="Arial Narrow"/>
                </a:rPr>
                <a:t>Дата выпуска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600075</xdr:colOff>
          <xdr:row>2</xdr:row>
          <xdr:rowOff>9525</xdr:rowOff>
        </xdr:to>
        <xdr:sp macro="" textlink="">
          <xdr:nvSpPr>
            <xdr:cNvPr id="515073" name="Button 1" hidden="1">
              <a:extLst>
                <a:ext uri="{63B3BB69-23CF-44E3-9099-C40C66FF867C}">
                  <a14:compatExt spid="_x0000_s515073"/>
                </a:ext>
                <a:ext uri="{FF2B5EF4-FFF2-40B4-BE49-F238E27FC236}">
                  <a16:creationId xmlns:a16="http://schemas.microsoft.com/office/drawing/2014/main" id="{00000000-0008-0000-0B00-000001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MS Sans Serif"/>
                </a:rPr>
                <a:t>Обзор запасов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9525</xdr:rowOff>
        </xdr:from>
        <xdr:to>
          <xdr:col>4</xdr:col>
          <xdr:colOff>19050</xdr:colOff>
          <xdr:row>2</xdr:row>
          <xdr:rowOff>9525</xdr:rowOff>
        </xdr:to>
        <xdr:sp macro="" textlink="">
          <xdr:nvSpPr>
            <xdr:cNvPr id="515074" name="Button 2" hidden="1">
              <a:extLst>
                <a:ext uri="{63B3BB69-23CF-44E3-9099-C40C66FF867C}">
                  <a14:compatExt spid="_x0000_s515074"/>
                </a:ext>
                <a:ext uri="{FF2B5EF4-FFF2-40B4-BE49-F238E27FC236}">
                  <a16:creationId xmlns:a16="http://schemas.microsoft.com/office/drawing/2014/main" id="{00000000-0008-0000-0B00-000002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MS Sans Serif"/>
                </a:rPr>
                <a:t>В план КНБ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2</xdr:col>
          <xdr:colOff>19050</xdr:colOff>
          <xdr:row>3</xdr:row>
          <xdr:rowOff>0</xdr:rowOff>
        </xdr:to>
        <xdr:sp macro="" textlink="">
          <xdr:nvSpPr>
            <xdr:cNvPr id="2051" name="Config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609600</xdr:colOff>
          <xdr:row>6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1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MS Sans Serif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4"/>
  <dimension ref="A1:AE21"/>
  <sheetViews>
    <sheetView showZeros="0" view="pageBreakPreview" zoomScale="70" zoomScaleNormal="60" zoomScaleSheetLayoutView="70" zoomScalePageLayoutView="7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28" sqref="G28"/>
    </sheetView>
  </sheetViews>
  <sheetFormatPr defaultColWidth="11.42578125" defaultRowHeight="19.5"/>
  <cols>
    <col min="1" max="1" width="7.7109375" style="100" customWidth="1"/>
    <col min="2" max="2" width="11.140625" style="101" customWidth="1"/>
    <col min="3" max="3" width="12.85546875" style="95" customWidth="1"/>
    <col min="4" max="4" width="67.5703125" style="102" customWidth="1"/>
    <col min="5" max="5" width="18.28515625" style="97" customWidth="1"/>
    <col min="6" max="6" width="9.7109375" style="98" customWidth="1"/>
    <col min="7" max="7" width="9.7109375" style="99" customWidth="1"/>
    <col min="8" max="8" width="9.7109375" style="98" customWidth="1"/>
    <col min="9" max="9" width="9.7109375" style="99" customWidth="1"/>
    <col min="10" max="31" width="9.7109375" style="98" customWidth="1"/>
    <col min="32" max="34" width="11.42578125" style="100" customWidth="1"/>
    <col min="35" max="16384" width="11.42578125" style="100"/>
  </cols>
  <sheetData>
    <row r="1" spans="1:31" ht="32.25" customHeight="1">
      <c r="A1" s="94"/>
      <c r="B1" s="95"/>
      <c r="D1" s="96" t="s">
        <v>235</v>
      </c>
    </row>
    <row r="2" spans="1:31" ht="15.75" customHeight="1"/>
    <row r="3" spans="1:31" s="103" customFormat="1" ht="39.75" customHeight="1">
      <c r="A3" s="312" t="s">
        <v>5905</v>
      </c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  <c r="T3" s="312"/>
      <c r="U3" s="312"/>
      <c r="V3" s="312"/>
      <c r="W3" s="312"/>
      <c r="X3" s="312"/>
      <c r="Y3" s="312"/>
      <c r="Z3" s="312"/>
      <c r="AA3" s="312"/>
      <c r="AB3" s="312"/>
      <c r="AC3" s="312"/>
      <c r="AD3" s="312"/>
      <c r="AE3" s="312"/>
    </row>
    <row r="4" spans="1:31" s="103" customFormat="1" ht="42.75" customHeight="1" thickBot="1">
      <c r="A4" s="104"/>
      <c r="B4" s="105" t="s">
        <v>236</v>
      </c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</row>
    <row r="5" spans="1:31" ht="31.5" customHeight="1" thickBot="1">
      <c r="A5" s="313"/>
      <c r="B5" s="311" t="s">
        <v>237</v>
      </c>
      <c r="C5" s="311" t="s">
        <v>238</v>
      </c>
      <c r="D5" s="311" t="s">
        <v>239</v>
      </c>
      <c r="E5" s="310" t="s">
        <v>240</v>
      </c>
      <c r="F5" s="311"/>
      <c r="G5" s="311"/>
      <c r="H5" s="311"/>
      <c r="I5" s="311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1"/>
      <c r="V5" s="311"/>
      <c r="W5" s="311"/>
      <c r="X5" s="311"/>
      <c r="Y5" s="311"/>
      <c r="Z5" s="311"/>
      <c r="AA5" s="311"/>
      <c r="AB5" s="311"/>
      <c r="AC5" s="311"/>
      <c r="AD5" s="311"/>
      <c r="AE5" s="311"/>
    </row>
    <row r="6" spans="1:31" ht="31.5" customHeight="1" thickBot="1">
      <c r="A6" s="314"/>
      <c r="B6" s="311"/>
      <c r="C6" s="315"/>
      <c r="D6" s="315"/>
      <c r="E6" s="106" t="s">
        <v>58</v>
      </c>
      <c r="F6" s="107">
        <v>10101</v>
      </c>
      <c r="G6" s="107">
        <v>10102</v>
      </c>
      <c r="H6" s="107">
        <v>10103</v>
      </c>
      <c r="I6" s="107">
        <v>10104</v>
      </c>
      <c r="J6" s="107">
        <v>10105</v>
      </c>
      <c r="K6" s="107">
        <v>10106</v>
      </c>
      <c r="L6" s="107">
        <v>10109</v>
      </c>
      <c r="M6" s="107">
        <v>10201</v>
      </c>
      <c r="N6" s="107">
        <v>10202</v>
      </c>
      <c r="O6" s="107">
        <v>10203</v>
      </c>
      <c r="P6" s="107">
        <v>10204</v>
      </c>
      <c r="Q6" s="107">
        <v>10205</v>
      </c>
      <c r="R6" s="107">
        <v>10206</v>
      </c>
      <c r="S6" s="107">
        <v>10801</v>
      </c>
      <c r="T6" s="107">
        <v>10802</v>
      </c>
      <c r="U6" s="107">
        <v>10803</v>
      </c>
      <c r="V6" s="107">
        <v>10804</v>
      </c>
      <c r="W6" s="107">
        <v>11101</v>
      </c>
      <c r="X6" s="107">
        <v>11102</v>
      </c>
      <c r="Y6" s="107">
        <v>11103</v>
      </c>
      <c r="Z6" s="107">
        <v>11401</v>
      </c>
      <c r="AA6" s="107">
        <v>11402</v>
      </c>
      <c r="AB6" s="107">
        <v>11403</v>
      </c>
      <c r="AC6" s="107">
        <v>11404</v>
      </c>
      <c r="AD6" s="107">
        <v>11405</v>
      </c>
      <c r="AE6" s="107">
        <v>11406</v>
      </c>
    </row>
    <row r="7" spans="1:31" ht="24.95" customHeight="1">
      <c r="A7" s="321" t="s">
        <v>60</v>
      </c>
      <c r="B7" s="108"/>
      <c r="C7" s="109"/>
      <c r="D7" s="93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</row>
    <row r="8" spans="1:31" ht="24.95" customHeight="1">
      <c r="A8" s="322"/>
      <c r="B8" s="108"/>
      <c r="C8" s="109"/>
      <c r="D8" s="93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</row>
    <row r="9" spans="1:31" ht="24.95" customHeight="1">
      <c r="A9" s="325" t="s">
        <v>241</v>
      </c>
      <c r="B9" s="326"/>
      <c r="C9" s="326"/>
      <c r="D9" s="327"/>
      <c r="E9" s="111">
        <f>SUM(F9:AE9)</f>
        <v>0</v>
      </c>
      <c r="F9" s="111">
        <f>SUM(F7:F8)</f>
        <v>0</v>
      </c>
      <c r="G9" s="111">
        <f t="shared" ref="G9:AE9" si="0">SUM(G7:G8)</f>
        <v>0</v>
      </c>
      <c r="H9" s="111">
        <f t="shared" si="0"/>
        <v>0</v>
      </c>
      <c r="I9" s="111">
        <f t="shared" si="0"/>
        <v>0</v>
      </c>
      <c r="J9" s="111">
        <f t="shared" si="0"/>
        <v>0</v>
      </c>
      <c r="K9" s="111">
        <f t="shared" si="0"/>
        <v>0</v>
      </c>
      <c r="L9" s="111">
        <f t="shared" si="0"/>
        <v>0</v>
      </c>
      <c r="M9" s="111">
        <f t="shared" si="0"/>
        <v>0</v>
      </c>
      <c r="N9" s="111">
        <f t="shared" si="0"/>
        <v>0</v>
      </c>
      <c r="O9" s="111">
        <f t="shared" si="0"/>
        <v>0</v>
      </c>
      <c r="P9" s="111">
        <f t="shared" si="0"/>
        <v>0</v>
      </c>
      <c r="Q9" s="111">
        <f t="shared" si="0"/>
        <v>0</v>
      </c>
      <c r="R9" s="111">
        <f t="shared" si="0"/>
        <v>0</v>
      </c>
      <c r="S9" s="111">
        <f t="shared" si="0"/>
        <v>0</v>
      </c>
      <c r="T9" s="111">
        <f t="shared" si="0"/>
        <v>0</v>
      </c>
      <c r="U9" s="111">
        <f t="shared" si="0"/>
        <v>0</v>
      </c>
      <c r="V9" s="111">
        <f t="shared" si="0"/>
        <v>0</v>
      </c>
      <c r="W9" s="111">
        <f t="shared" si="0"/>
        <v>0</v>
      </c>
      <c r="X9" s="111">
        <f t="shared" si="0"/>
        <v>0</v>
      </c>
      <c r="Y9" s="111">
        <f t="shared" si="0"/>
        <v>0</v>
      </c>
      <c r="Z9" s="111">
        <f t="shared" si="0"/>
        <v>0</v>
      </c>
      <c r="AA9" s="111">
        <f t="shared" si="0"/>
        <v>0</v>
      </c>
      <c r="AB9" s="111">
        <f t="shared" si="0"/>
        <v>0</v>
      </c>
      <c r="AC9" s="111">
        <f t="shared" si="0"/>
        <v>0</v>
      </c>
      <c r="AD9" s="111">
        <f t="shared" si="0"/>
        <v>0</v>
      </c>
      <c r="AE9" s="111">
        <f t="shared" si="0"/>
        <v>0</v>
      </c>
    </row>
    <row r="10" spans="1:31" s="113" customFormat="1" ht="24.95" customHeight="1">
      <c r="A10" s="328" t="s">
        <v>242</v>
      </c>
      <c r="B10" s="318"/>
      <c r="C10" s="318"/>
      <c r="D10" s="319"/>
      <c r="E10" s="112">
        <f>SUM(F10:AE10)</f>
        <v>30658.103000000003</v>
      </c>
      <c r="F10" s="112">
        <v>338.1</v>
      </c>
      <c r="G10" s="112">
        <v>2688.7000000000003</v>
      </c>
      <c r="H10" s="112">
        <v>2660.5250000000001</v>
      </c>
      <c r="I10" s="112">
        <v>2189.6000000000004</v>
      </c>
      <c r="J10" s="112">
        <v>652.69400000000007</v>
      </c>
      <c r="K10" s="112"/>
      <c r="L10" s="112">
        <v>338.1</v>
      </c>
      <c r="M10" s="112"/>
      <c r="N10" s="112">
        <v>676.2</v>
      </c>
      <c r="O10" s="112">
        <v>507.15000000000003</v>
      </c>
      <c r="P10" s="112">
        <v>1521.45</v>
      </c>
      <c r="Q10" s="112">
        <v>4894.4000000000005</v>
      </c>
      <c r="R10" s="112">
        <v>320.71199999999999</v>
      </c>
      <c r="S10" s="112">
        <v>1296.3720000000001</v>
      </c>
      <c r="T10" s="112">
        <v>169.05</v>
      </c>
      <c r="U10" s="112">
        <v>169.05</v>
      </c>
      <c r="V10" s="112">
        <v>320.71199999999999</v>
      </c>
      <c r="W10" s="112">
        <v>2519.65</v>
      </c>
      <c r="X10" s="112">
        <v>1161.7760000000001</v>
      </c>
      <c r="Y10" s="112">
        <v>169.05</v>
      </c>
      <c r="Z10" s="112">
        <v>668.15000000000009</v>
      </c>
      <c r="AA10" s="112">
        <v>1970.6400000000003</v>
      </c>
      <c r="AB10" s="112">
        <v>2952.096</v>
      </c>
      <c r="AC10" s="112">
        <v>1966.7760000000003</v>
      </c>
      <c r="AD10" s="112">
        <v>169.05</v>
      </c>
      <c r="AE10" s="112">
        <v>338.1</v>
      </c>
    </row>
    <row r="11" spans="1:31" s="114" customFormat="1" ht="24.95" customHeight="1" thickBot="1">
      <c r="A11" s="329" t="s">
        <v>243</v>
      </c>
      <c r="B11" s="330"/>
      <c r="C11" s="330"/>
      <c r="D11" s="331"/>
      <c r="E11" s="135">
        <f>E10-E9</f>
        <v>30658.103000000003</v>
      </c>
      <c r="F11" s="135">
        <f t="shared" ref="F11:AE11" si="1">F10-F9</f>
        <v>338.1</v>
      </c>
      <c r="G11" s="135">
        <f t="shared" si="1"/>
        <v>2688.7000000000003</v>
      </c>
      <c r="H11" s="135">
        <f t="shared" si="1"/>
        <v>2660.5250000000001</v>
      </c>
      <c r="I11" s="135">
        <f t="shared" si="1"/>
        <v>2189.6000000000004</v>
      </c>
      <c r="J11" s="135">
        <f t="shared" si="1"/>
        <v>652.69400000000007</v>
      </c>
      <c r="K11" s="135">
        <f t="shared" si="1"/>
        <v>0</v>
      </c>
      <c r="L11" s="135">
        <f t="shared" si="1"/>
        <v>338.1</v>
      </c>
      <c r="M11" s="135">
        <f t="shared" si="1"/>
        <v>0</v>
      </c>
      <c r="N11" s="135">
        <f t="shared" si="1"/>
        <v>676.2</v>
      </c>
      <c r="O11" s="135">
        <f t="shared" si="1"/>
        <v>507.15000000000003</v>
      </c>
      <c r="P11" s="135">
        <f t="shared" si="1"/>
        <v>1521.45</v>
      </c>
      <c r="Q11" s="135">
        <f t="shared" si="1"/>
        <v>4894.4000000000005</v>
      </c>
      <c r="R11" s="135">
        <f t="shared" si="1"/>
        <v>320.71199999999999</v>
      </c>
      <c r="S11" s="135">
        <f t="shared" si="1"/>
        <v>1296.3720000000001</v>
      </c>
      <c r="T11" s="135">
        <f t="shared" si="1"/>
        <v>169.05</v>
      </c>
      <c r="U11" s="135">
        <f t="shared" si="1"/>
        <v>169.05</v>
      </c>
      <c r="V11" s="135">
        <f t="shared" si="1"/>
        <v>320.71199999999999</v>
      </c>
      <c r="W11" s="135">
        <f t="shared" si="1"/>
        <v>2519.65</v>
      </c>
      <c r="X11" s="135">
        <f t="shared" si="1"/>
        <v>1161.7760000000001</v>
      </c>
      <c r="Y11" s="135">
        <f t="shared" si="1"/>
        <v>169.05</v>
      </c>
      <c r="Z11" s="135">
        <f t="shared" si="1"/>
        <v>668.15000000000009</v>
      </c>
      <c r="AA11" s="135">
        <f t="shared" si="1"/>
        <v>1970.6400000000003</v>
      </c>
      <c r="AB11" s="135">
        <f t="shared" si="1"/>
        <v>2952.096</v>
      </c>
      <c r="AC11" s="135">
        <f t="shared" si="1"/>
        <v>1966.7760000000003</v>
      </c>
      <c r="AD11" s="135">
        <f t="shared" si="1"/>
        <v>169.05</v>
      </c>
      <c r="AE11" s="135">
        <f t="shared" si="1"/>
        <v>338.1</v>
      </c>
    </row>
    <row r="12" spans="1:31" s="114" customFormat="1" ht="24.95" customHeight="1">
      <c r="A12" s="115"/>
      <c r="B12" s="115"/>
      <c r="C12" s="115"/>
      <c r="D12" s="115"/>
      <c r="E12" s="116"/>
      <c r="F12" s="117"/>
      <c r="G12" s="118"/>
      <c r="H12" s="117"/>
      <c r="I12" s="118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</row>
    <row r="13" spans="1:31" ht="24.95" customHeight="1" thickBot="1">
      <c r="B13" s="105" t="s">
        <v>244</v>
      </c>
      <c r="E13" s="98"/>
      <c r="G13" s="119"/>
      <c r="I13" s="119"/>
      <c r="AE13" s="120"/>
    </row>
    <row r="14" spans="1:31" ht="24.95" customHeight="1" thickBot="1">
      <c r="A14" s="313"/>
      <c r="B14" s="311" t="s">
        <v>237</v>
      </c>
      <c r="C14" s="311" t="s">
        <v>238</v>
      </c>
      <c r="D14" s="311" t="s">
        <v>239</v>
      </c>
      <c r="E14" s="310" t="s">
        <v>240</v>
      </c>
      <c r="F14" s="3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1"/>
      <c r="S14" s="311"/>
      <c r="T14" s="311"/>
      <c r="U14" s="311"/>
      <c r="V14" s="311"/>
      <c r="W14" s="311"/>
      <c r="X14" s="311"/>
      <c r="Y14" s="311"/>
      <c r="Z14" s="311"/>
      <c r="AA14" s="311"/>
      <c r="AB14" s="311"/>
      <c r="AC14" s="311"/>
      <c r="AD14" s="311"/>
      <c r="AE14" s="311"/>
    </row>
    <row r="15" spans="1:31" ht="24.95" customHeight="1">
      <c r="A15" s="332"/>
      <c r="B15" s="315"/>
      <c r="C15" s="315"/>
      <c r="D15" s="315"/>
      <c r="E15" s="121" t="s">
        <v>58</v>
      </c>
      <c r="F15" s="107">
        <v>10101</v>
      </c>
      <c r="G15" s="107">
        <v>10102</v>
      </c>
      <c r="H15" s="107">
        <v>10103</v>
      </c>
      <c r="I15" s="107">
        <v>10104</v>
      </c>
      <c r="J15" s="107">
        <v>10105</v>
      </c>
      <c r="K15" s="107">
        <v>10106</v>
      </c>
      <c r="L15" s="107">
        <v>10109</v>
      </c>
      <c r="M15" s="107">
        <v>10201</v>
      </c>
      <c r="N15" s="107">
        <v>10202</v>
      </c>
      <c r="O15" s="107">
        <v>10203</v>
      </c>
      <c r="P15" s="107">
        <v>10204</v>
      </c>
      <c r="Q15" s="107">
        <v>10205</v>
      </c>
      <c r="R15" s="107">
        <v>10206</v>
      </c>
      <c r="S15" s="107">
        <v>10801</v>
      </c>
      <c r="T15" s="107">
        <v>10802</v>
      </c>
      <c r="U15" s="107">
        <v>10803</v>
      </c>
      <c r="V15" s="107">
        <v>10804</v>
      </c>
      <c r="W15" s="107">
        <v>11101</v>
      </c>
      <c r="X15" s="107">
        <v>11102</v>
      </c>
      <c r="Y15" s="107">
        <v>11103</v>
      </c>
      <c r="Z15" s="107">
        <v>11401</v>
      </c>
      <c r="AA15" s="107">
        <v>11402</v>
      </c>
      <c r="AB15" s="107">
        <v>11403</v>
      </c>
      <c r="AC15" s="107">
        <v>11404</v>
      </c>
      <c r="AD15" s="107">
        <v>11405</v>
      </c>
      <c r="AE15" s="107">
        <v>11406</v>
      </c>
    </row>
    <row r="16" spans="1:31" s="123" customFormat="1" ht="24.95" customHeight="1">
      <c r="A16" s="323" t="s">
        <v>59</v>
      </c>
      <c r="B16" s="122"/>
      <c r="C16" s="110"/>
      <c r="D16" s="93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</row>
    <row r="17" spans="1:31" s="123" customFormat="1" ht="24.95" customHeight="1">
      <c r="A17" s="324"/>
      <c r="B17" s="122"/>
      <c r="C17" s="110"/>
      <c r="D17" s="93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</row>
    <row r="18" spans="1:31" s="126" customFormat="1" ht="24.95" customHeight="1">
      <c r="A18" s="124"/>
      <c r="B18" s="316" t="s">
        <v>245</v>
      </c>
      <c r="C18" s="316"/>
      <c r="D18" s="316"/>
      <c r="E18" s="125">
        <f>SUM(F18:AE18)</f>
        <v>0</v>
      </c>
      <c r="F18" s="125">
        <f>SUM(F16:F17)</f>
        <v>0</v>
      </c>
      <c r="G18" s="125">
        <f t="shared" ref="G18:AE18" si="2">SUM(G16:G17)</f>
        <v>0</v>
      </c>
      <c r="H18" s="125">
        <f t="shared" si="2"/>
        <v>0</v>
      </c>
      <c r="I18" s="125">
        <f t="shared" si="2"/>
        <v>0</v>
      </c>
      <c r="J18" s="125">
        <f t="shared" si="2"/>
        <v>0</v>
      </c>
      <c r="K18" s="125">
        <f t="shared" si="2"/>
        <v>0</v>
      </c>
      <c r="L18" s="125">
        <f t="shared" si="2"/>
        <v>0</v>
      </c>
      <c r="M18" s="125">
        <f t="shared" si="2"/>
        <v>0</v>
      </c>
      <c r="N18" s="125">
        <f t="shared" si="2"/>
        <v>0</v>
      </c>
      <c r="O18" s="125">
        <f t="shared" si="2"/>
        <v>0</v>
      </c>
      <c r="P18" s="125">
        <f t="shared" si="2"/>
        <v>0</v>
      </c>
      <c r="Q18" s="125">
        <f t="shared" si="2"/>
        <v>0</v>
      </c>
      <c r="R18" s="125">
        <f t="shared" si="2"/>
        <v>0</v>
      </c>
      <c r="S18" s="125">
        <f t="shared" si="2"/>
        <v>0</v>
      </c>
      <c r="T18" s="125">
        <f t="shared" si="2"/>
        <v>0</v>
      </c>
      <c r="U18" s="125">
        <f t="shared" si="2"/>
        <v>0</v>
      </c>
      <c r="V18" s="125">
        <f t="shared" si="2"/>
        <v>0</v>
      </c>
      <c r="W18" s="125">
        <f t="shared" si="2"/>
        <v>0</v>
      </c>
      <c r="X18" s="125">
        <f t="shared" si="2"/>
        <v>0</v>
      </c>
      <c r="Y18" s="125">
        <f t="shared" si="2"/>
        <v>0</v>
      </c>
      <c r="Z18" s="125">
        <f t="shared" si="2"/>
        <v>0</v>
      </c>
      <c r="AA18" s="125">
        <f t="shared" si="2"/>
        <v>0</v>
      </c>
      <c r="AB18" s="125">
        <f t="shared" si="2"/>
        <v>0</v>
      </c>
      <c r="AC18" s="125">
        <f t="shared" si="2"/>
        <v>0</v>
      </c>
      <c r="AD18" s="125">
        <f t="shared" si="2"/>
        <v>0</v>
      </c>
      <c r="AE18" s="125">
        <f t="shared" si="2"/>
        <v>0</v>
      </c>
    </row>
    <row r="19" spans="1:31" s="128" customFormat="1" ht="24.95" customHeight="1">
      <c r="A19" s="127"/>
      <c r="B19" s="317" t="s">
        <v>246</v>
      </c>
      <c r="C19" s="317"/>
      <c r="D19" s="317"/>
      <c r="E19" s="125">
        <f t="shared" ref="E19:AE19" si="3">E18+E9</f>
        <v>0</v>
      </c>
      <c r="F19" s="125">
        <f t="shared" si="3"/>
        <v>0</v>
      </c>
      <c r="G19" s="125">
        <f t="shared" si="3"/>
        <v>0</v>
      </c>
      <c r="H19" s="125">
        <f t="shared" si="3"/>
        <v>0</v>
      </c>
      <c r="I19" s="125">
        <f t="shared" si="3"/>
        <v>0</v>
      </c>
      <c r="J19" s="125">
        <f t="shared" si="3"/>
        <v>0</v>
      </c>
      <c r="K19" s="125">
        <f t="shared" si="3"/>
        <v>0</v>
      </c>
      <c r="L19" s="125">
        <f t="shared" si="3"/>
        <v>0</v>
      </c>
      <c r="M19" s="125">
        <f t="shared" si="3"/>
        <v>0</v>
      </c>
      <c r="N19" s="125">
        <f t="shared" si="3"/>
        <v>0</v>
      </c>
      <c r="O19" s="125">
        <f t="shared" si="3"/>
        <v>0</v>
      </c>
      <c r="P19" s="125">
        <f t="shared" si="3"/>
        <v>0</v>
      </c>
      <c r="Q19" s="125">
        <f t="shared" si="3"/>
        <v>0</v>
      </c>
      <c r="R19" s="125">
        <f t="shared" si="3"/>
        <v>0</v>
      </c>
      <c r="S19" s="125">
        <f t="shared" si="3"/>
        <v>0</v>
      </c>
      <c r="T19" s="125">
        <f t="shared" si="3"/>
        <v>0</v>
      </c>
      <c r="U19" s="125">
        <f t="shared" si="3"/>
        <v>0</v>
      </c>
      <c r="V19" s="125">
        <f t="shared" si="3"/>
        <v>0</v>
      </c>
      <c r="W19" s="125">
        <f t="shared" si="3"/>
        <v>0</v>
      </c>
      <c r="X19" s="125">
        <f t="shared" si="3"/>
        <v>0</v>
      </c>
      <c r="Y19" s="125">
        <f t="shared" si="3"/>
        <v>0</v>
      </c>
      <c r="Z19" s="125">
        <f t="shared" si="3"/>
        <v>0</v>
      </c>
      <c r="AA19" s="125">
        <f t="shared" si="3"/>
        <v>0</v>
      </c>
      <c r="AB19" s="125">
        <f t="shared" si="3"/>
        <v>0</v>
      </c>
      <c r="AC19" s="125">
        <f t="shared" si="3"/>
        <v>0</v>
      </c>
      <c r="AD19" s="125">
        <f t="shared" si="3"/>
        <v>0</v>
      </c>
      <c r="AE19" s="125">
        <f t="shared" si="3"/>
        <v>0</v>
      </c>
    </row>
    <row r="20" spans="1:31" s="128" customFormat="1" ht="24.95" customHeight="1">
      <c r="A20" s="129"/>
      <c r="B20" s="318" t="s">
        <v>242</v>
      </c>
      <c r="C20" s="318"/>
      <c r="D20" s="319"/>
      <c r="E20" s="112">
        <f>SUM(F20:AE20)</f>
        <v>30658.103000000003</v>
      </c>
      <c r="F20" s="112">
        <f t="shared" ref="F20:AE20" si="4">F10</f>
        <v>338.1</v>
      </c>
      <c r="G20" s="112">
        <f t="shared" si="4"/>
        <v>2688.7000000000003</v>
      </c>
      <c r="H20" s="112">
        <f t="shared" si="4"/>
        <v>2660.5250000000001</v>
      </c>
      <c r="I20" s="112">
        <f t="shared" si="4"/>
        <v>2189.6000000000004</v>
      </c>
      <c r="J20" s="112">
        <f t="shared" si="4"/>
        <v>652.69400000000007</v>
      </c>
      <c r="K20" s="112">
        <f t="shared" si="4"/>
        <v>0</v>
      </c>
      <c r="L20" s="112">
        <f t="shared" si="4"/>
        <v>338.1</v>
      </c>
      <c r="M20" s="112">
        <f t="shared" si="4"/>
        <v>0</v>
      </c>
      <c r="N20" s="112">
        <f t="shared" si="4"/>
        <v>676.2</v>
      </c>
      <c r="O20" s="112">
        <f t="shared" si="4"/>
        <v>507.15000000000003</v>
      </c>
      <c r="P20" s="112">
        <f t="shared" si="4"/>
        <v>1521.45</v>
      </c>
      <c r="Q20" s="112">
        <f t="shared" si="4"/>
        <v>4894.4000000000005</v>
      </c>
      <c r="R20" s="112">
        <f t="shared" si="4"/>
        <v>320.71199999999999</v>
      </c>
      <c r="S20" s="112">
        <f t="shared" si="4"/>
        <v>1296.3720000000001</v>
      </c>
      <c r="T20" s="112">
        <f t="shared" si="4"/>
        <v>169.05</v>
      </c>
      <c r="U20" s="112">
        <f t="shared" si="4"/>
        <v>169.05</v>
      </c>
      <c r="V20" s="112">
        <f t="shared" si="4"/>
        <v>320.71199999999999</v>
      </c>
      <c r="W20" s="112">
        <f t="shared" si="4"/>
        <v>2519.65</v>
      </c>
      <c r="X20" s="112">
        <f t="shared" si="4"/>
        <v>1161.7760000000001</v>
      </c>
      <c r="Y20" s="112">
        <f t="shared" si="4"/>
        <v>169.05</v>
      </c>
      <c r="Z20" s="112">
        <f t="shared" si="4"/>
        <v>668.15000000000009</v>
      </c>
      <c r="AA20" s="112">
        <f t="shared" si="4"/>
        <v>1970.6400000000003</v>
      </c>
      <c r="AB20" s="112">
        <f t="shared" si="4"/>
        <v>2952.096</v>
      </c>
      <c r="AC20" s="112">
        <f t="shared" si="4"/>
        <v>1966.7760000000003</v>
      </c>
      <c r="AD20" s="112">
        <f t="shared" si="4"/>
        <v>169.05</v>
      </c>
      <c r="AE20" s="112">
        <f t="shared" si="4"/>
        <v>338.1</v>
      </c>
    </row>
    <row r="21" spans="1:31" s="128" customFormat="1" ht="24.95" customHeight="1">
      <c r="A21" s="130" t="s">
        <v>31</v>
      </c>
      <c r="B21" s="320" t="s">
        <v>243</v>
      </c>
      <c r="C21" s="320"/>
      <c r="D21" s="320"/>
      <c r="E21" s="136">
        <f>E20-E19</f>
        <v>30658.103000000003</v>
      </c>
      <c r="F21" s="136">
        <f t="shared" ref="F21:AE21" si="5">F20-F19</f>
        <v>338.1</v>
      </c>
      <c r="G21" s="136">
        <f t="shared" si="5"/>
        <v>2688.7000000000003</v>
      </c>
      <c r="H21" s="136">
        <f t="shared" si="5"/>
        <v>2660.5250000000001</v>
      </c>
      <c r="I21" s="136">
        <f t="shared" si="5"/>
        <v>2189.6000000000004</v>
      </c>
      <c r="J21" s="136">
        <f t="shared" si="5"/>
        <v>652.69400000000007</v>
      </c>
      <c r="K21" s="136">
        <f t="shared" si="5"/>
        <v>0</v>
      </c>
      <c r="L21" s="136">
        <f t="shared" si="5"/>
        <v>338.1</v>
      </c>
      <c r="M21" s="136">
        <f t="shared" si="5"/>
        <v>0</v>
      </c>
      <c r="N21" s="136">
        <f t="shared" si="5"/>
        <v>676.2</v>
      </c>
      <c r="O21" s="136">
        <f t="shared" si="5"/>
        <v>507.15000000000003</v>
      </c>
      <c r="P21" s="136">
        <f t="shared" si="5"/>
        <v>1521.45</v>
      </c>
      <c r="Q21" s="136">
        <f t="shared" si="5"/>
        <v>4894.4000000000005</v>
      </c>
      <c r="R21" s="136">
        <f t="shared" si="5"/>
        <v>320.71199999999999</v>
      </c>
      <c r="S21" s="136">
        <f t="shared" si="5"/>
        <v>1296.3720000000001</v>
      </c>
      <c r="T21" s="136">
        <f t="shared" si="5"/>
        <v>169.05</v>
      </c>
      <c r="U21" s="136">
        <f t="shared" si="5"/>
        <v>169.05</v>
      </c>
      <c r="V21" s="136">
        <f t="shared" si="5"/>
        <v>320.71199999999999</v>
      </c>
      <c r="W21" s="136">
        <f t="shared" si="5"/>
        <v>2519.65</v>
      </c>
      <c r="X21" s="136">
        <f t="shared" si="5"/>
        <v>1161.7760000000001</v>
      </c>
      <c r="Y21" s="136">
        <f t="shared" si="5"/>
        <v>169.05</v>
      </c>
      <c r="Z21" s="136">
        <f t="shared" si="5"/>
        <v>668.15000000000009</v>
      </c>
      <c r="AA21" s="136">
        <f t="shared" si="5"/>
        <v>1970.6400000000003</v>
      </c>
      <c r="AB21" s="136">
        <f>AB20-AB19</f>
        <v>2952.096</v>
      </c>
      <c r="AC21" s="136">
        <f>AC20-AC19</f>
        <v>1966.7760000000003</v>
      </c>
      <c r="AD21" s="136">
        <f t="shared" si="5"/>
        <v>169.05</v>
      </c>
      <c r="AE21" s="136">
        <f t="shared" si="5"/>
        <v>338.1</v>
      </c>
    </row>
  </sheetData>
  <mergeCells count="20">
    <mergeCell ref="B18:D18"/>
    <mergeCell ref="B19:D19"/>
    <mergeCell ref="B20:D20"/>
    <mergeCell ref="B21:D21"/>
    <mergeCell ref="A7:A8"/>
    <mergeCell ref="A16:A17"/>
    <mergeCell ref="A9:D9"/>
    <mergeCell ref="A10:D10"/>
    <mergeCell ref="A11:D11"/>
    <mergeCell ref="A14:A15"/>
    <mergeCell ref="B14:B15"/>
    <mergeCell ref="C14:C15"/>
    <mergeCell ref="D14:D15"/>
    <mergeCell ref="E14:AE14"/>
    <mergeCell ref="A3:AE3"/>
    <mergeCell ref="A5:A6"/>
    <mergeCell ref="B5:B6"/>
    <mergeCell ref="C5:C6"/>
    <mergeCell ref="D5:D6"/>
    <mergeCell ref="E5:AE5"/>
  </mergeCells>
  <printOptions horizontalCentered="1"/>
  <pageMargins left="0" right="0" top="0" bottom="0" header="0" footer="0"/>
  <pageSetup paperSize="8" scale="39" fitToHeight="2" orientation="landscape" r:id="rId1"/>
  <headerFooter alignWithMargins="0"/>
  <ignoredErrors>
    <ignoredError sqref="F9:AE9 F18:AE18" formulaRange="1"/>
    <ignoredError sqref="E1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TaskStatus">
                <anchor moveWithCells="1" sizeWithCells="1"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3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lanSheet.paintSheet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3</xdr:col>
                    <xdr:colOff>19050</xdr:colOff>
                    <xdr:row>2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imingSheet.paintSheet_showTaskPriority">
                <anchor moveWithCells="1" sizeWithCells="1">
                  <from>
                    <xdr:col>3</xdr:col>
                    <xdr:colOff>9525</xdr:colOff>
                    <xdr:row>3</xdr:row>
                    <xdr:rowOff>542925</xdr:rowOff>
                  </from>
                  <to>
                    <xdr:col>3</xdr:col>
                    <xdr:colOff>4505325</xdr:colOff>
                    <xdr:row>5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5"/>
  <dimension ref="A1:AE260"/>
  <sheetViews>
    <sheetView showZeros="0" view="pageBreakPreview" zoomScale="70" zoomScaleNormal="60" zoomScaleSheetLayoutView="70" zoomScalePageLayoutView="7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6" sqref="D16"/>
    </sheetView>
  </sheetViews>
  <sheetFormatPr defaultColWidth="11.42578125" defaultRowHeight="19.5"/>
  <cols>
    <col min="1" max="1" width="7.7109375" style="100" customWidth="1"/>
    <col min="2" max="2" width="11.140625" style="101" customWidth="1"/>
    <col min="3" max="3" width="12.85546875" style="95" customWidth="1"/>
    <col min="4" max="4" width="67.5703125" style="102" customWidth="1"/>
    <col min="5" max="5" width="18.28515625" style="97" customWidth="1"/>
    <col min="6" max="6" width="9.7109375" style="98" customWidth="1"/>
    <col min="7" max="7" width="9.7109375" style="99" customWidth="1"/>
    <col min="8" max="8" width="9.7109375" style="98" customWidth="1"/>
    <col min="9" max="9" width="9.7109375" style="99" customWidth="1"/>
    <col min="10" max="31" width="9.7109375" style="98" customWidth="1"/>
    <col min="32" max="33" width="11.42578125" style="100" customWidth="1"/>
    <col min="34" max="16384" width="11.42578125" style="100"/>
  </cols>
  <sheetData>
    <row r="1" spans="1:31" ht="32.25" customHeight="1">
      <c r="A1" s="94"/>
      <c r="B1" s="95"/>
      <c r="D1" s="96" t="s">
        <v>235</v>
      </c>
    </row>
    <row r="2" spans="1:31" ht="15.75" customHeight="1"/>
    <row r="3" spans="1:31" s="103" customFormat="1" ht="39.75" customHeight="1">
      <c r="A3" s="312" t="s">
        <v>5905</v>
      </c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  <c r="T3" s="312"/>
      <c r="U3" s="312"/>
      <c r="V3" s="312"/>
      <c r="W3" s="312"/>
      <c r="X3" s="312"/>
      <c r="Y3" s="312"/>
      <c r="Z3" s="312"/>
      <c r="AA3" s="312"/>
      <c r="AB3" s="312"/>
      <c r="AC3" s="312"/>
      <c r="AD3" s="312"/>
      <c r="AE3" s="312"/>
    </row>
    <row r="4" spans="1:31" s="103" customFormat="1" ht="42.75" customHeight="1" thickBot="1">
      <c r="A4" s="303"/>
      <c r="B4" s="105" t="s">
        <v>236</v>
      </c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</row>
    <row r="5" spans="1:31" ht="31.5" customHeight="1" thickBot="1">
      <c r="A5" s="313"/>
      <c r="B5" s="311" t="s">
        <v>237</v>
      </c>
      <c r="C5" s="311" t="s">
        <v>238</v>
      </c>
      <c r="D5" s="311" t="s">
        <v>239</v>
      </c>
      <c r="E5" s="310" t="s">
        <v>240</v>
      </c>
      <c r="F5" s="311"/>
      <c r="G5" s="311"/>
      <c r="H5" s="311"/>
      <c r="I5" s="311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1"/>
      <c r="V5" s="311"/>
      <c r="W5" s="311"/>
      <c r="X5" s="311"/>
      <c r="Y5" s="311"/>
      <c r="Z5" s="311"/>
      <c r="AA5" s="311"/>
      <c r="AB5" s="311"/>
      <c r="AC5" s="311"/>
      <c r="AD5" s="311"/>
      <c r="AE5" s="311"/>
    </row>
    <row r="6" spans="1:31" ht="31.5" customHeight="1" thickBot="1">
      <c r="A6" s="314"/>
      <c r="B6" s="311"/>
      <c r="C6" s="315"/>
      <c r="D6" s="315"/>
      <c r="E6" s="106" t="s">
        <v>58</v>
      </c>
      <c r="F6" s="107">
        <v>10101</v>
      </c>
      <c r="G6" s="107">
        <v>10102</v>
      </c>
      <c r="H6" s="107">
        <v>10103</v>
      </c>
      <c r="I6" s="107">
        <v>10104</v>
      </c>
      <c r="J6" s="107">
        <v>10105</v>
      </c>
      <c r="K6" s="107">
        <v>10106</v>
      </c>
      <c r="L6" s="107">
        <v>10109</v>
      </c>
      <c r="M6" s="107">
        <v>10201</v>
      </c>
      <c r="N6" s="107">
        <v>10202</v>
      </c>
      <c r="O6" s="107">
        <v>10203</v>
      </c>
      <c r="P6" s="107">
        <v>10204</v>
      </c>
      <c r="Q6" s="107">
        <v>10205</v>
      </c>
      <c r="R6" s="107">
        <v>10206</v>
      </c>
      <c r="S6" s="107">
        <v>10801</v>
      </c>
      <c r="T6" s="107">
        <v>10802</v>
      </c>
      <c r="U6" s="107">
        <v>10803</v>
      </c>
      <c r="V6" s="107">
        <v>10804</v>
      </c>
      <c r="W6" s="107">
        <v>11101</v>
      </c>
      <c r="X6" s="107">
        <v>11102</v>
      </c>
      <c r="Y6" s="107">
        <v>11103</v>
      </c>
      <c r="Z6" s="107">
        <v>11401</v>
      </c>
      <c r="AA6" s="107">
        <v>11402</v>
      </c>
      <c r="AB6" s="107">
        <v>11403</v>
      </c>
      <c r="AC6" s="107">
        <v>11404</v>
      </c>
      <c r="AD6" s="107">
        <v>11405</v>
      </c>
      <c r="AE6" s="107">
        <v>11406</v>
      </c>
    </row>
    <row r="7" spans="1:31" ht="24.95" customHeight="1">
      <c r="A7" s="321" t="s">
        <v>60</v>
      </c>
      <c r="B7" s="108">
        <v>1</v>
      </c>
      <c r="C7" s="109">
        <v>1</v>
      </c>
      <c r="D7" s="93" t="s">
        <v>22</v>
      </c>
      <c r="E7" s="92">
        <v>7106</v>
      </c>
      <c r="F7" s="92">
        <v>69</v>
      </c>
      <c r="G7" s="92">
        <v>733</v>
      </c>
      <c r="H7" s="92">
        <v>720</v>
      </c>
      <c r="I7" s="92">
        <v>1031</v>
      </c>
      <c r="J7" s="92">
        <v>21</v>
      </c>
      <c r="K7" s="92">
        <v>0</v>
      </c>
      <c r="L7" s="92">
        <v>0</v>
      </c>
      <c r="M7" s="92">
        <v>0</v>
      </c>
      <c r="N7" s="92">
        <v>81</v>
      </c>
      <c r="O7" s="92">
        <v>175</v>
      </c>
      <c r="P7" s="92">
        <v>0</v>
      </c>
      <c r="Q7" s="92">
        <v>644</v>
      </c>
      <c r="R7" s="92">
        <v>15</v>
      </c>
      <c r="S7" s="92">
        <v>10</v>
      </c>
      <c r="T7" s="92">
        <v>0</v>
      </c>
      <c r="U7" s="92">
        <v>0</v>
      </c>
      <c r="V7" s="92">
        <v>0</v>
      </c>
      <c r="W7" s="92">
        <v>589</v>
      </c>
      <c r="X7" s="92">
        <v>0</v>
      </c>
      <c r="Y7" s="92">
        <v>48</v>
      </c>
      <c r="Z7" s="92">
        <v>35</v>
      </c>
      <c r="AA7" s="92">
        <v>839</v>
      </c>
      <c r="AB7" s="92">
        <v>118</v>
      </c>
      <c r="AC7" s="92">
        <v>1975</v>
      </c>
      <c r="AD7" s="92">
        <v>0</v>
      </c>
      <c r="AE7" s="92">
        <v>3</v>
      </c>
    </row>
    <row r="8" spans="1:31" ht="24.95" customHeight="1">
      <c r="A8" s="322"/>
      <c r="B8" s="108">
        <v>2</v>
      </c>
      <c r="C8" s="109">
        <v>2</v>
      </c>
      <c r="D8" s="93" t="s">
        <v>5419</v>
      </c>
      <c r="E8" s="92">
        <v>42</v>
      </c>
      <c r="F8" s="92">
        <v>0</v>
      </c>
      <c r="G8" s="92">
        <v>7</v>
      </c>
      <c r="H8" s="92">
        <v>1</v>
      </c>
      <c r="I8" s="92">
        <v>13</v>
      </c>
      <c r="J8" s="92">
        <v>0</v>
      </c>
      <c r="K8" s="92">
        <v>0</v>
      </c>
      <c r="L8" s="92">
        <v>0</v>
      </c>
      <c r="M8" s="92">
        <v>0</v>
      </c>
      <c r="N8" s="92">
        <v>1</v>
      </c>
      <c r="O8" s="92">
        <v>1</v>
      </c>
      <c r="P8" s="92">
        <v>2</v>
      </c>
      <c r="Q8" s="92">
        <v>7</v>
      </c>
      <c r="R8" s="92">
        <v>1</v>
      </c>
      <c r="S8" s="92">
        <v>1</v>
      </c>
      <c r="T8" s="92">
        <v>0</v>
      </c>
      <c r="U8" s="92">
        <v>0</v>
      </c>
      <c r="V8" s="92">
        <v>2</v>
      </c>
      <c r="W8" s="92">
        <v>0</v>
      </c>
      <c r="X8" s="92">
        <v>0</v>
      </c>
      <c r="Y8" s="92">
        <v>0</v>
      </c>
      <c r="Z8" s="92">
        <v>0</v>
      </c>
      <c r="AA8" s="92">
        <v>0</v>
      </c>
      <c r="AB8" s="92">
        <v>6</v>
      </c>
      <c r="AC8" s="92">
        <v>0</v>
      </c>
      <c r="AD8" s="92">
        <v>0</v>
      </c>
      <c r="AE8" s="92">
        <v>0</v>
      </c>
    </row>
    <row r="9" spans="1:31" ht="24.95" customHeight="1">
      <c r="A9" s="322"/>
      <c r="B9" s="108">
        <v>3</v>
      </c>
      <c r="C9" s="109">
        <v>3</v>
      </c>
      <c r="D9" s="93" t="s">
        <v>33</v>
      </c>
      <c r="E9" s="92">
        <v>0</v>
      </c>
      <c r="F9" s="92">
        <v>0</v>
      </c>
      <c r="G9" s="92">
        <v>0</v>
      </c>
      <c r="H9" s="92">
        <v>0</v>
      </c>
      <c r="I9" s="92">
        <v>0</v>
      </c>
      <c r="J9" s="92">
        <v>0</v>
      </c>
      <c r="K9" s="92">
        <v>0</v>
      </c>
      <c r="L9" s="92">
        <v>0</v>
      </c>
      <c r="M9" s="92">
        <v>0</v>
      </c>
      <c r="N9" s="92">
        <v>0</v>
      </c>
      <c r="O9" s="92">
        <v>0</v>
      </c>
      <c r="P9" s="92">
        <v>0</v>
      </c>
      <c r="Q9" s="92">
        <v>0</v>
      </c>
      <c r="R9" s="92">
        <v>0</v>
      </c>
      <c r="S9" s="92">
        <v>0</v>
      </c>
      <c r="T9" s="92">
        <v>0</v>
      </c>
      <c r="U9" s="92">
        <v>0</v>
      </c>
      <c r="V9" s="92">
        <v>0</v>
      </c>
      <c r="W9" s="92">
        <v>0</v>
      </c>
      <c r="X9" s="92">
        <v>0</v>
      </c>
      <c r="Y9" s="92">
        <v>0</v>
      </c>
      <c r="Z9" s="92">
        <v>0</v>
      </c>
      <c r="AA9" s="92">
        <v>0</v>
      </c>
      <c r="AB9" s="92">
        <v>0</v>
      </c>
      <c r="AC9" s="92">
        <v>0</v>
      </c>
      <c r="AD9" s="92">
        <v>0</v>
      </c>
      <c r="AE9" s="92">
        <v>0</v>
      </c>
    </row>
    <row r="10" spans="1:31" ht="24.95" customHeight="1">
      <c r="A10" s="322"/>
      <c r="B10" s="108">
        <v>4</v>
      </c>
      <c r="C10" s="109">
        <v>4</v>
      </c>
      <c r="D10" s="93" t="s">
        <v>17</v>
      </c>
      <c r="E10" s="92">
        <v>443</v>
      </c>
      <c r="F10" s="92">
        <v>5</v>
      </c>
      <c r="G10" s="92">
        <v>10</v>
      </c>
      <c r="H10" s="92">
        <v>31</v>
      </c>
      <c r="I10" s="92">
        <v>46</v>
      </c>
      <c r="J10" s="92">
        <v>4</v>
      </c>
      <c r="K10" s="92">
        <v>0</v>
      </c>
      <c r="L10" s="92">
        <v>14</v>
      </c>
      <c r="M10" s="92">
        <v>0</v>
      </c>
      <c r="N10" s="92">
        <v>2</v>
      </c>
      <c r="O10" s="92">
        <v>1</v>
      </c>
      <c r="P10" s="92">
        <v>25</v>
      </c>
      <c r="Q10" s="92">
        <v>71</v>
      </c>
      <c r="R10" s="92">
        <v>4</v>
      </c>
      <c r="S10" s="92">
        <v>5</v>
      </c>
      <c r="T10" s="92">
        <v>0</v>
      </c>
      <c r="U10" s="92">
        <v>4</v>
      </c>
      <c r="V10" s="92">
        <v>0</v>
      </c>
      <c r="W10" s="92">
        <v>16</v>
      </c>
      <c r="X10" s="92">
        <v>25</v>
      </c>
      <c r="Y10" s="92">
        <v>0</v>
      </c>
      <c r="Z10" s="92">
        <v>2</v>
      </c>
      <c r="AA10" s="92">
        <v>8</v>
      </c>
      <c r="AB10" s="92">
        <v>170</v>
      </c>
      <c r="AC10" s="92">
        <v>0</v>
      </c>
      <c r="AD10" s="92">
        <v>0</v>
      </c>
      <c r="AE10" s="92">
        <v>0</v>
      </c>
    </row>
    <row r="11" spans="1:31" ht="24.95" customHeight="1">
      <c r="A11" s="322"/>
      <c r="B11" s="108">
        <v>5</v>
      </c>
      <c r="C11" s="109">
        <v>5</v>
      </c>
      <c r="D11" s="93" t="s">
        <v>18</v>
      </c>
      <c r="E11" s="92">
        <v>23</v>
      </c>
      <c r="F11" s="92">
        <v>0</v>
      </c>
      <c r="G11" s="92">
        <v>1</v>
      </c>
      <c r="H11" s="92">
        <v>5</v>
      </c>
      <c r="I11" s="92">
        <v>1</v>
      </c>
      <c r="J11" s="92">
        <v>0</v>
      </c>
      <c r="K11" s="92">
        <v>0</v>
      </c>
      <c r="L11" s="92">
        <v>0</v>
      </c>
      <c r="M11" s="92">
        <v>0</v>
      </c>
      <c r="N11" s="92">
        <v>0</v>
      </c>
      <c r="O11" s="92">
        <v>0</v>
      </c>
      <c r="P11" s="92">
        <v>1</v>
      </c>
      <c r="Q11" s="92">
        <v>1</v>
      </c>
      <c r="R11" s="92">
        <v>0</v>
      </c>
      <c r="S11" s="92">
        <v>0</v>
      </c>
      <c r="T11" s="92">
        <v>0</v>
      </c>
      <c r="U11" s="92">
        <v>0</v>
      </c>
      <c r="V11" s="92">
        <v>0</v>
      </c>
      <c r="W11" s="92">
        <v>3</v>
      </c>
      <c r="X11" s="92">
        <v>5</v>
      </c>
      <c r="Y11" s="92">
        <v>2</v>
      </c>
      <c r="Z11" s="92">
        <v>0</v>
      </c>
      <c r="AA11" s="92">
        <v>3</v>
      </c>
      <c r="AB11" s="92">
        <v>1</v>
      </c>
      <c r="AC11" s="92">
        <v>0</v>
      </c>
      <c r="AD11" s="92">
        <v>0</v>
      </c>
      <c r="AE11" s="92">
        <v>0</v>
      </c>
    </row>
    <row r="12" spans="1:31" ht="24.95" customHeight="1">
      <c r="A12" s="322"/>
      <c r="B12" s="108">
        <v>6</v>
      </c>
      <c r="C12" s="109">
        <v>7</v>
      </c>
      <c r="D12" s="93" t="s">
        <v>5817</v>
      </c>
      <c r="E12" s="92">
        <v>11</v>
      </c>
      <c r="F12" s="92">
        <v>0</v>
      </c>
      <c r="G12" s="92">
        <v>0</v>
      </c>
      <c r="H12" s="92">
        <v>0</v>
      </c>
      <c r="I12" s="92">
        <v>3</v>
      </c>
      <c r="J12" s="92">
        <v>0</v>
      </c>
      <c r="K12" s="92">
        <v>0</v>
      </c>
      <c r="L12" s="92">
        <v>0</v>
      </c>
      <c r="M12" s="92">
        <v>0</v>
      </c>
      <c r="N12" s="92">
        <v>1</v>
      </c>
      <c r="O12" s="92">
        <v>0</v>
      </c>
      <c r="P12" s="92">
        <v>0</v>
      </c>
      <c r="Q12" s="92">
        <v>2</v>
      </c>
      <c r="R12" s="92">
        <v>0</v>
      </c>
      <c r="S12" s="92">
        <v>0</v>
      </c>
      <c r="T12" s="92">
        <v>0</v>
      </c>
      <c r="U12" s="92">
        <v>0</v>
      </c>
      <c r="V12" s="92">
        <v>0</v>
      </c>
      <c r="W12" s="92">
        <v>0</v>
      </c>
      <c r="X12" s="92">
        <v>0</v>
      </c>
      <c r="Y12" s="92">
        <v>0</v>
      </c>
      <c r="Z12" s="92">
        <v>0</v>
      </c>
      <c r="AA12" s="92">
        <v>0</v>
      </c>
      <c r="AB12" s="92">
        <v>5</v>
      </c>
      <c r="AC12" s="92">
        <v>0</v>
      </c>
      <c r="AD12" s="92">
        <v>0</v>
      </c>
      <c r="AE12" s="92">
        <v>0</v>
      </c>
    </row>
    <row r="13" spans="1:31" ht="24.95" customHeight="1">
      <c r="A13" s="322"/>
      <c r="B13" s="108">
        <v>7</v>
      </c>
      <c r="C13" s="109">
        <v>6</v>
      </c>
      <c r="D13" s="93" t="s">
        <v>78</v>
      </c>
      <c r="E13" s="92">
        <v>262</v>
      </c>
      <c r="F13" s="92">
        <v>0</v>
      </c>
      <c r="G13" s="92">
        <v>0</v>
      </c>
      <c r="H13" s="92">
        <v>0</v>
      </c>
      <c r="I13" s="92">
        <v>0</v>
      </c>
      <c r="J13" s="92">
        <v>0</v>
      </c>
      <c r="K13" s="92">
        <v>0</v>
      </c>
      <c r="L13" s="92">
        <v>0</v>
      </c>
      <c r="M13" s="92">
        <v>0</v>
      </c>
      <c r="N13" s="92">
        <v>0</v>
      </c>
      <c r="O13" s="92">
        <v>0</v>
      </c>
      <c r="P13" s="92">
        <v>0</v>
      </c>
      <c r="Q13" s="92">
        <v>0</v>
      </c>
      <c r="R13" s="92">
        <v>0</v>
      </c>
      <c r="S13" s="92">
        <v>244</v>
      </c>
      <c r="T13" s="92">
        <v>18</v>
      </c>
      <c r="U13" s="92">
        <v>0</v>
      </c>
      <c r="V13" s="92">
        <v>0</v>
      </c>
      <c r="W13" s="92">
        <v>0</v>
      </c>
      <c r="X13" s="92">
        <v>0</v>
      </c>
      <c r="Y13" s="92">
        <v>0</v>
      </c>
      <c r="Z13" s="92">
        <v>0</v>
      </c>
      <c r="AA13" s="92">
        <v>0</v>
      </c>
      <c r="AB13" s="92">
        <v>0</v>
      </c>
      <c r="AC13" s="92">
        <v>0</v>
      </c>
      <c r="AD13" s="92">
        <v>0</v>
      </c>
      <c r="AE13" s="92">
        <v>0</v>
      </c>
    </row>
    <row r="14" spans="1:31" ht="24.95" customHeight="1">
      <c r="A14" s="322"/>
      <c r="B14" s="108">
        <v>8</v>
      </c>
      <c r="C14" s="109">
        <v>3282</v>
      </c>
      <c r="D14" s="93" t="s">
        <v>6198</v>
      </c>
      <c r="E14" s="92">
        <v>46</v>
      </c>
      <c r="F14" s="92">
        <v>0</v>
      </c>
      <c r="G14" s="92">
        <v>25</v>
      </c>
      <c r="H14" s="92">
        <v>8</v>
      </c>
      <c r="I14" s="92">
        <v>2</v>
      </c>
      <c r="J14" s="92">
        <v>0</v>
      </c>
      <c r="K14" s="92">
        <v>0</v>
      </c>
      <c r="L14" s="92">
        <v>0</v>
      </c>
      <c r="M14" s="92">
        <v>0</v>
      </c>
      <c r="N14" s="92">
        <v>0</v>
      </c>
      <c r="O14" s="92">
        <v>0</v>
      </c>
      <c r="P14" s="92">
        <v>4</v>
      </c>
      <c r="Q14" s="92">
        <v>7</v>
      </c>
      <c r="R14" s="92">
        <v>0</v>
      </c>
      <c r="S14" s="92">
        <v>0</v>
      </c>
      <c r="T14" s="92">
        <v>0</v>
      </c>
      <c r="U14" s="92">
        <v>0</v>
      </c>
      <c r="V14" s="92">
        <v>0</v>
      </c>
      <c r="W14" s="92">
        <v>0</v>
      </c>
      <c r="X14" s="92">
        <v>0</v>
      </c>
      <c r="Y14" s="92">
        <v>0</v>
      </c>
      <c r="Z14" s="92">
        <v>0</v>
      </c>
      <c r="AA14" s="92">
        <v>0</v>
      </c>
      <c r="AB14" s="92">
        <v>0</v>
      </c>
      <c r="AC14" s="92">
        <v>0</v>
      </c>
      <c r="AD14" s="92">
        <v>0</v>
      </c>
      <c r="AE14" s="92">
        <v>0</v>
      </c>
    </row>
    <row r="15" spans="1:31" ht="24.95" customHeight="1">
      <c r="A15" s="322"/>
      <c r="B15" s="108">
        <v>9</v>
      </c>
      <c r="C15" s="109">
        <v>3358</v>
      </c>
      <c r="D15" s="93" t="s">
        <v>6198</v>
      </c>
      <c r="E15" s="92">
        <v>7</v>
      </c>
      <c r="F15" s="92">
        <v>0</v>
      </c>
      <c r="G15" s="92">
        <v>0</v>
      </c>
      <c r="H15" s="92">
        <v>1</v>
      </c>
      <c r="I15" s="92">
        <v>0</v>
      </c>
      <c r="J15" s="92">
        <v>0</v>
      </c>
      <c r="K15" s="92">
        <v>0</v>
      </c>
      <c r="L15" s="92">
        <v>0</v>
      </c>
      <c r="M15" s="92">
        <v>0</v>
      </c>
      <c r="N15" s="92">
        <v>0</v>
      </c>
      <c r="O15" s="92">
        <v>0</v>
      </c>
      <c r="P15" s="92">
        <v>1</v>
      </c>
      <c r="Q15" s="92">
        <v>2</v>
      </c>
      <c r="R15" s="92">
        <v>0</v>
      </c>
      <c r="S15" s="92">
        <v>1</v>
      </c>
      <c r="T15" s="92">
        <v>0</v>
      </c>
      <c r="U15" s="92">
        <v>0</v>
      </c>
      <c r="V15" s="92">
        <v>2</v>
      </c>
      <c r="W15" s="92">
        <v>0</v>
      </c>
      <c r="X15" s="92">
        <v>0</v>
      </c>
      <c r="Y15" s="92">
        <v>0</v>
      </c>
      <c r="Z15" s="92">
        <v>0</v>
      </c>
      <c r="AA15" s="92">
        <v>0</v>
      </c>
      <c r="AB15" s="92">
        <v>0</v>
      </c>
      <c r="AC15" s="92">
        <v>0</v>
      </c>
      <c r="AD15" s="92">
        <v>0</v>
      </c>
      <c r="AE15" s="92">
        <v>0</v>
      </c>
    </row>
    <row r="16" spans="1:31" ht="24.95" customHeight="1">
      <c r="A16" s="322"/>
      <c r="B16" s="108">
        <v>10</v>
      </c>
      <c r="C16" s="109">
        <v>3304</v>
      </c>
      <c r="D16" s="93" t="s">
        <v>6198</v>
      </c>
      <c r="E16" s="92">
        <v>0</v>
      </c>
      <c r="F16" s="92">
        <v>0</v>
      </c>
      <c r="G16" s="92">
        <v>0</v>
      </c>
      <c r="H16" s="92">
        <v>0</v>
      </c>
      <c r="I16" s="92">
        <v>0</v>
      </c>
      <c r="J16" s="92">
        <v>0</v>
      </c>
      <c r="K16" s="92">
        <v>0</v>
      </c>
      <c r="L16" s="92">
        <v>0</v>
      </c>
      <c r="M16" s="92">
        <v>0</v>
      </c>
      <c r="N16" s="92">
        <v>0</v>
      </c>
      <c r="O16" s="92">
        <v>0</v>
      </c>
      <c r="P16" s="92">
        <v>0</v>
      </c>
      <c r="Q16" s="92">
        <v>0</v>
      </c>
      <c r="R16" s="92">
        <v>0</v>
      </c>
      <c r="S16" s="92">
        <v>0</v>
      </c>
      <c r="T16" s="92">
        <v>0</v>
      </c>
      <c r="U16" s="92">
        <v>0</v>
      </c>
      <c r="V16" s="92">
        <v>0</v>
      </c>
      <c r="W16" s="92">
        <v>0</v>
      </c>
      <c r="X16" s="92">
        <v>0</v>
      </c>
      <c r="Y16" s="92">
        <v>0</v>
      </c>
      <c r="Z16" s="92">
        <v>0</v>
      </c>
      <c r="AA16" s="92">
        <v>0</v>
      </c>
      <c r="AB16" s="92">
        <v>0</v>
      </c>
      <c r="AC16" s="92">
        <v>0</v>
      </c>
      <c r="AD16" s="92">
        <v>0</v>
      </c>
      <c r="AE16" s="92">
        <v>0</v>
      </c>
    </row>
    <row r="17" spans="1:31" ht="24.95" customHeight="1">
      <c r="A17" s="322"/>
      <c r="B17" s="108">
        <v>11</v>
      </c>
      <c r="C17" s="109">
        <v>3409</v>
      </c>
      <c r="D17" s="93" t="s">
        <v>6198</v>
      </c>
      <c r="E17" s="92">
        <v>19</v>
      </c>
      <c r="F17" s="92">
        <v>0</v>
      </c>
      <c r="G17" s="92">
        <v>0</v>
      </c>
      <c r="H17" s="92">
        <v>1</v>
      </c>
      <c r="I17" s="92">
        <v>4</v>
      </c>
      <c r="J17" s="92">
        <v>0</v>
      </c>
      <c r="K17" s="92">
        <v>0</v>
      </c>
      <c r="L17" s="92">
        <v>0</v>
      </c>
      <c r="M17" s="92">
        <v>0</v>
      </c>
      <c r="N17" s="92">
        <v>0</v>
      </c>
      <c r="O17" s="92">
        <v>0</v>
      </c>
      <c r="P17" s="92">
        <v>5</v>
      </c>
      <c r="Q17" s="92">
        <v>6</v>
      </c>
      <c r="R17" s="92">
        <v>0</v>
      </c>
      <c r="S17" s="92">
        <v>3</v>
      </c>
      <c r="T17" s="92">
        <v>0</v>
      </c>
      <c r="U17" s="92">
        <v>0</v>
      </c>
      <c r="V17" s="92">
        <v>0</v>
      </c>
      <c r="W17" s="92">
        <v>0</v>
      </c>
      <c r="X17" s="92">
        <v>0</v>
      </c>
      <c r="Y17" s="92">
        <v>0</v>
      </c>
      <c r="Z17" s="92">
        <v>0</v>
      </c>
      <c r="AA17" s="92">
        <v>0</v>
      </c>
      <c r="AB17" s="92">
        <v>0</v>
      </c>
      <c r="AC17" s="92">
        <v>0</v>
      </c>
      <c r="AD17" s="92">
        <v>0</v>
      </c>
      <c r="AE17" s="92">
        <v>0</v>
      </c>
    </row>
    <row r="18" spans="1:31" ht="24.95" customHeight="1">
      <c r="A18" s="322"/>
      <c r="B18" s="108">
        <v>12</v>
      </c>
      <c r="C18" s="109">
        <v>3464</v>
      </c>
      <c r="D18" s="93" t="s">
        <v>6198</v>
      </c>
      <c r="E18" s="92">
        <v>0</v>
      </c>
      <c r="F18" s="92">
        <v>0</v>
      </c>
      <c r="G18" s="92">
        <v>0</v>
      </c>
      <c r="H18" s="92">
        <v>0</v>
      </c>
      <c r="I18" s="92">
        <v>0</v>
      </c>
      <c r="J18" s="92">
        <v>0</v>
      </c>
      <c r="K18" s="92">
        <v>0</v>
      </c>
      <c r="L18" s="92">
        <v>0</v>
      </c>
      <c r="M18" s="92">
        <v>0</v>
      </c>
      <c r="N18" s="92">
        <v>0</v>
      </c>
      <c r="O18" s="92">
        <v>0</v>
      </c>
      <c r="P18" s="92">
        <v>0</v>
      </c>
      <c r="Q18" s="92">
        <v>0</v>
      </c>
      <c r="R18" s="92">
        <v>0</v>
      </c>
      <c r="S18" s="92">
        <v>0</v>
      </c>
      <c r="T18" s="92">
        <v>0</v>
      </c>
      <c r="U18" s="92">
        <v>0</v>
      </c>
      <c r="V18" s="92">
        <v>0</v>
      </c>
      <c r="W18" s="92">
        <v>0</v>
      </c>
      <c r="X18" s="92">
        <v>0</v>
      </c>
      <c r="Y18" s="92">
        <v>0</v>
      </c>
      <c r="Z18" s="92">
        <v>0</v>
      </c>
      <c r="AA18" s="92">
        <v>0</v>
      </c>
      <c r="AB18" s="92">
        <v>0</v>
      </c>
      <c r="AC18" s="92">
        <v>0</v>
      </c>
      <c r="AD18" s="92">
        <v>0</v>
      </c>
      <c r="AE18" s="92">
        <v>0</v>
      </c>
    </row>
    <row r="19" spans="1:31" ht="24.95" customHeight="1">
      <c r="A19" s="322"/>
      <c r="B19" s="108">
        <v>13</v>
      </c>
      <c r="C19" s="109">
        <v>3417</v>
      </c>
      <c r="D19" s="93" t="s">
        <v>6198</v>
      </c>
      <c r="E19" s="92">
        <v>51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92">
        <v>0</v>
      </c>
      <c r="P19" s="92">
        <v>0</v>
      </c>
      <c r="Q19" s="92">
        <v>51</v>
      </c>
      <c r="R19" s="92">
        <v>0</v>
      </c>
      <c r="S19" s="92">
        <v>0</v>
      </c>
      <c r="T19" s="92">
        <v>0</v>
      </c>
      <c r="U19" s="92">
        <v>0</v>
      </c>
      <c r="V19" s="92">
        <v>0</v>
      </c>
      <c r="W19" s="92">
        <v>0</v>
      </c>
      <c r="X19" s="92">
        <v>0</v>
      </c>
      <c r="Y19" s="92">
        <v>0</v>
      </c>
      <c r="Z19" s="92">
        <v>0</v>
      </c>
      <c r="AA19" s="92">
        <v>0</v>
      </c>
      <c r="AB19" s="92">
        <v>0</v>
      </c>
      <c r="AC19" s="92">
        <v>0</v>
      </c>
      <c r="AD19" s="92">
        <v>0</v>
      </c>
      <c r="AE19" s="92">
        <v>0</v>
      </c>
    </row>
    <row r="20" spans="1:31" ht="24.95" customHeight="1">
      <c r="A20" s="322"/>
      <c r="B20" s="108">
        <v>14</v>
      </c>
      <c r="C20" s="109">
        <v>3559</v>
      </c>
      <c r="D20" s="93" t="s">
        <v>6198</v>
      </c>
      <c r="E20" s="92">
        <v>16</v>
      </c>
      <c r="F20" s="92">
        <v>0</v>
      </c>
      <c r="G20" s="92">
        <v>0</v>
      </c>
      <c r="H20" s="92">
        <v>0</v>
      </c>
      <c r="I20" s="92">
        <v>0</v>
      </c>
      <c r="J20" s="92">
        <v>0</v>
      </c>
      <c r="K20" s="92">
        <v>0</v>
      </c>
      <c r="L20" s="92">
        <v>0</v>
      </c>
      <c r="M20" s="92">
        <v>0</v>
      </c>
      <c r="N20" s="92">
        <v>0</v>
      </c>
      <c r="O20" s="92">
        <v>0</v>
      </c>
      <c r="P20" s="92">
        <v>0</v>
      </c>
      <c r="Q20" s="92">
        <v>8</v>
      </c>
      <c r="R20" s="92">
        <v>0</v>
      </c>
      <c r="S20" s="92">
        <v>0</v>
      </c>
      <c r="T20" s="92">
        <v>0</v>
      </c>
      <c r="U20" s="92">
        <v>0</v>
      </c>
      <c r="V20" s="92">
        <v>8</v>
      </c>
      <c r="W20" s="92">
        <v>0</v>
      </c>
      <c r="X20" s="92">
        <v>0</v>
      </c>
      <c r="Y20" s="92">
        <v>0</v>
      </c>
      <c r="Z20" s="92">
        <v>0</v>
      </c>
      <c r="AA20" s="92">
        <v>0</v>
      </c>
      <c r="AB20" s="92">
        <v>0</v>
      </c>
      <c r="AC20" s="92">
        <v>0</v>
      </c>
      <c r="AD20" s="92">
        <v>0</v>
      </c>
      <c r="AE20" s="92">
        <v>0</v>
      </c>
    </row>
    <row r="21" spans="1:31" ht="24.95" customHeight="1">
      <c r="A21" s="325" t="s">
        <v>241</v>
      </c>
      <c r="B21" s="326"/>
      <c r="C21" s="326"/>
      <c r="D21" s="327"/>
      <c r="E21" s="111">
        <f>SUM(F21:AE21)</f>
        <v>8026</v>
      </c>
      <c r="F21" s="111">
        <f t="shared" ref="F21:AE21" si="0">SUM(F7:F20)</f>
        <v>74</v>
      </c>
      <c r="G21" s="111">
        <f t="shared" si="0"/>
        <v>776</v>
      </c>
      <c r="H21" s="111">
        <f t="shared" si="0"/>
        <v>767</v>
      </c>
      <c r="I21" s="111">
        <f t="shared" si="0"/>
        <v>1100</v>
      </c>
      <c r="J21" s="111">
        <f t="shared" si="0"/>
        <v>25</v>
      </c>
      <c r="K21" s="111">
        <f t="shared" si="0"/>
        <v>0</v>
      </c>
      <c r="L21" s="111">
        <f t="shared" si="0"/>
        <v>14</v>
      </c>
      <c r="M21" s="111">
        <f t="shared" si="0"/>
        <v>0</v>
      </c>
      <c r="N21" s="111">
        <f t="shared" si="0"/>
        <v>85</v>
      </c>
      <c r="O21" s="111">
        <f t="shared" si="0"/>
        <v>177</v>
      </c>
      <c r="P21" s="111">
        <f t="shared" si="0"/>
        <v>38</v>
      </c>
      <c r="Q21" s="111">
        <f t="shared" si="0"/>
        <v>799</v>
      </c>
      <c r="R21" s="111">
        <f t="shared" si="0"/>
        <v>20</v>
      </c>
      <c r="S21" s="111">
        <f t="shared" si="0"/>
        <v>264</v>
      </c>
      <c r="T21" s="111">
        <f t="shared" si="0"/>
        <v>18</v>
      </c>
      <c r="U21" s="111">
        <f t="shared" si="0"/>
        <v>4</v>
      </c>
      <c r="V21" s="111">
        <f t="shared" si="0"/>
        <v>12</v>
      </c>
      <c r="W21" s="111">
        <f t="shared" si="0"/>
        <v>608</v>
      </c>
      <c r="X21" s="111">
        <f t="shared" si="0"/>
        <v>30</v>
      </c>
      <c r="Y21" s="111">
        <f t="shared" si="0"/>
        <v>50</v>
      </c>
      <c r="Z21" s="111">
        <f t="shared" si="0"/>
        <v>37</v>
      </c>
      <c r="AA21" s="111">
        <f t="shared" si="0"/>
        <v>850</v>
      </c>
      <c r="AB21" s="111">
        <f t="shared" si="0"/>
        <v>300</v>
      </c>
      <c r="AC21" s="111">
        <f t="shared" si="0"/>
        <v>1975</v>
      </c>
      <c r="AD21" s="111">
        <f t="shared" si="0"/>
        <v>0</v>
      </c>
      <c r="AE21" s="111">
        <f t="shared" si="0"/>
        <v>3</v>
      </c>
    </row>
    <row r="22" spans="1:31" s="113" customFormat="1" ht="24.95" customHeight="1">
      <c r="A22" s="328" t="s">
        <v>242</v>
      </c>
      <c r="B22" s="318"/>
      <c r="C22" s="318"/>
      <c r="D22" s="319"/>
      <c r="E22" s="112">
        <f>SUM(F22:AE22)</f>
        <v>30658.103000000003</v>
      </c>
      <c r="F22" s="112">
        <v>338.1</v>
      </c>
      <c r="G22" s="112">
        <v>2688.7000000000003</v>
      </c>
      <c r="H22" s="112">
        <v>2660.5250000000001</v>
      </c>
      <c r="I22" s="112">
        <v>2189.6000000000004</v>
      </c>
      <c r="J22" s="112">
        <v>652.69400000000007</v>
      </c>
      <c r="K22" s="112"/>
      <c r="L22" s="112">
        <v>338.1</v>
      </c>
      <c r="M22" s="112"/>
      <c r="N22" s="112">
        <v>676.2</v>
      </c>
      <c r="O22" s="112">
        <v>507.15000000000003</v>
      </c>
      <c r="P22" s="112">
        <v>1521.45</v>
      </c>
      <c r="Q22" s="112">
        <v>4894.4000000000005</v>
      </c>
      <c r="R22" s="112">
        <v>320.71199999999999</v>
      </c>
      <c r="S22" s="112">
        <v>1296.3720000000001</v>
      </c>
      <c r="T22" s="112">
        <v>169.05</v>
      </c>
      <c r="U22" s="112">
        <v>169.05</v>
      </c>
      <c r="V22" s="112">
        <v>320.71199999999999</v>
      </c>
      <c r="W22" s="112">
        <v>2519.65</v>
      </c>
      <c r="X22" s="112">
        <v>1161.7760000000001</v>
      </c>
      <c r="Y22" s="112">
        <v>169.05</v>
      </c>
      <c r="Z22" s="112">
        <v>668.15000000000009</v>
      </c>
      <c r="AA22" s="112">
        <v>1970.6400000000003</v>
      </c>
      <c r="AB22" s="112">
        <v>2952.096</v>
      </c>
      <c r="AC22" s="112">
        <v>1966.7760000000003</v>
      </c>
      <c r="AD22" s="112">
        <v>169.05</v>
      </c>
      <c r="AE22" s="112">
        <v>338.1</v>
      </c>
    </row>
    <row r="23" spans="1:31" s="114" customFormat="1" ht="24.95" customHeight="1" thickBot="1">
      <c r="A23" s="329" t="s">
        <v>243</v>
      </c>
      <c r="B23" s="330"/>
      <c r="C23" s="330"/>
      <c r="D23" s="331"/>
      <c r="E23" s="135">
        <f>E22-E21</f>
        <v>22632.103000000003</v>
      </c>
      <c r="F23" s="135">
        <f t="shared" ref="F23:AE23" si="1">F22-F21</f>
        <v>264.10000000000002</v>
      </c>
      <c r="G23" s="135">
        <f t="shared" si="1"/>
        <v>1912.7000000000003</v>
      </c>
      <c r="H23" s="135">
        <f t="shared" si="1"/>
        <v>1893.5250000000001</v>
      </c>
      <c r="I23" s="135">
        <f t="shared" si="1"/>
        <v>1089.6000000000004</v>
      </c>
      <c r="J23" s="135">
        <f t="shared" si="1"/>
        <v>627.69400000000007</v>
      </c>
      <c r="K23" s="135">
        <f t="shared" si="1"/>
        <v>0</v>
      </c>
      <c r="L23" s="135">
        <f t="shared" si="1"/>
        <v>324.10000000000002</v>
      </c>
      <c r="M23" s="135">
        <f t="shared" si="1"/>
        <v>0</v>
      </c>
      <c r="N23" s="135">
        <f t="shared" si="1"/>
        <v>591.20000000000005</v>
      </c>
      <c r="O23" s="135">
        <f t="shared" si="1"/>
        <v>330.15000000000003</v>
      </c>
      <c r="P23" s="135">
        <f t="shared" si="1"/>
        <v>1483.45</v>
      </c>
      <c r="Q23" s="135">
        <f t="shared" si="1"/>
        <v>4095.4000000000005</v>
      </c>
      <c r="R23" s="135">
        <f t="shared" si="1"/>
        <v>300.71199999999999</v>
      </c>
      <c r="S23" s="135">
        <f t="shared" si="1"/>
        <v>1032.3720000000001</v>
      </c>
      <c r="T23" s="135">
        <f t="shared" si="1"/>
        <v>151.05000000000001</v>
      </c>
      <c r="U23" s="135">
        <f t="shared" si="1"/>
        <v>165.05</v>
      </c>
      <c r="V23" s="135">
        <f t="shared" si="1"/>
        <v>308.71199999999999</v>
      </c>
      <c r="W23" s="135">
        <f t="shared" si="1"/>
        <v>1911.65</v>
      </c>
      <c r="X23" s="135">
        <f t="shared" si="1"/>
        <v>1131.7760000000001</v>
      </c>
      <c r="Y23" s="135">
        <f t="shared" si="1"/>
        <v>119.05000000000001</v>
      </c>
      <c r="Z23" s="135">
        <f t="shared" si="1"/>
        <v>631.15000000000009</v>
      </c>
      <c r="AA23" s="135">
        <f t="shared" si="1"/>
        <v>1120.6400000000003</v>
      </c>
      <c r="AB23" s="135">
        <f t="shared" si="1"/>
        <v>2652.096</v>
      </c>
      <c r="AC23" s="135">
        <f t="shared" si="1"/>
        <v>-8.2239999999997053</v>
      </c>
      <c r="AD23" s="135">
        <f t="shared" si="1"/>
        <v>169.05</v>
      </c>
      <c r="AE23" s="135">
        <f t="shared" si="1"/>
        <v>335.1</v>
      </c>
    </row>
    <row r="24" spans="1:31" s="114" customFormat="1" ht="24.95" customHeight="1">
      <c r="A24" s="115"/>
      <c r="B24" s="115"/>
      <c r="C24" s="115"/>
      <c r="D24" s="115"/>
      <c r="E24" s="116"/>
      <c r="F24" s="117"/>
      <c r="G24" s="118"/>
      <c r="H24" s="117"/>
      <c r="I24" s="118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</row>
    <row r="25" spans="1:31" ht="24.95" customHeight="1" thickBot="1">
      <c r="B25" s="105" t="s">
        <v>244</v>
      </c>
      <c r="E25" s="98"/>
      <c r="G25" s="119"/>
      <c r="I25" s="119"/>
      <c r="AE25" s="120"/>
    </row>
    <row r="26" spans="1:31" ht="24.95" customHeight="1" thickBot="1">
      <c r="A26" s="313"/>
      <c r="B26" s="311" t="s">
        <v>237</v>
      </c>
      <c r="C26" s="311" t="s">
        <v>238</v>
      </c>
      <c r="D26" s="311" t="s">
        <v>239</v>
      </c>
      <c r="E26" s="310" t="s">
        <v>240</v>
      </c>
      <c r="F26" s="311"/>
      <c r="G26" s="311"/>
      <c r="H26" s="311"/>
      <c r="I26" s="311"/>
      <c r="J26" s="311"/>
      <c r="K26" s="311"/>
      <c r="L26" s="311"/>
      <c r="M26" s="311"/>
      <c r="N26" s="311"/>
      <c r="O26" s="311"/>
      <c r="P26" s="311"/>
      <c r="Q26" s="311"/>
      <c r="R26" s="311"/>
      <c r="S26" s="311"/>
      <c r="T26" s="311"/>
      <c r="U26" s="311"/>
      <c r="V26" s="311"/>
      <c r="W26" s="311"/>
      <c r="X26" s="311"/>
      <c r="Y26" s="311"/>
      <c r="Z26" s="311"/>
      <c r="AA26" s="311"/>
      <c r="AB26" s="311"/>
      <c r="AC26" s="311"/>
      <c r="AD26" s="311"/>
      <c r="AE26" s="311"/>
    </row>
    <row r="27" spans="1:31" ht="24.95" customHeight="1">
      <c r="A27" s="332"/>
      <c r="B27" s="315"/>
      <c r="C27" s="315"/>
      <c r="D27" s="315"/>
      <c r="E27" s="121" t="s">
        <v>58</v>
      </c>
      <c r="F27" s="107">
        <v>10101</v>
      </c>
      <c r="G27" s="107">
        <v>10102</v>
      </c>
      <c r="H27" s="107">
        <v>10103</v>
      </c>
      <c r="I27" s="107">
        <v>10104</v>
      </c>
      <c r="J27" s="107">
        <v>10105</v>
      </c>
      <c r="K27" s="107">
        <v>10106</v>
      </c>
      <c r="L27" s="107">
        <v>10109</v>
      </c>
      <c r="M27" s="107">
        <v>10201</v>
      </c>
      <c r="N27" s="107">
        <v>10202</v>
      </c>
      <c r="O27" s="107">
        <v>10203</v>
      </c>
      <c r="P27" s="107">
        <v>10204</v>
      </c>
      <c r="Q27" s="107">
        <v>10205</v>
      </c>
      <c r="R27" s="107">
        <v>10206</v>
      </c>
      <c r="S27" s="107">
        <v>10801</v>
      </c>
      <c r="T27" s="107">
        <v>10802</v>
      </c>
      <c r="U27" s="107">
        <v>10803</v>
      </c>
      <c r="V27" s="107">
        <v>10804</v>
      </c>
      <c r="W27" s="107">
        <v>11101</v>
      </c>
      <c r="X27" s="107">
        <v>11102</v>
      </c>
      <c r="Y27" s="107">
        <v>11103</v>
      </c>
      <c r="Z27" s="107">
        <v>11401</v>
      </c>
      <c r="AA27" s="107">
        <v>11402</v>
      </c>
      <c r="AB27" s="107">
        <v>11403</v>
      </c>
      <c r="AC27" s="107">
        <v>11404</v>
      </c>
      <c r="AD27" s="107">
        <v>11405</v>
      </c>
      <c r="AE27" s="107">
        <v>11406</v>
      </c>
    </row>
    <row r="28" spans="1:31" s="123" customFormat="1" ht="24.95" customHeight="1">
      <c r="A28" s="323" t="s">
        <v>59</v>
      </c>
      <c r="B28" s="122">
        <v>15</v>
      </c>
      <c r="C28" s="110">
        <v>3011</v>
      </c>
      <c r="D28" s="93" t="s">
        <v>6198</v>
      </c>
      <c r="E28" s="92">
        <v>99</v>
      </c>
      <c r="F28" s="92">
        <v>4</v>
      </c>
      <c r="G28" s="92">
        <v>15</v>
      </c>
      <c r="H28" s="92">
        <v>11</v>
      </c>
      <c r="I28" s="92">
        <v>16</v>
      </c>
      <c r="J28" s="92">
        <v>1</v>
      </c>
      <c r="K28" s="92">
        <v>0</v>
      </c>
      <c r="L28" s="92">
        <v>0</v>
      </c>
      <c r="M28" s="92">
        <v>0</v>
      </c>
      <c r="N28" s="92">
        <v>1</v>
      </c>
      <c r="O28" s="92">
        <v>0</v>
      </c>
      <c r="P28" s="92">
        <v>10</v>
      </c>
      <c r="Q28" s="92">
        <v>13</v>
      </c>
      <c r="R28" s="92">
        <v>0</v>
      </c>
      <c r="S28" s="92">
        <v>1</v>
      </c>
      <c r="T28" s="92">
        <v>0</v>
      </c>
      <c r="U28" s="92">
        <v>0</v>
      </c>
      <c r="V28" s="92">
        <v>0</v>
      </c>
      <c r="W28" s="92">
        <v>1</v>
      </c>
      <c r="X28" s="92">
        <v>0</v>
      </c>
      <c r="Y28" s="92">
        <v>0</v>
      </c>
      <c r="Z28" s="92">
        <v>0</v>
      </c>
      <c r="AA28" s="92">
        <v>13</v>
      </c>
      <c r="AB28" s="92">
        <v>13</v>
      </c>
      <c r="AC28" s="92">
        <v>0</v>
      </c>
      <c r="AD28" s="92">
        <v>0</v>
      </c>
      <c r="AE28" s="92">
        <v>0</v>
      </c>
    </row>
    <row r="29" spans="1:31" s="123" customFormat="1" ht="24.95" customHeight="1">
      <c r="A29" s="333"/>
      <c r="B29" s="122">
        <v>16</v>
      </c>
      <c r="C29" s="110">
        <v>3380</v>
      </c>
      <c r="D29" s="93" t="s">
        <v>6198</v>
      </c>
      <c r="E29" s="92">
        <v>139</v>
      </c>
      <c r="F29" s="92">
        <v>4</v>
      </c>
      <c r="G29" s="92">
        <v>50</v>
      </c>
      <c r="H29" s="92">
        <v>27</v>
      </c>
      <c r="I29" s="92">
        <v>24</v>
      </c>
      <c r="J29" s="92">
        <v>0</v>
      </c>
      <c r="K29" s="92">
        <v>0</v>
      </c>
      <c r="L29" s="92">
        <v>0</v>
      </c>
      <c r="M29" s="92">
        <v>0</v>
      </c>
      <c r="N29" s="92">
        <v>1</v>
      </c>
      <c r="O29" s="92">
        <v>0</v>
      </c>
      <c r="P29" s="92">
        <v>1</v>
      </c>
      <c r="Q29" s="92">
        <v>19</v>
      </c>
      <c r="R29" s="92">
        <v>2</v>
      </c>
      <c r="S29" s="92">
        <v>1</v>
      </c>
      <c r="T29" s="92">
        <v>0</v>
      </c>
      <c r="U29" s="92">
        <v>1</v>
      </c>
      <c r="V29" s="92">
        <v>0</v>
      </c>
      <c r="W29" s="92">
        <v>5</v>
      </c>
      <c r="X29" s="92">
        <v>0</v>
      </c>
      <c r="Y29" s="92">
        <v>0</v>
      </c>
      <c r="Z29" s="92">
        <v>0</v>
      </c>
      <c r="AA29" s="92">
        <v>2</v>
      </c>
      <c r="AB29" s="92">
        <v>2</v>
      </c>
      <c r="AC29" s="92">
        <v>0</v>
      </c>
      <c r="AD29" s="92">
        <v>0</v>
      </c>
      <c r="AE29" s="92">
        <v>0</v>
      </c>
    </row>
    <row r="30" spans="1:31" s="123" customFormat="1" ht="24.95" customHeight="1">
      <c r="A30" s="333"/>
      <c r="B30" s="122">
        <v>17</v>
      </c>
      <c r="C30" s="110">
        <v>3407</v>
      </c>
      <c r="D30" s="93" t="s">
        <v>6198</v>
      </c>
      <c r="E30" s="92">
        <v>135</v>
      </c>
      <c r="F30" s="92">
        <v>4</v>
      </c>
      <c r="G30" s="92">
        <v>50</v>
      </c>
      <c r="H30" s="92">
        <v>27</v>
      </c>
      <c r="I30" s="92">
        <v>24</v>
      </c>
      <c r="J30" s="92">
        <v>0</v>
      </c>
      <c r="K30" s="92">
        <v>0</v>
      </c>
      <c r="L30" s="92">
        <v>0</v>
      </c>
      <c r="M30" s="92">
        <v>0</v>
      </c>
      <c r="N30" s="92">
        <v>1</v>
      </c>
      <c r="O30" s="92">
        <v>0</v>
      </c>
      <c r="P30" s="92">
        <v>1</v>
      </c>
      <c r="Q30" s="92">
        <v>15</v>
      </c>
      <c r="R30" s="92">
        <v>2</v>
      </c>
      <c r="S30" s="92">
        <v>1</v>
      </c>
      <c r="T30" s="92">
        <v>0</v>
      </c>
      <c r="U30" s="92">
        <v>1</v>
      </c>
      <c r="V30" s="92">
        <v>0</v>
      </c>
      <c r="W30" s="92">
        <v>5</v>
      </c>
      <c r="X30" s="92">
        <v>0</v>
      </c>
      <c r="Y30" s="92">
        <v>0</v>
      </c>
      <c r="Z30" s="92">
        <v>0</v>
      </c>
      <c r="AA30" s="92">
        <v>2</v>
      </c>
      <c r="AB30" s="92">
        <v>2</v>
      </c>
      <c r="AC30" s="92">
        <v>0</v>
      </c>
      <c r="AD30" s="92">
        <v>0</v>
      </c>
      <c r="AE30" s="92">
        <v>0</v>
      </c>
    </row>
    <row r="31" spans="1:31" s="123" customFormat="1" ht="24.95" customHeight="1">
      <c r="A31" s="333"/>
      <c r="B31" s="122">
        <v>18</v>
      </c>
      <c r="C31" s="110">
        <v>3316</v>
      </c>
      <c r="D31" s="93" t="s">
        <v>6198</v>
      </c>
      <c r="E31" s="92">
        <v>1218</v>
      </c>
      <c r="F31" s="92">
        <v>5</v>
      </c>
      <c r="G31" s="92">
        <v>83</v>
      </c>
      <c r="H31" s="92">
        <v>158</v>
      </c>
      <c r="I31" s="92">
        <v>210</v>
      </c>
      <c r="J31" s="92">
        <v>0</v>
      </c>
      <c r="K31" s="92">
        <v>0</v>
      </c>
      <c r="L31" s="92">
        <v>0</v>
      </c>
      <c r="M31" s="92">
        <v>0</v>
      </c>
      <c r="N31" s="92">
        <v>11</v>
      </c>
      <c r="O31" s="92">
        <v>10</v>
      </c>
      <c r="P31" s="92">
        <v>10</v>
      </c>
      <c r="Q31" s="92">
        <v>160</v>
      </c>
      <c r="R31" s="92">
        <v>4</v>
      </c>
      <c r="S31" s="92">
        <v>24</v>
      </c>
      <c r="T31" s="92">
        <v>3</v>
      </c>
      <c r="U31" s="92">
        <v>1</v>
      </c>
      <c r="V31" s="92">
        <v>0</v>
      </c>
      <c r="W31" s="92">
        <v>149</v>
      </c>
      <c r="X31" s="92">
        <v>35</v>
      </c>
      <c r="Y31" s="92">
        <v>13</v>
      </c>
      <c r="Z31" s="92">
        <v>8</v>
      </c>
      <c r="AA31" s="92">
        <v>14</v>
      </c>
      <c r="AB31" s="92">
        <v>295</v>
      </c>
      <c r="AC31" s="92">
        <v>23</v>
      </c>
      <c r="AD31" s="92">
        <v>1</v>
      </c>
      <c r="AE31" s="92">
        <v>1</v>
      </c>
    </row>
    <row r="32" spans="1:31" s="123" customFormat="1" ht="24.95" customHeight="1">
      <c r="A32" s="333"/>
      <c r="B32" s="122">
        <v>19</v>
      </c>
      <c r="C32" s="110">
        <v>3001</v>
      </c>
      <c r="D32" s="93" t="s">
        <v>6198</v>
      </c>
      <c r="E32" s="92">
        <v>362</v>
      </c>
      <c r="F32" s="92">
        <v>5</v>
      </c>
      <c r="G32" s="92">
        <v>27</v>
      </c>
      <c r="H32" s="92">
        <v>113</v>
      </c>
      <c r="I32" s="92">
        <v>40</v>
      </c>
      <c r="J32" s="92">
        <v>0</v>
      </c>
      <c r="K32" s="92">
        <v>0</v>
      </c>
      <c r="L32" s="92">
        <v>0</v>
      </c>
      <c r="M32" s="92">
        <v>0</v>
      </c>
      <c r="N32" s="92">
        <v>2</v>
      </c>
      <c r="O32" s="92">
        <v>1</v>
      </c>
      <c r="P32" s="92">
        <v>18</v>
      </c>
      <c r="Q32" s="92">
        <v>66</v>
      </c>
      <c r="R32" s="92">
        <v>0</v>
      </c>
      <c r="S32" s="92">
        <v>10</v>
      </c>
      <c r="T32" s="92">
        <v>0</v>
      </c>
      <c r="U32" s="92">
        <v>1</v>
      </c>
      <c r="V32" s="92">
        <v>0</v>
      </c>
      <c r="W32" s="92">
        <v>46</v>
      </c>
      <c r="X32" s="92">
        <v>0</v>
      </c>
      <c r="Y32" s="92">
        <v>5</v>
      </c>
      <c r="Z32" s="92">
        <v>2</v>
      </c>
      <c r="AA32" s="92">
        <v>7</v>
      </c>
      <c r="AB32" s="92">
        <v>17</v>
      </c>
      <c r="AC32" s="92">
        <v>2</v>
      </c>
      <c r="AD32" s="92">
        <v>0</v>
      </c>
      <c r="AE32" s="92">
        <v>0</v>
      </c>
    </row>
    <row r="33" spans="1:31" s="123" customFormat="1" ht="24.95" customHeight="1">
      <c r="A33" s="333"/>
      <c r="B33" s="122">
        <v>20</v>
      </c>
      <c r="C33" s="110">
        <v>3004</v>
      </c>
      <c r="D33" s="93" t="s">
        <v>6198</v>
      </c>
      <c r="E33" s="92">
        <v>272</v>
      </c>
      <c r="F33" s="92">
        <v>2</v>
      </c>
      <c r="G33" s="92">
        <v>36</v>
      </c>
      <c r="H33" s="92">
        <v>31</v>
      </c>
      <c r="I33" s="92">
        <v>18</v>
      </c>
      <c r="J33" s="92">
        <v>0</v>
      </c>
      <c r="K33" s="92">
        <v>0</v>
      </c>
      <c r="L33" s="92">
        <v>0</v>
      </c>
      <c r="M33" s="92">
        <v>0</v>
      </c>
      <c r="N33" s="92">
        <v>1</v>
      </c>
      <c r="O33" s="92">
        <v>0</v>
      </c>
      <c r="P33" s="92">
        <v>15</v>
      </c>
      <c r="Q33" s="92">
        <v>44</v>
      </c>
      <c r="R33" s="92">
        <v>0</v>
      </c>
      <c r="S33" s="92">
        <v>6</v>
      </c>
      <c r="T33" s="92">
        <v>0</v>
      </c>
      <c r="U33" s="92">
        <v>0</v>
      </c>
      <c r="V33" s="92">
        <v>0</v>
      </c>
      <c r="W33" s="92">
        <v>0</v>
      </c>
      <c r="X33" s="92">
        <v>0</v>
      </c>
      <c r="Y33" s="92">
        <v>0</v>
      </c>
      <c r="Z33" s="92">
        <v>1</v>
      </c>
      <c r="AA33" s="92">
        <v>0</v>
      </c>
      <c r="AB33" s="92">
        <v>115</v>
      </c>
      <c r="AC33" s="92">
        <v>3</v>
      </c>
      <c r="AD33" s="92">
        <v>0</v>
      </c>
      <c r="AE33" s="92">
        <v>0</v>
      </c>
    </row>
    <row r="34" spans="1:31" s="123" customFormat="1" ht="24.95" customHeight="1">
      <c r="A34" s="333"/>
      <c r="B34" s="122">
        <v>21</v>
      </c>
      <c r="C34" s="110">
        <v>3005</v>
      </c>
      <c r="D34" s="93" t="s">
        <v>6198</v>
      </c>
      <c r="E34" s="92">
        <v>46</v>
      </c>
      <c r="F34" s="92">
        <v>0</v>
      </c>
      <c r="G34" s="92">
        <v>2</v>
      </c>
      <c r="H34" s="92">
        <v>3</v>
      </c>
      <c r="I34" s="92">
        <v>4</v>
      </c>
      <c r="J34" s="92">
        <v>0</v>
      </c>
      <c r="K34" s="92">
        <v>0</v>
      </c>
      <c r="L34" s="92">
        <v>0</v>
      </c>
      <c r="M34" s="92">
        <v>0</v>
      </c>
      <c r="N34" s="92">
        <v>1</v>
      </c>
      <c r="O34" s="92">
        <v>0</v>
      </c>
      <c r="P34" s="92">
        <v>1</v>
      </c>
      <c r="Q34" s="92">
        <v>25</v>
      </c>
      <c r="R34" s="92">
        <v>0</v>
      </c>
      <c r="S34" s="92">
        <v>0</v>
      </c>
      <c r="T34" s="92">
        <v>0</v>
      </c>
      <c r="U34" s="92">
        <v>0</v>
      </c>
      <c r="V34" s="92">
        <v>0</v>
      </c>
      <c r="W34" s="92">
        <v>2</v>
      </c>
      <c r="X34" s="92">
        <v>0</v>
      </c>
      <c r="Y34" s="92">
        <v>0</v>
      </c>
      <c r="Z34" s="92">
        <v>1</v>
      </c>
      <c r="AA34" s="92">
        <v>0</v>
      </c>
      <c r="AB34" s="92">
        <v>5</v>
      </c>
      <c r="AC34" s="92">
        <v>2</v>
      </c>
      <c r="AD34" s="92">
        <v>0</v>
      </c>
      <c r="AE34" s="92">
        <v>0</v>
      </c>
    </row>
    <row r="35" spans="1:31" s="123" customFormat="1" ht="24.95" customHeight="1">
      <c r="A35" s="333"/>
      <c r="B35" s="122">
        <v>22</v>
      </c>
      <c r="C35" s="110">
        <v>3006</v>
      </c>
      <c r="D35" s="93" t="s">
        <v>6198</v>
      </c>
      <c r="E35" s="92">
        <v>273</v>
      </c>
      <c r="F35" s="92">
        <v>10</v>
      </c>
      <c r="G35" s="92">
        <v>20</v>
      </c>
      <c r="H35" s="92">
        <v>40</v>
      </c>
      <c r="I35" s="92">
        <v>33</v>
      </c>
      <c r="J35" s="92">
        <v>0</v>
      </c>
      <c r="K35" s="92">
        <v>0</v>
      </c>
      <c r="L35" s="92">
        <v>0</v>
      </c>
      <c r="M35" s="92">
        <v>0</v>
      </c>
      <c r="N35" s="92">
        <v>2</v>
      </c>
      <c r="O35" s="92">
        <v>2</v>
      </c>
      <c r="P35" s="92">
        <v>2</v>
      </c>
      <c r="Q35" s="92">
        <v>31</v>
      </c>
      <c r="R35" s="92">
        <v>0</v>
      </c>
      <c r="S35" s="92">
        <v>3</v>
      </c>
      <c r="T35" s="92">
        <v>0</v>
      </c>
      <c r="U35" s="92">
        <v>0</v>
      </c>
      <c r="V35" s="92">
        <v>0</v>
      </c>
      <c r="W35" s="92">
        <v>72</v>
      </c>
      <c r="X35" s="92">
        <v>13</v>
      </c>
      <c r="Y35" s="92">
        <v>3</v>
      </c>
      <c r="Z35" s="92">
        <v>1</v>
      </c>
      <c r="AA35" s="92">
        <v>26</v>
      </c>
      <c r="AB35" s="92">
        <v>13</v>
      </c>
      <c r="AC35" s="92">
        <v>2</v>
      </c>
      <c r="AD35" s="92">
        <v>0</v>
      </c>
      <c r="AE35" s="92">
        <v>0</v>
      </c>
    </row>
    <row r="36" spans="1:31" s="123" customFormat="1" ht="24.95" customHeight="1">
      <c r="A36" s="333"/>
      <c r="B36" s="122">
        <v>23</v>
      </c>
      <c r="C36" s="110">
        <v>3007</v>
      </c>
      <c r="D36" s="93" t="s">
        <v>6198</v>
      </c>
      <c r="E36" s="92">
        <v>63</v>
      </c>
      <c r="F36" s="92">
        <v>0</v>
      </c>
      <c r="G36" s="92">
        <v>0</v>
      </c>
      <c r="H36" s="92">
        <v>4</v>
      </c>
      <c r="I36" s="92">
        <v>2</v>
      </c>
      <c r="J36" s="92">
        <v>0</v>
      </c>
      <c r="K36" s="92">
        <v>0</v>
      </c>
      <c r="L36" s="92">
        <v>0</v>
      </c>
      <c r="M36" s="92">
        <v>0</v>
      </c>
      <c r="N36" s="92">
        <v>1</v>
      </c>
      <c r="O36" s="92">
        <v>1</v>
      </c>
      <c r="P36" s="92">
        <v>3</v>
      </c>
      <c r="Q36" s="92">
        <v>35</v>
      </c>
      <c r="R36" s="92">
        <v>0</v>
      </c>
      <c r="S36" s="92">
        <v>3</v>
      </c>
      <c r="T36" s="92">
        <v>0</v>
      </c>
      <c r="U36" s="92">
        <v>0</v>
      </c>
      <c r="V36" s="92">
        <v>0</v>
      </c>
      <c r="W36" s="92">
        <v>10</v>
      </c>
      <c r="X36" s="92">
        <v>0</v>
      </c>
      <c r="Y36" s="92">
        <v>1</v>
      </c>
      <c r="Z36" s="92">
        <v>1</v>
      </c>
      <c r="AA36" s="92">
        <v>0</v>
      </c>
      <c r="AB36" s="92">
        <v>0</v>
      </c>
      <c r="AC36" s="92">
        <v>2</v>
      </c>
      <c r="AD36" s="92">
        <v>0</v>
      </c>
      <c r="AE36" s="92">
        <v>0</v>
      </c>
    </row>
    <row r="37" spans="1:31" s="123" customFormat="1" ht="24.95" customHeight="1">
      <c r="A37" s="333"/>
      <c r="B37" s="122">
        <v>24</v>
      </c>
      <c r="C37" s="110">
        <v>3008</v>
      </c>
      <c r="D37" s="93" t="s">
        <v>6198</v>
      </c>
      <c r="E37" s="92">
        <v>23</v>
      </c>
      <c r="F37" s="92">
        <v>0</v>
      </c>
      <c r="G37" s="92">
        <v>1</v>
      </c>
      <c r="H37" s="92">
        <v>0</v>
      </c>
      <c r="I37" s="92">
        <v>1</v>
      </c>
      <c r="J37" s="92">
        <v>0</v>
      </c>
      <c r="K37" s="92">
        <v>0</v>
      </c>
      <c r="L37" s="92">
        <v>0</v>
      </c>
      <c r="M37" s="92">
        <v>0</v>
      </c>
      <c r="N37" s="92">
        <v>3</v>
      </c>
      <c r="O37" s="92">
        <v>6</v>
      </c>
      <c r="P37" s="92">
        <v>0</v>
      </c>
      <c r="Q37" s="92">
        <v>7</v>
      </c>
      <c r="R37" s="92">
        <v>3</v>
      </c>
      <c r="S37" s="92">
        <v>0</v>
      </c>
      <c r="T37" s="92">
        <v>0</v>
      </c>
      <c r="U37" s="92">
        <v>0</v>
      </c>
      <c r="V37" s="92">
        <v>0</v>
      </c>
      <c r="W37" s="92">
        <v>1</v>
      </c>
      <c r="X37" s="92">
        <v>0</v>
      </c>
      <c r="Y37" s="92">
        <v>0</v>
      </c>
      <c r="Z37" s="92">
        <v>0</v>
      </c>
      <c r="AA37" s="92">
        <v>1</v>
      </c>
      <c r="AB37" s="92">
        <v>0</v>
      </c>
      <c r="AC37" s="92">
        <v>0</v>
      </c>
      <c r="AD37" s="92">
        <v>0</v>
      </c>
      <c r="AE37" s="92">
        <v>0</v>
      </c>
    </row>
    <row r="38" spans="1:31" s="123" customFormat="1" ht="24.95" customHeight="1">
      <c r="A38" s="333"/>
      <c r="B38" s="122">
        <v>25</v>
      </c>
      <c r="C38" s="110">
        <v>3009</v>
      </c>
      <c r="D38" s="93" t="s">
        <v>6198</v>
      </c>
      <c r="E38" s="92">
        <v>11</v>
      </c>
      <c r="F38" s="92">
        <v>0</v>
      </c>
      <c r="G38" s="92">
        <v>4</v>
      </c>
      <c r="H38" s="92">
        <v>1</v>
      </c>
      <c r="I38" s="92">
        <v>2</v>
      </c>
      <c r="J38" s="92">
        <v>0</v>
      </c>
      <c r="K38" s="92">
        <v>0</v>
      </c>
      <c r="L38" s="92">
        <v>0</v>
      </c>
      <c r="M38" s="92">
        <v>0</v>
      </c>
      <c r="N38" s="92">
        <v>1</v>
      </c>
      <c r="O38" s="92">
        <v>0</v>
      </c>
      <c r="P38" s="92">
        <v>0</v>
      </c>
      <c r="Q38" s="92">
        <v>0</v>
      </c>
      <c r="R38" s="92">
        <v>0</v>
      </c>
      <c r="S38" s="92">
        <v>0</v>
      </c>
      <c r="T38" s="92">
        <v>0</v>
      </c>
      <c r="U38" s="92">
        <v>0</v>
      </c>
      <c r="V38" s="92">
        <v>0</v>
      </c>
      <c r="W38" s="92">
        <v>2</v>
      </c>
      <c r="X38" s="92">
        <v>0</v>
      </c>
      <c r="Y38" s="92">
        <v>0</v>
      </c>
      <c r="Z38" s="92">
        <v>0</v>
      </c>
      <c r="AA38" s="92">
        <v>1</v>
      </c>
      <c r="AB38" s="92">
        <v>0</v>
      </c>
      <c r="AC38" s="92">
        <v>0</v>
      </c>
      <c r="AD38" s="92">
        <v>0</v>
      </c>
      <c r="AE38" s="92">
        <v>0</v>
      </c>
    </row>
    <row r="39" spans="1:31" s="123" customFormat="1" ht="24.95" customHeight="1">
      <c r="A39" s="333"/>
      <c r="B39" s="122">
        <v>26</v>
      </c>
      <c r="C39" s="110">
        <v>3010</v>
      </c>
      <c r="D39" s="93" t="s">
        <v>6198</v>
      </c>
      <c r="E39" s="92">
        <v>62</v>
      </c>
      <c r="F39" s="92">
        <v>1</v>
      </c>
      <c r="G39" s="92">
        <v>3</v>
      </c>
      <c r="H39" s="92">
        <v>2</v>
      </c>
      <c r="I39" s="92">
        <v>3</v>
      </c>
      <c r="J39" s="92">
        <v>0</v>
      </c>
      <c r="K39" s="92">
        <v>0</v>
      </c>
      <c r="L39" s="92">
        <v>0</v>
      </c>
      <c r="M39" s="92">
        <v>0</v>
      </c>
      <c r="N39" s="92">
        <v>4</v>
      </c>
      <c r="O39" s="92">
        <v>0</v>
      </c>
      <c r="P39" s="92">
        <v>7</v>
      </c>
      <c r="Q39" s="92">
        <v>25</v>
      </c>
      <c r="R39" s="92">
        <v>0</v>
      </c>
      <c r="S39" s="92">
        <v>4</v>
      </c>
      <c r="T39" s="92">
        <v>0</v>
      </c>
      <c r="U39" s="92">
        <v>0</v>
      </c>
      <c r="V39" s="92">
        <v>0</v>
      </c>
      <c r="W39" s="92">
        <v>10</v>
      </c>
      <c r="X39" s="92">
        <v>0</v>
      </c>
      <c r="Y39" s="92">
        <v>0</v>
      </c>
      <c r="Z39" s="92">
        <v>1</v>
      </c>
      <c r="AA39" s="92">
        <v>2</v>
      </c>
      <c r="AB39" s="92">
        <v>0</v>
      </c>
      <c r="AC39" s="92">
        <v>0</v>
      </c>
      <c r="AD39" s="92">
        <v>0</v>
      </c>
      <c r="AE39" s="92">
        <v>0</v>
      </c>
    </row>
    <row r="40" spans="1:31" s="123" customFormat="1" ht="24.95" customHeight="1">
      <c r="A40" s="333"/>
      <c r="B40" s="122">
        <v>27</v>
      </c>
      <c r="C40" s="110">
        <v>3012</v>
      </c>
      <c r="D40" s="93" t="s">
        <v>6198</v>
      </c>
      <c r="E40" s="92">
        <v>946</v>
      </c>
      <c r="F40" s="92">
        <v>7</v>
      </c>
      <c r="G40" s="92">
        <v>125</v>
      </c>
      <c r="H40" s="92">
        <v>108</v>
      </c>
      <c r="I40" s="92">
        <v>63</v>
      </c>
      <c r="J40" s="92">
        <v>0</v>
      </c>
      <c r="K40" s="92">
        <v>0</v>
      </c>
      <c r="L40" s="92">
        <v>0</v>
      </c>
      <c r="M40" s="92">
        <v>0</v>
      </c>
      <c r="N40" s="92">
        <v>2</v>
      </c>
      <c r="O40" s="92">
        <v>0</v>
      </c>
      <c r="P40" s="92">
        <v>52</v>
      </c>
      <c r="Q40" s="92">
        <v>154</v>
      </c>
      <c r="R40" s="92">
        <v>0</v>
      </c>
      <c r="S40" s="92">
        <v>19</v>
      </c>
      <c r="T40" s="92">
        <v>0</v>
      </c>
      <c r="U40" s="92">
        <v>0</v>
      </c>
      <c r="V40" s="92">
        <v>0</v>
      </c>
      <c r="W40" s="92">
        <v>0</v>
      </c>
      <c r="X40" s="92">
        <v>0</v>
      </c>
      <c r="Y40" s="92">
        <v>0</v>
      </c>
      <c r="Z40" s="92">
        <v>3</v>
      </c>
      <c r="AA40" s="92">
        <v>0</v>
      </c>
      <c r="AB40" s="92">
        <v>402</v>
      </c>
      <c r="AC40" s="92">
        <v>11</v>
      </c>
      <c r="AD40" s="92">
        <v>0</v>
      </c>
      <c r="AE40" s="92">
        <v>0</v>
      </c>
    </row>
    <row r="41" spans="1:31" s="123" customFormat="1" ht="24.95" customHeight="1">
      <c r="A41" s="333"/>
      <c r="B41" s="122">
        <v>28</v>
      </c>
      <c r="C41" s="110">
        <v>3013</v>
      </c>
      <c r="D41" s="93" t="s">
        <v>6198</v>
      </c>
      <c r="E41" s="92">
        <v>959</v>
      </c>
      <c r="F41" s="92">
        <v>33</v>
      </c>
      <c r="G41" s="92">
        <v>72</v>
      </c>
      <c r="H41" s="92">
        <v>138</v>
      </c>
      <c r="I41" s="92">
        <v>115</v>
      </c>
      <c r="J41" s="92">
        <v>0</v>
      </c>
      <c r="K41" s="92">
        <v>0</v>
      </c>
      <c r="L41" s="92">
        <v>0</v>
      </c>
      <c r="M41" s="92">
        <v>0</v>
      </c>
      <c r="N41" s="92">
        <v>6</v>
      </c>
      <c r="O41" s="92">
        <v>7</v>
      </c>
      <c r="P41" s="92">
        <v>8</v>
      </c>
      <c r="Q41" s="92">
        <v>109</v>
      </c>
      <c r="R41" s="92">
        <v>1</v>
      </c>
      <c r="S41" s="92">
        <v>12</v>
      </c>
      <c r="T41" s="92">
        <v>0</v>
      </c>
      <c r="U41" s="92">
        <v>0</v>
      </c>
      <c r="V41" s="92">
        <v>0</v>
      </c>
      <c r="W41" s="92">
        <v>252</v>
      </c>
      <c r="X41" s="92">
        <v>46</v>
      </c>
      <c r="Y41" s="92">
        <v>12</v>
      </c>
      <c r="Z41" s="92">
        <v>2</v>
      </c>
      <c r="AA41" s="92">
        <v>92</v>
      </c>
      <c r="AB41" s="92">
        <v>45</v>
      </c>
      <c r="AC41" s="92">
        <v>9</v>
      </c>
      <c r="AD41" s="92">
        <v>0</v>
      </c>
      <c r="AE41" s="92">
        <v>0</v>
      </c>
    </row>
    <row r="42" spans="1:31" s="123" customFormat="1" ht="24.95" customHeight="1">
      <c r="A42" s="333"/>
      <c r="B42" s="122">
        <v>29</v>
      </c>
      <c r="C42" s="110">
        <v>3369</v>
      </c>
      <c r="D42" s="93" t="s">
        <v>6198</v>
      </c>
      <c r="E42" s="92">
        <v>1466</v>
      </c>
      <c r="F42" s="92">
        <v>5</v>
      </c>
      <c r="G42" s="92">
        <v>56</v>
      </c>
      <c r="H42" s="92">
        <v>299</v>
      </c>
      <c r="I42" s="92">
        <v>232</v>
      </c>
      <c r="J42" s="92">
        <v>4</v>
      </c>
      <c r="K42" s="92">
        <v>0</v>
      </c>
      <c r="L42" s="92">
        <v>0</v>
      </c>
      <c r="M42" s="92">
        <v>0</v>
      </c>
      <c r="N42" s="92">
        <v>19</v>
      </c>
      <c r="O42" s="92">
        <v>15</v>
      </c>
      <c r="P42" s="92">
        <v>21</v>
      </c>
      <c r="Q42" s="92">
        <v>205</v>
      </c>
      <c r="R42" s="92">
        <v>14</v>
      </c>
      <c r="S42" s="92">
        <v>25</v>
      </c>
      <c r="T42" s="92">
        <v>0</v>
      </c>
      <c r="U42" s="92">
        <v>0</v>
      </c>
      <c r="V42" s="92">
        <v>0</v>
      </c>
      <c r="W42" s="92">
        <v>155</v>
      </c>
      <c r="X42" s="92">
        <v>8</v>
      </c>
      <c r="Y42" s="92">
        <v>5</v>
      </c>
      <c r="Z42" s="92">
        <v>14</v>
      </c>
      <c r="AA42" s="92">
        <v>7</v>
      </c>
      <c r="AB42" s="92">
        <v>335</v>
      </c>
      <c r="AC42" s="92">
        <v>44</v>
      </c>
      <c r="AD42" s="92">
        <v>2</v>
      </c>
      <c r="AE42" s="92">
        <v>1</v>
      </c>
    </row>
    <row r="43" spans="1:31" s="123" customFormat="1" ht="24.95" customHeight="1">
      <c r="A43" s="333"/>
      <c r="B43" s="122">
        <v>30</v>
      </c>
      <c r="C43" s="110">
        <v>3371</v>
      </c>
      <c r="D43" s="93" t="s">
        <v>6198</v>
      </c>
      <c r="E43" s="92">
        <v>236</v>
      </c>
      <c r="F43" s="92">
        <v>0</v>
      </c>
      <c r="G43" s="92">
        <v>10</v>
      </c>
      <c r="H43" s="92">
        <v>20</v>
      </c>
      <c r="I43" s="92">
        <v>53</v>
      </c>
      <c r="J43" s="92">
        <v>0</v>
      </c>
      <c r="K43" s="92">
        <v>0</v>
      </c>
      <c r="L43" s="92">
        <v>0</v>
      </c>
      <c r="M43" s="92">
        <v>0</v>
      </c>
      <c r="N43" s="92">
        <v>2</v>
      </c>
      <c r="O43" s="92">
        <v>0</v>
      </c>
      <c r="P43" s="92">
        <v>0</v>
      </c>
      <c r="Q43" s="92">
        <v>3</v>
      </c>
      <c r="R43" s="92">
        <v>0</v>
      </c>
      <c r="S43" s="92">
        <v>4</v>
      </c>
      <c r="T43" s="92">
        <v>0</v>
      </c>
      <c r="U43" s="92">
        <v>0</v>
      </c>
      <c r="V43" s="92">
        <v>0</v>
      </c>
      <c r="W43" s="92">
        <v>9</v>
      </c>
      <c r="X43" s="92">
        <v>0</v>
      </c>
      <c r="Y43" s="92">
        <v>2</v>
      </c>
      <c r="Z43" s="92">
        <v>1</v>
      </c>
      <c r="AA43" s="92">
        <v>1</v>
      </c>
      <c r="AB43" s="92">
        <v>124</v>
      </c>
      <c r="AC43" s="92">
        <v>7</v>
      </c>
      <c r="AD43" s="92">
        <v>0</v>
      </c>
      <c r="AE43" s="92">
        <v>0</v>
      </c>
    </row>
    <row r="44" spans="1:31" s="123" customFormat="1" ht="24.95" customHeight="1">
      <c r="A44" s="333"/>
      <c r="B44" s="122">
        <v>31</v>
      </c>
      <c r="C44" s="110">
        <v>3376</v>
      </c>
      <c r="D44" s="93" t="s">
        <v>6198</v>
      </c>
      <c r="E44" s="92">
        <v>243</v>
      </c>
      <c r="F44" s="92">
        <v>1</v>
      </c>
      <c r="G44" s="92">
        <v>4</v>
      </c>
      <c r="H44" s="92">
        <v>3</v>
      </c>
      <c r="I44" s="92">
        <v>2</v>
      </c>
      <c r="J44" s="92">
        <v>0</v>
      </c>
      <c r="K44" s="92">
        <v>0</v>
      </c>
      <c r="L44" s="92">
        <v>0</v>
      </c>
      <c r="M44" s="92">
        <v>0</v>
      </c>
      <c r="N44" s="92">
        <v>13</v>
      </c>
      <c r="O44" s="92">
        <v>5</v>
      </c>
      <c r="P44" s="92">
        <v>34</v>
      </c>
      <c r="Q44" s="92">
        <v>114</v>
      </c>
      <c r="R44" s="92">
        <v>2</v>
      </c>
      <c r="S44" s="92">
        <v>34</v>
      </c>
      <c r="T44" s="92">
        <v>0</v>
      </c>
      <c r="U44" s="92">
        <v>0</v>
      </c>
      <c r="V44" s="92">
        <v>0</v>
      </c>
      <c r="W44" s="92">
        <v>12</v>
      </c>
      <c r="X44" s="92">
        <v>0</v>
      </c>
      <c r="Y44" s="92">
        <v>1</v>
      </c>
      <c r="Z44" s="92">
        <v>9</v>
      </c>
      <c r="AA44" s="92">
        <v>1</v>
      </c>
      <c r="AB44" s="92">
        <v>0</v>
      </c>
      <c r="AC44" s="92">
        <v>0</v>
      </c>
      <c r="AD44" s="92">
        <v>6</v>
      </c>
      <c r="AE44" s="92">
        <v>2</v>
      </c>
    </row>
    <row r="45" spans="1:31" s="123" customFormat="1" ht="24.95" customHeight="1">
      <c r="A45" s="333"/>
      <c r="B45" s="122">
        <v>32</v>
      </c>
      <c r="C45" s="110">
        <v>3379</v>
      </c>
      <c r="D45" s="93" t="s">
        <v>6198</v>
      </c>
      <c r="E45" s="92">
        <v>4091</v>
      </c>
      <c r="F45" s="92">
        <v>6</v>
      </c>
      <c r="G45" s="92">
        <v>161</v>
      </c>
      <c r="H45" s="92">
        <v>367</v>
      </c>
      <c r="I45" s="92">
        <v>932</v>
      </c>
      <c r="J45" s="92">
        <v>0</v>
      </c>
      <c r="K45" s="92">
        <v>0</v>
      </c>
      <c r="L45" s="92">
        <v>0</v>
      </c>
      <c r="M45" s="92">
        <v>0</v>
      </c>
      <c r="N45" s="92">
        <v>27</v>
      </c>
      <c r="O45" s="92">
        <v>2</v>
      </c>
      <c r="P45" s="92">
        <v>0</v>
      </c>
      <c r="Q45" s="92">
        <v>58</v>
      </c>
      <c r="R45" s="92">
        <v>0</v>
      </c>
      <c r="S45" s="92">
        <v>65</v>
      </c>
      <c r="T45" s="92">
        <v>0</v>
      </c>
      <c r="U45" s="92">
        <v>0</v>
      </c>
      <c r="V45" s="92">
        <v>0</v>
      </c>
      <c r="W45" s="92">
        <v>166</v>
      </c>
      <c r="X45" s="92">
        <v>1</v>
      </c>
      <c r="Y45" s="92">
        <v>29</v>
      </c>
      <c r="Z45" s="92">
        <v>17</v>
      </c>
      <c r="AA45" s="92">
        <v>14</v>
      </c>
      <c r="AB45" s="92">
        <v>2136</v>
      </c>
      <c r="AC45" s="92">
        <v>103</v>
      </c>
      <c r="AD45" s="92">
        <v>7</v>
      </c>
      <c r="AE45" s="92">
        <v>0</v>
      </c>
    </row>
    <row r="46" spans="1:31" s="123" customFormat="1" ht="24.95" customHeight="1">
      <c r="A46" s="333"/>
      <c r="B46" s="122">
        <v>33</v>
      </c>
      <c r="C46" s="110">
        <v>3391</v>
      </c>
      <c r="D46" s="93" t="s">
        <v>6198</v>
      </c>
      <c r="E46" s="92">
        <v>1211</v>
      </c>
      <c r="F46" s="92">
        <v>8</v>
      </c>
      <c r="G46" s="92">
        <v>109</v>
      </c>
      <c r="H46" s="92">
        <v>151</v>
      </c>
      <c r="I46" s="92">
        <v>149</v>
      </c>
      <c r="J46" s="92">
        <v>12</v>
      </c>
      <c r="K46" s="92">
        <v>0</v>
      </c>
      <c r="L46" s="92">
        <v>0</v>
      </c>
      <c r="M46" s="92">
        <v>32</v>
      </c>
      <c r="N46" s="92">
        <v>15</v>
      </c>
      <c r="O46" s="92">
        <v>19</v>
      </c>
      <c r="P46" s="92">
        <v>21</v>
      </c>
      <c r="Q46" s="92">
        <v>185</v>
      </c>
      <c r="R46" s="92">
        <v>31</v>
      </c>
      <c r="S46" s="92">
        <v>23</v>
      </c>
      <c r="T46" s="92">
        <v>0</v>
      </c>
      <c r="U46" s="92">
        <v>0</v>
      </c>
      <c r="V46" s="92">
        <v>0</v>
      </c>
      <c r="W46" s="92">
        <v>236</v>
      </c>
      <c r="X46" s="92">
        <v>6</v>
      </c>
      <c r="Y46" s="92">
        <v>11</v>
      </c>
      <c r="Z46" s="92">
        <v>6</v>
      </c>
      <c r="AA46" s="92">
        <v>23</v>
      </c>
      <c r="AB46" s="92">
        <v>110</v>
      </c>
      <c r="AC46" s="92">
        <v>63</v>
      </c>
      <c r="AD46" s="92">
        <v>1</v>
      </c>
      <c r="AE46" s="92">
        <v>0</v>
      </c>
    </row>
    <row r="47" spans="1:31" s="123" customFormat="1" ht="24.95" customHeight="1">
      <c r="A47" s="333"/>
      <c r="B47" s="122">
        <v>34</v>
      </c>
      <c r="C47" s="110">
        <v>3392</v>
      </c>
      <c r="D47" s="93" t="s">
        <v>6198</v>
      </c>
      <c r="E47" s="92">
        <v>32</v>
      </c>
      <c r="F47" s="92">
        <v>1</v>
      </c>
      <c r="G47" s="92">
        <v>16</v>
      </c>
      <c r="H47" s="92">
        <v>0</v>
      </c>
      <c r="I47" s="92">
        <v>2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92">
        <v>0</v>
      </c>
      <c r="P47" s="92">
        <v>0</v>
      </c>
      <c r="Q47" s="92">
        <v>3</v>
      </c>
      <c r="R47" s="92">
        <v>0</v>
      </c>
      <c r="S47" s="92">
        <v>1</v>
      </c>
      <c r="T47" s="92">
        <v>0</v>
      </c>
      <c r="U47" s="92">
        <v>0</v>
      </c>
      <c r="V47" s="92">
        <v>0</v>
      </c>
      <c r="W47" s="92">
        <v>0</v>
      </c>
      <c r="X47" s="92">
        <v>0</v>
      </c>
      <c r="Y47" s="92">
        <v>0</v>
      </c>
      <c r="Z47" s="92">
        <v>0</v>
      </c>
      <c r="AA47" s="92">
        <v>0</v>
      </c>
      <c r="AB47" s="92">
        <v>0</v>
      </c>
      <c r="AC47" s="92">
        <v>9</v>
      </c>
      <c r="AD47" s="92">
        <v>0</v>
      </c>
      <c r="AE47" s="92">
        <v>0</v>
      </c>
    </row>
    <row r="48" spans="1:31" s="123" customFormat="1" ht="24.95" customHeight="1">
      <c r="A48" s="333"/>
      <c r="B48" s="122">
        <v>35</v>
      </c>
      <c r="C48" s="110">
        <v>3393</v>
      </c>
      <c r="D48" s="93" t="s">
        <v>6198</v>
      </c>
      <c r="E48" s="92">
        <v>290</v>
      </c>
      <c r="F48" s="92">
        <v>0</v>
      </c>
      <c r="G48" s="92">
        <v>5</v>
      </c>
      <c r="H48" s="92">
        <v>89</v>
      </c>
      <c r="I48" s="92">
        <v>49</v>
      </c>
      <c r="J48" s="92">
        <v>0</v>
      </c>
      <c r="K48" s="92">
        <v>0</v>
      </c>
      <c r="L48" s="92">
        <v>0</v>
      </c>
      <c r="M48" s="92">
        <v>0</v>
      </c>
      <c r="N48" s="92">
        <v>3</v>
      </c>
      <c r="O48" s="92">
        <v>2</v>
      </c>
      <c r="P48" s="92">
        <v>2</v>
      </c>
      <c r="Q48" s="92">
        <v>29</v>
      </c>
      <c r="R48" s="92">
        <v>0</v>
      </c>
      <c r="S48" s="92">
        <v>8</v>
      </c>
      <c r="T48" s="92">
        <v>0</v>
      </c>
      <c r="U48" s="92">
        <v>0</v>
      </c>
      <c r="V48" s="92">
        <v>0</v>
      </c>
      <c r="W48" s="92">
        <v>63</v>
      </c>
      <c r="X48" s="92">
        <v>7</v>
      </c>
      <c r="Y48" s="92">
        <v>11</v>
      </c>
      <c r="Z48" s="92">
        <v>4</v>
      </c>
      <c r="AA48" s="92">
        <v>0</v>
      </c>
      <c r="AB48" s="92">
        <v>0</v>
      </c>
      <c r="AC48" s="92">
        <v>17</v>
      </c>
      <c r="AD48" s="92">
        <v>0</v>
      </c>
      <c r="AE48" s="92">
        <v>1</v>
      </c>
    </row>
    <row r="49" spans="1:31" s="123" customFormat="1" ht="24.95" customHeight="1">
      <c r="A49" s="333"/>
      <c r="B49" s="122">
        <v>36</v>
      </c>
      <c r="C49" s="110">
        <v>3394</v>
      </c>
      <c r="D49" s="93" t="s">
        <v>6198</v>
      </c>
      <c r="E49" s="92">
        <v>123</v>
      </c>
      <c r="F49" s="92">
        <v>0</v>
      </c>
      <c r="G49" s="92">
        <v>2</v>
      </c>
      <c r="H49" s="92">
        <v>27</v>
      </c>
      <c r="I49" s="92">
        <v>27</v>
      </c>
      <c r="J49" s="92">
        <v>0</v>
      </c>
      <c r="K49" s="92">
        <v>0</v>
      </c>
      <c r="L49" s="92">
        <v>0</v>
      </c>
      <c r="M49" s="92">
        <v>0</v>
      </c>
      <c r="N49" s="92">
        <v>2</v>
      </c>
      <c r="O49" s="92">
        <v>0</v>
      </c>
      <c r="P49" s="92">
        <v>0</v>
      </c>
      <c r="Q49" s="92">
        <v>16</v>
      </c>
      <c r="R49" s="92">
        <v>0</v>
      </c>
      <c r="S49" s="92">
        <v>2</v>
      </c>
      <c r="T49" s="92">
        <v>0</v>
      </c>
      <c r="U49" s="92">
        <v>0</v>
      </c>
      <c r="V49" s="92">
        <v>0</v>
      </c>
      <c r="W49" s="92">
        <v>21</v>
      </c>
      <c r="X49" s="92">
        <v>1</v>
      </c>
      <c r="Y49" s="92">
        <v>3</v>
      </c>
      <c r="Z49" s="92">
        <v>2</v>
      </c>
      <c r="AA49" s="92">
        <v>0</v>
      </c>
      <c r="AB49" s="92">
        <v>16</v>
      </c>
      <c r="AC49" s="92">
        <v>4</v>
      </c>
      <c r="AD49" s="92">
        <v>0</v>
      </c>
      <c r="AE49" s="92">
        <v>0</v>
      </c>
    </row>
    <row r="50" spans="1:31" s="123" customFormat="1" ht="24.95" customHeight="1">
      <c r="A50" s="333"/>
      <c r="B50" s="122">
        <v>37</v>
      </c>
      <c r="C50" s="110">
        <v>3395</v>
      </c>
      <c r="D50" s="93" t="s">
        <v>6198</v>
      </c>
      <c r="E50" s="92">
        <v>107</v>
      </c>
      <c r="F50" s="92">
        <v>1</v>
      </c>
      <c r="G50" s="92">
        <v>7</v>
      </c>
      <c r="H50" s="92">
        <v>7</v>
      </c>
      <c r="I50" s="92">
        <v>7</v>
      </c>
      <c r="J50" s="92">
        <v>0</v>
      </c>
      <c r="K50" s="92">
        <v>0</v>
      </c>
      <c r="L50" s="92">
        <v>0</v>
      </c>
      <c r="M50" s="92">
        <v>0</v>
      </c>
      <c r="N50" s="92">
        <v>2</v>
      </c>
      <c r="O50" s="92">
        <v>0</v>
      </c>
      <c r="P50" s="92">
        <v>2</v>
      </c>
      <c r="Q50" s="92">
        <v>48</v>
      </c>
      <c r="R50" s="92">
        <v>0</v>
      </c>
      <c r="S50" s="92">
        <v>1</v>
      </c>
      <c r="T50" s="92">
        <v>0</v>
      </c>
      <c r="U50" s="92">
        <v>0</v>
      </c>
      <c r="V50" s="92">
        <v>0</v>
      </c>
      <c r="W50" s="92">
        <v>13</v>
      </c>
      <c r="X50" s="92">
        <v>7</v>
      </c>
      <c r="Y50" s="92">
        <v>3</v>
      </c>
      <c r="Z50" s="92">
        <v>4</v>
      </c>
      <c r="AA50" s="92">
        <v>0</v>
      </c>
      <c r="AB50" s="92">
        <v>0</v>
      </c>
      <c r="AC50" s="92">
        <v>3</v>
      </c>
      <c r="AD50" s="92">
        <v>1</v>
      </c>
      <c r="AE50" s="92">
        <v>1</v>
      </c>
    </row>
    <row r="51" spans="1:31" s="123" customFormat="1" ht="24.95" customHeight="1">
      <c r="A51" s="333"/>
      <c r="B51" s="122">
        <v>38</v>
      </c>
      <c r="C51" s="110">
        <v>3396</v>
      </c>
      <c r="D51" s="93" t="s">
        <v>6198</v>
      </c>
      <c r="E51" s="92">
        <v>16</v>
      </c>
      <c r="F51" s="92">
        <v>0</v>
      </c>
      <c r="G51" s="92">
        <v>0</v>
      </c>
      <c r="H51" s="92">
        <v>10</v>
      </c>
      <c r="I51" s="92">
        <v>4</v>
      </c>
      <c r="J51" s="92">
        <v>0</v>
      </c>
      <c r="K51" s="92">
        <v>0</v>
      </c>
      <c r="L51" s="92">
        <v>0</v>
      </c>
      <c r="M51" s="92">
        <v>0</v>
      </c>
      <c r="N51" s="92">
        <v>0</v>
      </c>
      <c r="O51" s="92">
        <v>0</v>
      </c>
      <c r="P51" s="92">
        <v>0</v>
      </c>
      <c r="Q51" s="92">
        <v>0</v>
      </c>
      <c r="R51" s="92">
        <v>0</v>
      </c>
      <c r="S51" s="92">
        <v>0</v>
      </c>
      <c r="T51" s="92">
        <v>0</v>
      </c>
      <c r="U51" s="92">
        <v>0</v>
      </c>
      <c r="V51" s="92">
        <v>0</v>
      </c>
      <c r="W51" s="92">
        <v>2</v>
      </c>
      <c r="X51" s="92">
        <v>0</v>
      </c>
      <c r="Y51" s="92">
        <v>0</v>
      </c>
      <c r="Z51" s="92">
        <v>0</v>
      </c>
      <c r="AA51" s="92">
        <v>0</v>
      </c>
      <c r="AB51" s="92">
        <v>0</v>
      </c>
      <c r="AC51" s="92">
        <v>0</v>
      </c>
      <c r="AD51" s="92">
        <v>0</v>
      </c>
      <c r="AE51" s="92">
        <v>0</v>
      </c>
    </row>
    <row r="52" spans="1:31" s="123" customFormat="1" ht="24.95" customHeight="1">
      <c r="A52" s="333"/>
      <c r="B52" s="122">
        <v>39</v>
      </c>
      <c r="C52" s="110">
        <v>3397</v>
      </c>
      <c r="D52" s="93" t="s">
        <v>6198</v>
      </c>
      <c r="E52" s="92">
        <v>178</v>
      </c>
      <c r="F52" s="92">
        <v>6</v>
      </c>
      <c r="G52" s="92">
        <v>24</v>
      </c>
      <c r="H52" s="92">
        <v>11</v>
      </c>
      <c r="I52" s="92">
        <v>22</v>
      </c>
      <c r="J52" s="92">
        <v>0</v>
      </c>
      <c r="K52" s="92">
        <v>0</v>
      </c>
      <c r="L52" s="92">
        <v>0</v>
      </c>
      <c r="M52" s="92">
        <v>0</v>
      </c>
      <c r="N52" s="92">
        <v>2</v>
      </c>
      <c r="O52" s="92">
        <v>1</v>
      </c>
      <c r="P52" s="92">
        <v>28</v>
      </c>
      <c r="Q52" s="92">
        <v>38</v>
      </c>
      <c r="R52" s="92">
        <v>3</v>
      </c>
      <c r="S52" s="92">
        <v>5</v>
      </c>
      <c r="T52" s="92">
        <v>0</v>
      </c>
      <c r="U52" s="92">
        <v>0</v>
      </c>
      <c r="V52" s="92">
        <v>0</v>
      </c>
      <c r="W52" s="92">
        <v>1</v>
      </c>
      <c r="X52" s="92">
        <v>0</v>
      </c>
      <c r="Y52" s="92">
        <v>0</v>
      </c>
      <c r="Z52" s="92">
        <v>0</v>
      </c>
      <c r="AA52" s="92">
        <v>19</v>
      </c>
      <c r="AB52" s="92">
        <v>15</v>
      </c>
      <c r="AC52" s="92">
        <v>3</v>
      </c>
      <c r="AD52" s="92">
        <v>0</v>
      </c>
      <c r="AE52" s="92">
        <v>0</v>
      </c>
    </row>
    <row r="53" spans="1:31" s="123" customFormat="1" ht="24.95" customHeight="1">
      <c r="A53" s="333"/>
      <c r="B53" s="122">
        <v>40</v>
      </c>
      <c r="C53" s="110">
        <v>3398</v>
      </c>
      <c r="D53" s="93" t="s">
        <v>6198</v>
      </c>
      <c r="E53" s="92">
        <v>63</v>
      </c>
      <c r="F53" s="92">
        <v>2</v>
      </c>
      <c r="G53" s="92">
        <v>7</v>
      </c>
      <c r="H53" s="92">
        <v>3</v>
      </c>
      <c r="I53" s="92">
        <v>8</v>
      </c>
      <c r="J53" s="92">
        <v>0</v>
      </c>
      <c r="K53" s="92">
        <v>0</v>
      </c>
      <c r="L53" s="92">
        <v>0</v>
      </c>
      <c r="M53" s="92">
        <v>0</v>
      </c>
      <c r="N53" s="92">
        <v>3</v>
      </c>
      <c r="O53" s="92">
        <v>1</v>
      </c>
      <c r="P53" s="92">
        <v>3</v>
      </c>
      <c r="Q53" s="92">
        <v>19</v>
      </c>
      <c r="R53" s="92">
        <v>2</v>
      </c>
      <c r="S53" s="92">
        <v>1</v>
      </c>
      <c r="T53" s="92">
        <v>0</v>
      </c>
      <c r="U53" s="92">
        <v>0</v>
      </c>
      <c r="V53" s="92">
        <v>0</v>
      </c>
      <c r="W53" s="92">
        <v>0</v>
      </c>
      <c r="X53" s="92">
        <v>0</v>
      </c>
      <c r="Y53" s="92">
        <v>0</v>
      </c>
      <c r="Z53" s="92">
        <v>2</v>
      </c>
      <c r="AA53" s="92">
        <v>11</v>
      </c>
      <c r="AB53" s="92">
        <v>1</v>
      </c>
      <c r="AC53" s="92">
        <v>0</v>
      </c>
      <c r="AD53" s="92">
        <v>0</v>
      </c>
      <c r="AE53" s="92">
        <v>0</v>
      </c>
    </row>
    <row r="54" spans="1:31" s="123" customFormat="1" ht="24.95" customHeight="1">
      <c r="A54" s="333"/>
      <c r="B54" s="122">
        <v>41</v>
      </c>
      <c r="C54" s="110">
        <v>3465</v>
      </c>
      <c r="D54" s="93" t="s">
        <v>6198</v>
      </c>
      <c r="E54" s="92">
        <v>629</v>
      </c>
      <c r="F54" s="92">
        <v>14</v>
      </c>
      <c r="G54" s="92">
        <v>36</v>
      </c>
      <c r="H54" s="92">
        <v>60</v>
      </c>
      <c r="I54" s="92">
        <v>45</v>
      </c>
      <c r="J54" s="92">
        <v>3</v>
      </c>
      <c r="K54" s="92">
        <v>0</v>
      </c>
      <c r="L54" s="92">
        <v>0</v>
      </c>
      <c r="M54" s="92">
        <v>0</v>
      </c>
      <c r="N54" s="92">
        <v>32</v>
      </c>
      <c r="O54" s="92">
        <v>1</v>
      </c>
      <c r="P54" s="92">
        <v>47</v>
      </c>
      <c r="Q54" s="92">
        <v>194</v>
      </c>
      <c r="R54" s="92">
        <v>0</v>
      </c>
      <c r="S54" s="92">
        <v>15</v>
      </c>
      <c r="T54" s="92">
        <v>0</v>
      </c>
      <c r="U54" s="92">
        <v>0</v>
      </c>
      <c r="V54" s="92">
        <v>0</v>
      </c>
      <c r="W54" s="92">
        <v>96</v>
      </c>
      <c r="X54" s="92">
        <v>9</v>
      </c>
      <c r="Y54" s="92">
        <v>4</v>
      </c>
      <c r="Z54" s="92">
        <v>2</v>
      </c>
      <c r="AA54" s="92">
        <v>64</v>
      </c>
      <c r="AB54" s="92">
        <v>6</v>
      </c>
      <c r="AC54" s="92">
        <v>1</v>
      </c>
      <c r="AD54" s="92">
        <v>0</v>
      </c>
      <c r="AE54" s="92">
        <v>0</v>
      </c>
    </row>
    <row r="55" spans="1:31" s="123" customFormat="1" ht="24.95" customHeight="1">
      <c r="A55" s="333"/>
      <c r="B55" s="122">
        <v>42</v>
      </c>
      <c r="C55" s="110">
        <v>3474</v>
      </c>
      <c r="D55" s="93" t="s">
        <v>6198</v>
      </c>
      <c r="E55" s="92">
        <v>1427</v>
      </c>
      <c r="F55" s="92">
        <v>1</v>
      </c>
      <c r="G55" s="92">
        <v>14</v>
      </c>
      <c r="H55" s="92">
        <v>145</v>
      </c>
      <c r="I55" s="92">
        <v>361</v>
      </c>
      <c r="J55" s="92">
        <v>290</v>
      </c>
      <c r="K55" s="92">
        <v>0</v>
      </c>
      <c r="L55" s="92">
        <v>0</v>
      </c>
      <c r="M55" s="92">
        <v>0</v>
      </c>
      <c r="N55" s="92">
        <v>7</v>
      </c>
      <c r="O55" s="92">
        <v>2</v>
      </c>
      <c r="P55" s="92">
        <v>0</v>
      </c>
      <c r="Q55" s="92">
        <v>16</v>
      </c>
      <c r="R55" s="92">
        <v>6</v>
      </c>
      <c r="S55" s="92">
        <v>0</v>
      </c>
      <c r="T55" s="92">
        <v>0</v>
      </c>
      <c r="U55" s="92">
        <v>0</v>
      </c>
      <c r="V55" s="92">
        <v>7</v>
      </c>
      <c r="W55" s="92">
        <v>80</v>
      </c>
      <c r="X55" s="92">
        <v>0</v>
      </c>
      <c r="Y55" s="92">
        <v>2</v>
      </c>
      <c r="Z55" s="92">
        <v>0</v>
      </c>
      <c r="AA55" s="92">
        <v>2</v>
      </c>
      <c r="AB55" s="92">
        <v>490</v>
      </c>
      <c r="AC55" s="92">
        <v>4</v>
      </c>
      <c r="AD55" s="92">
        <v>0</v>
      </c>
      <c r="AE55" s="92">
        <v>0</v>
      </c>
    </row>
    <row r="56" spans="1:31" s="123" customFormat="1" ht="24.95" customHeight="1">
      <c r="A56" s="333"/>
      <c r="B56" s="122">
        <v>43</v>
      </c>
      <c r="C56" s="110">
        <v>3476</v>
      </c>
      <c r="D56" s="93" t="s">
        <v>6198</v>
      </c>
      <c r="E56" s="92">
        <v>176</v>
      </c>
      <c r="F56" s="92">
        <v>4</v>
      </c>
      <c r="G56" s="92">
        <v>33</v>
      </c>
      <c r="H56" s="92">
        <v>15</v>
      </c>
      <c r="I56" s="92">
        <v>5</v>
      </c>
      <c r="J56" s="92">
        <v>0</v>
      </c>
      <c r="K56" s="92">
        <v>0</v>
      </c>
      <c r="L56" s="92">
        <v>0</v>
      </c>
      <c r="M56" s="92">
        <v>0</v>
      </c>
      <c r="N56" s="92">
        <v>0</v>
      </c>
      <c r="O56" s="92">
        <v>0</v>
      </c>
      <c r="P56" s="92">
        <v>0</v>
      </c>
      <c r="Q56" s="92">
        <v>30</v>
      </c>
      <c r="R56" s="92">
        <v>4</v>
      </c>
      <c r="S56" s="92">
        <v>1</v>
      </c>
      <c r="T56" s="92">
        <v>0</v>
      </c>
      <c r="U56" s="92">
        <v>0</v>
      </c>
      <c r="V56" s="92">
        <v>0</v>
      </c>
      <c r="W56" s="92">
        <v>75</v>
      </c>
      <c r="X56" s="92">
        <v>0</v>
      </c>
      <c r="Y56" s="92">
        <v>1</v>
      </c>
      <c r="Z56" s="92">
        <v>1</v>
      </c>
      <c r="AA56" s="92">
        <v>3</v>
      </c>
      <c r="AB56" s="92">
        <v>0</v>
      </c>
      <c r="AC56" s="92">
        <v>4</v>
      </c>
      <c r="AD56" s="92">
        <v>0</v>
      </c>
      <c r="AE56" s="92">
        <v>0</v>
      </c>
    </row>
    <row r="57" spans="1:31" s="123" customFormat="1" ht="24.95" customHeight="1">
      <c r="A57" s="333"/>
      <c r="B57" s="122">
        <v>44</v>
      </c>
      <c r="C57" s="110">
        <v>3477</v>
      </c>
      <c r="D57" s="93" t="s">
        <v>6198</v>
      </c>
      <c r="E57" s="92">
        <v>1738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92">
        <v>0</v>
      </c>
      <c r="P57" s="92">
        <v>0</v>
      </c>
      <c r="Q57" s="92">
        <v>0</v>
      </c>
      <c r="R57" s="92">
        <v>0</v>
      </c>
      <c r="S57" s="92">
        <v>21</v>
      </c>
      <c r="T57" s="92">
        <v>0</v>
      </c>
      <c r="U57" s="92">
        <v>0</v>
      </c>
      <c r="V57" s="92">
        <v>0</v>
      </c>
      <c r="W57" s="92">
        <v>514</v>
      </c>
      <c r="X57" s="92">
        <v>1095</v>
      </c>
      <c r="Y57" s="92">
        <v>108</v>
      </c>
      <c r="Z57" s="92">
        <v>0</v>
      </c>
      <c r="AA57" s="92">
        <v>0</v>
      </c>
      <c r="AB57" s="92">
        <v>0</v>
      </c>
      <c r="AC57" s="92">
        <v>0</v>
      </c>
      <c r="AD57" s="92">
        <v>0</v>
      </c>
      <c r="AE57" s="92">
        <v>0</v>
      </c>
    </row>
    <row r="58" spans="1:31" s="123" customFormat="1" ht="24.95" customHeight="1">
      <c r="A58" s="333"/>
      <c r="B58" s="122">
        <v>45</v>
      </c>
      <c r="C58" s="110">
        <v>3478</v>
      </c>
      <c r="D58" s="93" t="s">
        <v>6198</v>
      </c>
      <c r="E58" s="92">
        <v>801</v>
      </c>
      <c r="F58" s="92">
        <v>0</v>
      </c>
      <c r="G58" s="92">
        <v>75</v>
      </c>
      <c r="H58" s="92">
        <v>0</v>
      </c>
      <c r="I58" s="92">
        <v>14</v>
      </c>
      <c r="J58" s="92">
        <v>0</v>
      </c>
      <c r="K58" s="92">
        <v>0</v>
      </c>
      <c r="L58" s="92">
        <v>0</v>
      </c>
      <c r="M58" s="92">
        <v>0</v>
      </c>
      <c r="N58" s="92">
        <v>43</v>
      </c>
      <c r="O58" s="92">
        <v>0</v>
      </c>
      <c r="P58" s="92">
        <v>0</v>
      </c>
      <c r="Q58" s="92">
        <v>0</v>
      </c>
      <c r="R58" s="92">
        <v>0</v>
      </c>
      <c r="S58" s="92">
        <v>21</v>
      </c>
      <c r="T58" s="92">
        <v>0</v>
      </c>
      <c r="U58" s="92">
        <v>0</v>
      </c>
      <c r="V58" s="92">
        <v>0</v>
      </c>
      <c r="W58" s="92">
        <v>560</v>
      </c>
      <c r="X58" s="92">
        <v>0</v>
      </c>
      <c r="Y58" s="92">
        <v>34</v>
      </c>
      <c r="Z58" s="92">
        <v>0</v>
      </c>
      <c r="AA58" s="92">
        <v>0</v>
      </c>
      <c r="AB58" s="92">
        <v>0</v>
      </c>
      <c r="AC58" s="92">
        <v>54</v>
      </c>
      <c r="AD58" s="92">
        <v>0</v>
      </c>
      <c r="AE58" s="92">
        <v>0</v>
      </c>
    </row>
    <row r="59" spans="1:31" s="123" customFormat="1" ht="24.95" customHeight="1">
      <c r="A59" s="333"/>
      <c r="B59" s="122">
        <v>46</v>
      </c>
      <c r="C59" s="110">
        <v>3479</v>
      </c>
      <c r="D59" s="93" t="s">
        <v>6198</v>
      </c>
      <c r="E59" s="92">
        <v>1436</v>
      </c>
      <c r="F59" s="92">
        <v>0</v>
      </c>
      <c r="G59" s="92">
        <v>56</v>
      </c>
      <c r="H59" s="92">
        <v>69</v>
      </c>
      <c r="I59" s="92">
        <v>84</v>
      </c>
      <c r="J59" s="92">
        <v>0</v>
      </c>
      <c r="K59" s="92">
        <v>0</v>
      </c>
      <c r="L59" s="92">
        <v>0</v>
      </c>
      <c r="M59" s="92">
        <v>0</v>
      </c>
      <c r="N59" s="92">
        <v>55</v>
      </c>
      <c r="O59" s="92">
        <v>13</v>
      </c>
      <c r="P59" s="92">
        <v>128</v>
      </c>
      <c r="Q59" s="92">
        <v>535</v>
      </c>
      <c r="R59" s="92">
        <v>81</v>
      </c>
      <c r="S59" s="92">
        <v>4</v>
      </c>
      <c r="T59" s="92">
        <v>0</v>
      </c>
      <c r="U59" s="92">
        <v>0</v>
      </c>
      <c r="V59" s="92">
        <v>45</v>
      </c>
      <c r="W59" s="92">
        <v>38</v>
      </c>
      <c r="X59" s="92">
        <v>0</v>
      </c>
      <c r="Y59" s="92">
        <v>4</v>
      </c>
      <c r="Z59" s="92">
        <v>26</v>
      </c>
      <c r="AA59" s="92">
        <v>0</v>
      </c>
      <c r="AB59" s="92">
        <v>272</v>
      </c>
      <c r="AC59" s="92">
        <v>20</v>
      </c>
      <c r="AD59" s="92">
        <v>3</v>
      </c>
      <c r="AE59" s="92">
        <v>3</v>
      </c>
    </row>
    <row r="60" spans="1:31" s="123" customFormat="1" ht="24.95" customHeight="1">
      <c r="A60" s="333"/>
      <c r="B60" s="122">
        <v>47</v>
      </c>
      <c r="C60" s="110">
        <v>3480</v>
      </c>
      <c r="D60" s="93" t="s">
        <v>6198</v>
      </c>
      <c r="E60" s="92">
        <v>777</v>
      </c>
      <c r="F60" s="92">
        <v>0</v>
      </c>
      <c r="G60" s="92">
        <v>9</v>
      </c>
      <c r="H60" s="92">
        <v>23</v>
      </c>
      <c r="I60" s="92">
        <v>194</v>
      </c>
      <c r="J60" s="92">
        <v>0</v>
      </c>
      <c r="K60" s="92">
        <v>0</v>
      </c>
      <c r="L60" s="92">
        <v>0</v>
      </c>
      <c r="M60" s="92">
        <v>0</v>
      </c>
      <c r="N60" s="92">
        <v>6</v>
      </c>
      <c r="O60" s="92">
        <v>0</v>
      </c>
      <c r="P60" s="92">
        <v>33</v>
      </c>
      <c r="Q60" s="92">
        <v>288</v>
      </c>
      <c r="R60" s="92">
        <v>0</v>
      </c>
      <c r="S60" s="92">
        <v>2</v>
      </c>
      <c r="T60" s="92">
        <v>0</v>
      </c>
      <c r="U60" s="92">
        <v>0</v>
      </c>
      <c r="V60" s="92">
        <v>15</v>
      </c>
      <c r="W60" s="92">
        <v>83</v>
      </c>
      <c r="X60" s="92">
        <v>0</v>
      </c>
      <c r="Y60" s="92">
        <v>25</v>
      </c>
      <c r="Z60" s="92">
        <v>21</v>
      </c>
      <c r="AA60" s="92">
        <v>0</v>
      </c>
      <c r="AB60" s="92">
        <v>44</v>
      </c>
      <c r="AC60" s="92">
        <v>28</v>
      </c>
      <c r="AD60" s="92">
        <v>3</v>
      </c>
      <c r="AE60" s="92">
        <v>3</v>
      </c>
    </row>
    <row r="61" spans="1:31" s="123" customFormat="1" ht="24.95" customHeight="1">
      <c r="A61" s="333"/>
      <c r="B61" s="122">
        <v>48</v>
      </c>
      <c r="C61" s="110">
        <v>3481</v>
      </c>
      <c r="D61" s="93" t="s">
        <v>6198</v>
      </c>
      <c r="E61" s="92">
        <v>849</v>
      </c>
      <c r="F61" s="92">
        <v>9</v>
      </c>
      <c r="G61" s="92">
        <v>17</v>
      </c>
      <c r="H61" s="92">
        <v>34</v>
      </c>
      <c r="I61" s="92">
        <v>12</v>
      </c>
      <c r="J61" s="92">
        <v>0</v>
      </c>
      <c r="K61" s="92">
        <v>0</v>
      </c>
      <c r="L61" s="92">
        <v>48</v>
      </c>
      <c r="M61" s="92">
        <v>0</v>
      </c>
      <c r="N61" s="92">
        <v>2</v>
      </c>
      <c r="O61" s="92">
        <v>0</v>
      </c>
      <c r="P61" s="92">
        <v>3</v>
      </c>
      <c r="Q61" s="92">
        <v>9</v>
      </c>
      <c r="R61" s="92">
        <v>2</v>
      </c>
      <c r="S61" s="92">
        <v>29</v>
      </c>
      <c r="T61" s="92">
        <v>0</v>
      </c>
      <c r="U61" s="92">
        <v>0</v>
      </c>
      <c r="V61" s="92">
        <v>0</v>
      </c>
      <c r="W61" s="92">
        <v>621</v>
      </c>
      <c r="X61" s="92">
        <v>0</v>
      </c>
      <c r="Y61" s="92">
        <v>50</v>
      </c>
      <c r="Z61" s="92">
        <v>0</v>
      </c>
      <c r="AA61" s="92">
        <v>7</v>
      </c>
      <c r="AB61" s="92">
        <v>6</v>
      </c>
      <c r="AC61" s="92">
        <v>0</v>
      </c>
      <c r="AD61" s="92">
        <v>0</v>
      </c>
      <c r="AE61" s="92">
        <v>0</v>
      </c>
    </row>
    <row r="62" spans="1:31" s="123" customFormat="1" ht="24.95" customHeight="1">
      <c r="A62" s="333"/>
      <c r="B62" s="122">
        <v>49</v>
      </c>
      <c r="C62" s="110">
        <v>3482</v>
      </c>
      <c r="D62" s="93" t="s">
        <v>6198</v>
      </c>
      <c r="E62" s="92">
        <v>404</v>
      </c>
      <c r="F62" s="92">
        <v>3</v>
      </c>
      <c r="G62" s="92">
        <v>7</v>
      </c>
      <c r="H62" s="92">
        <v>14</v>
      </c>
      <c r="I62" s="92">
        <v>27</v>
      </c>
      <c r="J62" s="92">
        <v>0</v>
      </c>
      <c r="K62" s="92">
        <v>0</v>
      </c>
      <c r="L62" s="92">
        <v>0</v>
      </c>
      <c r="M62" s="92">
        <v>0</v>
      </c>
      <c r="N62" s="92">
        <v>6</v>
      </c>
      <c r="O62" s="92">
        <v>4</v>
      </c>
      <c r="P62" s="92">
        <v>37</v>
      </c>
      <c r="Q62" s="92">
        <v>165</v>
      </c>
      <c r="R62" s="92">
        <v>3</v>
      </c>
      <c r="S62" s="92">
        <v>0</v>
      </c>
      <c r="T62" s="92">
        <v>0</v>
      </c>
      <c r="U62" s="92">
        <v>0</v>
      </c>
      <c r="V62" s="92">
        <v>1</v>
      </c>
      <c r="W62" s="92">
        <v>90</v>
      </c>
      <c r="X62" s="92">
        <v>0</v>
      </c>
      <c r="Y62" s="92">
        <v>7</v>
      </c>
      <c r="Z62" s="92">
        <v>8</v>
      </c>
      <c r="AA62" s="92">
        <v>2</v>
      </c>
      <c r="AB62" s="92">
        <v>27</v>
      </c>
      <c r="AC62" s="92">
        <v>1</v>
      </c>
      <c r="AD62" s="92">
        <v>2</v>
      </c>
      <c r="AE62" s="92">
        <v>0</v>
      </c>
    </row>
    <row r="63" spans="1:31" s="123" customFormat="1" ht="24.95" customHeight="1">
      <c r="A63" s="333"/>
      <c r="B63" s="122">
        <v>50</v>
      </c>
      <c r="C63" s="110">
        <v>3483</v>
      </c>
      <c r="D63" s="93" t="s">
        <v>6198</v>
      </c>
      <c r="E63" s="92">
        <v>871</v>
      </c>
      <c r="F63" s="92">
        <v>6</v>
      </c>
      <c r="G63" s="92">
        <v>14</v>
      </c>
      <c r="H63" s="92">
        <v>72</v>
      </c>
      <c r="I63" s="92">
        <v>125</v>
      </c>
      <c r="J63" s="92">
        <v>0</v>
      </c>
      <c r="K63" s="92">
        <v>0</v>
      </c>
      <c r="L63" s="92">
        <v>0</v>
      </c>
      <c r="M63" s="92">
        <v>0</v>
      </c>
      <c r="N63" s="92">
        <v>20</v>
      </c>
      <c r="O63" s="92">
        <v>13</v>
      </c>
      <c r="P63" s="92">
        <v>28</v>
      </c>
      <c r="Q63" s="92">
        <v>209</v>
      </c>
      <c r="R63" s="92">
        <v>27</v>
      </c>
      <c r="S63" s="92">
        <v>23</v>
      </c>
      <c r="T63" s="92">
        <v>0</v>
      </c>
      <c r="U63" s="92">
        <v>0</v>
      </c>
      <c r="V63" s="92">
        <v>12</v>
      </c>
      <c r="W63" s="92">
        <v>138</v>
      </c>
      <c r="X63" s="92">
        <v>0</v>
      </c>
      <c r="Y63" s="92">
        <v>12</v>
      </c>
      <c r="Z63" s="92">
        <v>18</v>
      </c>
      <c r="AA63" s="92">
        <v>1</v>
      </c>
      <c r="AB63" s="92">
        <v>138</v>
      </c>
      <c r="AC63" s="92">
        <v>10</v>
      </c>
      <c r="AD63" s="92">
        <v>3</v>
      </c>
      <c r="AE63" s="92">
        <v>2</v>
      </c>
    </row>
    <row r="64" spans="1:31" s="123" customFormat="1" ht="24.95" customHeight="1">
      <c r="A64" s="333"/>
      <c r="B64" s="122">
        <v>51</v>
      </c>
      <c r="C64" s="110">
        <v>3484</v>
      </c>
      <c r="D64" s="93" t="s">
        <v>6198</v>
      </c>
      <c r="E64" s="92">
        <v>2533</v>
      </c>
      <c r="F64" s="92">
        <v>37</v>
      </c>
      <c r="G64" s="92">
        <v>78</v>
      </c>
      <c r="H64" s="92">
        <v>456</v>
      </c>
      <c r="I64" s="92">
        <v>490</v>
      </c>
      <c r="J64" s="92">
        <v>6</v>
      </c>
      <c r="K64" s="92">
        <v>0</v>
      </c>
      <c r="L64" s="92">
        <v>0</v>
      </c>
      <c r="M64" s="92">
        <v>0</v>
      </c>
      <c r="N64" s="92">
        <v>31</v>
      </c>
      <c r="O64" s="92">
        <v>30</v>
      </c>
      <c r="P64" s="92">
        <v>143</v>
      </c>
      <c r="Q64" s="92">
        <v>746</v>
      </c>
      <c r="R64" s="92">
        <v>16</v>
      </c>
      <c r="S64" s="92">
        <v>20</v>
      </c>
      <c r="T64" s="92">
        <v>0</v>
      </c>
      <c r="U64" s="92">
        <v>20</v>
      </c>
      <c r="V64" s="92">
        <v>34</v>
      </c>
      <c r="W64" s="92">
        <v>6</v>
      </c>
      <c r="X64" s="92">
        <v>0</v>
      </c>
      <c r="Y64" s="92">
        <v>6</v>
      </c>
      <c r="Z64" s="92">
        <v>34</v>
      </c>
      <c r="AA64" s="92">
        <v>15</v>
      </c>
      <c r="AB64" s="92">
        <v>329</v>
      </c>
      <c r="AC64" s="92">
        <v>21</v>
      </c>
      <c r="AD64" s="92">
        <v>4</v>
      </c>
      <c r="AE64" s="92">
        <v>11</v>
      </c>
    </row>
    <row r="65" spans="1:31" s="123" customFormat="1" ht="24.95" customHeight="1">
      <c r="A65" s="333"/>
      <c r="B65" s="122">
        <v>52</v>
      </c>
      <c r="C65" s="110">
        <v>3485</v>
      </c>
      <c r="D65" s="93" t="s">
        <v>6198</v>
      </c>
      <c r="E65" s="92">
        <v>1554</v>
      </c>
      <c r="F65" s="92">
        <v>0</v>
      </c>
      <c r="G65" s="92">
        <v>0</v>
      </c>
      <c r="H65" s="92">
        <v>0</v>
      </c>
      <c r="I65" s="92">
        <v>0</v>
      </c>
      <c r="J65" s="92">
        <v>0</v>
      </c>
      <c r="K65" s="92">
        <v>0</v>
      </c>
      <c r="L65" s="92">
        <v>0</v>
      </c>
      <c r="M65" s="92">
        <v>0</v>
      </c>
      <c r="N65" s="92">
        <v>20</v>
      </c>
      <c r="O65" s="92">
        <v>0</v>
      </c>
      <c r="P65" s="92">
        <v>68</v>
      </c>
      <c r="Q65" s="92">
        <v>1297</v>
      </c>
      <c r="R65" s="92">
        <v>0</v>
      </c>
      <c r="S65" s="92">
        <v>5</v>
      </c>
      <c r="T65" s="92">
        <v>0</v>
      </c>
      <c r="U65" s="92">
        <v>0</v>
      </c>
      <c r="V65" s="92">
        <v>56</v>
      </c>
      <c r="W65" s="92">
        <v>0</v>
      </c>
      <c r="X65" s="92">
        <v>0</v>
      </c>
      <c r="Y65" s="92">
        <v>0</v>
      </c>
      <c r="Z65" s="92">
        <v>80</v>
      </c>
      <c r="AA65" s="92">
        <v>0</v>
      </c>
      <c r="AB65" s="92">
        <v>0</v>
      </c>
      <c r="AC65" s="92">
        <v>0</v>
      </c>
      <c r="AD65" s="92">
        <v>16</v>
      </c>
      <c r="AE65" s="92">
        <v>12</v>
      </c>
    </row>
    <row r="66" spans="1:31" s="123" customFormat="1" ht="24.95" customHeight="1">
      <c r="A66" s="333"/>
      <c r="B66" s="122">
        <v>53</v>
      </c>
      <c r="C66" s="110">
        <v>3487</v>
      </c>
      <c r="D66" s="93" t="s">
        <v>6198</v>
      </c>
      <c r="E66" s="92">
        <v>320</v>
      </c>
      <c r="F66" s="92">
        <v>4</v>
      </c>
      <c r="G66" s="92">
        <v>5</v>
      </c>
      <c r="H66" s="92">
        <v>93</v>
      </c>
      <c r="I66" s="92">
        <v>37</v>
      </c>
      <c r="J66" s="92">
        <v>0</v>
      </c>
      <c r="K66" s="92">
        <v>0</v>
      </c>
      <c r="L66" s="92">
        <v>0</v>
      </c>
      <c r="M66" s="92">
        <v>0</v>
      </c>
      <c r="N66" s="92">
        <v>0</v>
      </c>
      <c r="O66" s="92">
        <v>0</v>
      </c>
      <c r="P66" s="92">
        <v>28</v>
      </c>
      <c r="Q66" s="92">
        <v>91</v>
      </c>
      <c r="R66" s="92">
        <v>1</v>
      </c>
      <c r="S66" s="92">
        <v>0</v>
      </c>
      <c r="T66" s="92">
        <v>0</v>
      </c>
      <c r="U66" s="92">
        <v>0</v>
      </c>
      <c r="V66" s="92">
        <v>1</v>
      </c>
      <c r="W66" s="92">
        <v>45</v>
      </c>
      <c r="X66" s="92">
        <v>0</v>
      </c>
      <c r="Y66" s="92">
        <v>1</v>
      </c>
      <c r="Z66" s="92">
        <v>4</v>
      </c>
      <c r="AA66" s="92">
        <v>0</v>
      </c>
      <c r="AB66" s="92">
        <v>3</v>
      </c>
      <c r="AC66" s="92">
        <v>5</v>
      </c>
      <c r="AD66" s="92">
        <v>1</v>
      </c>
      <c r="AE66" s="92">
        <v>1</v>
      </c>
    </row>
    <row r="67" spans="1:31" s="123" customFormat="1" ht="24.95" customHeight="1">
      <c r="A67" s="333"/>
      <c r="B67" s="122">
        <v>54</v>
      </c>
      <c r="C67" s="110">
        <v>3489</v>
      </c>
      <c r="D67" s="93" t="s">
        <v>6198</v>
      </c>
      <c r="E67" s="92">
        <v>1026</v>
      </c>
      <c r="F67" s="92">
        <v>28</v>
      </c>
      <c r="G67" s="92">
        <v>41</v>
      </c>
      <c r="H67" s="92">
        <v>0</v>
      </c>
      <c r="I67" s="92">
        <v>263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92">
        <v>0</v>
      </c>
      <c r="P67" s="92">
        <v>0</v>
      </c>
      <c r="Q67" s="92">
        <v>4</v>
      </c>
      <c r="R67" s="92">
        <v>0</v>
      </c>
      <c r="S67" s="92">
        <v>15</v>
      </c>
      <c r="T67" s="92">
        <v>0</v>
      </c>
      <c r="U67" s="92">
        <v>0</v>
      </c>
      <c r="V67" s="92">
        <v>13</v>
      </c>
      <c r="W67" s="92">
        <v>193</v>
      </c>
      <c r="X67" s="92">
        <v>0</v>
      </c>
      <c r="Y67" s="92">
        <v>0</v>
      </c>
      <c r="Z67" s="92">
        <v>0</v>
      </c>
      <c r="AA67" s="92">
        <v>89</v>
      </c>
      <c r="AB67" s="92">
        <v>380</v>
      </c>
      <c r="AC67" s="92">
        <v>0</v>
      </c>
      <c r="AD67" s="92">
        <v>0</v>
      </c>
      <c r="AE67" s="92">
        <v>0</v>
      </c>
    </row>
    <row r="68" spans="1:31" s="123" customFormat="1" ht="24.95" customHeight="1">
      <c r="A68" s="333"/>
      <c r="B68" s="122">
        <v>55</v>
      </c>
      <c r="C68" s="110">
        <v>3490</v>
      </c>
      <c r="D68" s="93" t="s">
        <v>6198</v>
      </c>
      <c r="E68" s="92">
        <v>1026</v>
      </c>
      <c r="F68" s="92">
        <v>28</v>
      </c>
      <c r="G68" s="92">
        <v>41</v>
      </c>
      <c r="H68" s="92">
        <v>0</v>
      </c>
      <c r="I68" s="92">
        <v>263</v>
      </c>
      <c r="J68" s="92">
        <v>0</v>
      </c>
      <c r="K68" s="92">
        <v>0</v>
      </c>
      <c r="L68" s="92">
        <v>0</v>
      </c>
      <c r="M68" s="92">
        <v>0</v>
      </c>
      <c r="N68" s="92">
        <v>0</v>
      </c>
      <c r="O68" s="92">
        <v>0</v>
      </c>
      <c r="P68" s="92">
        <v>0</v>
      </c>
      <c r="Q68" s="92">
        <v>4</v>
      </c>
      <c r="R68" s="92">
        <v>0</v>
      </c>
      <c r="S68" s="92">
        <v>15</v>
      </c>
      <c r="T68" s="92">
        <v>0</v>
      </c>
      <c r="U68" s="92">
        <v>0</v>
      </c>
      <c r="V68" s="92">
        <v>13</v>
      </c>
      <c r="W68" s="92">
        <v>193</v>
      </c>
      <c r="X68" s="92">
        <v>0</v>
      </c>
      <c r="Y68" s="92">
        <v>0</v>
      </c>
      <c r="Z68" s="92">
        <v>0</v>
      </c>
      <c r="AA68" s="92">
        <v>89</v>
      </c>
      <c r="AB68" s="92">
        <v>380</v>
      </c>
      <c r="AC68" s="92">
        <v>0</v>
      </c>
      <c r="AD68" s="92">
        <v>0</v>
      </c>
      <c r="AE68" s="92">
        <v>0</v>
      </c>
    </row>
    <row r="69" spans="1:31" s="123" customFormat="1" ht="24.95" customHeight="1">
      <c r="A69" s="333"/>
      <c r="B69" s="122">
        <v>56</v>
      </c>
      <c r="C69" s="110">
        <v>3491</v>
      </c>
      <c r="D69" s="93" t="s">
        <v>6198</v>
      </c>
      <c r="E69" s="92">
        <v>1026</v>
      </c>
      <c r="F69" s="92">
        <v>28</v>
      </c>
      <c r="G69" s="92">
        <v>41</v>
      </c>
      <c r="H69" s="92">
        <v>0</v>
      </c>
      <c r="I69" s="92">
        <v>263</v>
      </c>
      <c r="J69" s="92">
        <v>0</v>
      </c>
      <c r="K69" s="92">
        <v>0</v>
      </c>
      <c r="L69" s="92">
        <v>0</v>
      </c>
      <c r="M69" s="92">
        <v>0</v>
      </c>
      <c r="N69" s="92">
        <v>0</v>
      </c>
      <c r="O69" s="92">
        <v>0</v>
      </c>
      <c r="P69" s="92">
        <v>0</v>
      </c>
      <c r="Q69" s="92">
        <v>4</v>
      </c>
      <c r="R69" s="92">
        <v>0</v>
      </c>
      <c r="S69" s="92">
        <v>15</v>
      </c>
      <c r="T69" s="92">
        <v>0</v>
      </c>
      <c r="U69" s="92">
        <v>0</v>
      </c>
      <c r="V69" s="92">
        <v>13</v>
      </c>
      <c r="W69" s="92">
        <v>193</v>
      </c>
      <c r="X69" s="92">
        <v>0</v>
      </c>
      <c r="Y69" s="92">
        <v>0</v>
      </c>
      <c r="Z69" s="92">
        <v>0</v>
      </c>
      <c r="AA69" s="92">
        <v>89</v>
      </c>
      <c r="AB69" s="92">
        <v>380</v>
      </c>
      <c r="AC69" s="92">
        <v>0</v>
      </c>
      <c r="AD69" s="92">
        <v>0</v>
      </c>
      <c r="AE69" s="92">
        <v>0</v>
      </c>
    </row>
    <row r="70" spans="1:31" s="123" customFormat="1" ht="24.95" customHeight="1">
      <c r="A70" s="333"/>
      <c r="B70" s="122">
        <v>57</v>
      </c>
      <c r="C70" s="110">
        <v>3492</v>
      </c>
      <c r="D70" s="93" t="s">
        <v>6198</v>
      </c>
      <c r="E70" s="92">
        <v>1050</v>
      </c>
      <c r="F70" s="92">
        <v>29</v>
      </c>
      <c r="G70" s="92">
        <v>41</v>
      </c>
      <c r="H70" s="92">
        <v>0</v>
      </c>
      <c r="I70" s="92">
        <v>269</v>
      </c>
      <c r="J70" s="92">
        <v>0</v>
      </c>
      <c r="K70" s="92">
        <v>0</v>
      </c>
      <c r="L70" s="92">
        <v>0</v>
      </c>
      <c r="M70" s="92">
        <v>0</v>
      </c>
      <c r="N70" s="92">
        <v>0</v>
      </c>
      <c r="O70" s="92">
        <v>0</v>
      </c>
      <c r="P70" s="92">
        <v>0</v>
      </c>
      <c r="Q70" s="92">
        <v>4</v>
      </c>
      <c r="R70" s="92">
        <v>0</v>
      </c>
      <c r="S70" s="92">
        <v>15</v>
      </c>
      <c r="T70" s="92">
        <v>0</v>
      </c>
      <c r="U70" s="92">
        <v>0</v>
      </c>
      <c r="V70" s="92">
        <v>13</v>
      </c>
      <c r="W70" s="92">
        <v>198</v>
      </c>
      <c r="X70" s="92">
        <v>0</v>
      </c>
      <c r="Y70" s="92">
        <v>0</v>
      </c>
      <c r="Z70" s="92">
        <v>0</v>
      </c>
      <c r="AA70" s="92">
        <v>91</v>
      </c>
      <c r="AB70" s="92">
        <v>390</v>
      </c>
      <c r="AC70" s="92">
        <v>0</v>
      </c>
      <c r="AD70" s="92">
        <v>0</v>
      </c>
      <c r="AE70" s="92">
        <v>0</v>
      </c>
    </row>
    <row r="71" spans="1:31" s="123" customFormat="1" ht="24.95" customHeight="1">
      <c r="A71" s="333"/>
      <c r="B71" s="122">
        <v>58</v>
      </c>
      <c r="C71" s="110">
        <v>3493</v>
      </c>
      <c r="D71" s="93" t="s">
        <v>6198</v>
      </c>
      <c r="E71" s="92">
        <v>90</v>
      </c>
      <c r="F71" s="92">
        <v>0</v>
      </c>
      <c r="G71" s="92">
        <v>12</v>
      </c>
      <c r="H71" s="92">
        <v>4</v>
      </c>
      <c r="I71" s="92">
        <v>6</v>
      </c>
      <c r="J71" s="92">
        <v>0</v>
      </c>
      <c r="K71" s="92">
        <v>0</v>
      </c>
      <c r="L71" s="92">
        <v>0</v>
      </c>
      <c r="M71" s="92">
        <v>0</v>
      </c>
      <c r="N71" s="92">
        <v>1</v>
      </c>
      <c r="O71" s="92">
        <v>0</v>
      </c>
      <c r="P71" s="92">
        <v>8</v>
      </c>
      <c r="Q71" s="92">
        <v>25</v>
      </c>
      <c r="R71" s="92">
        <v>0</v>
      </c>
      <c r="S71" s="92">
        <v>6</v>
      </c>
      <c r="T71" s="92">
        <v>0</v>
      </c>
      <c r="U71" s="92">
        <v>0</v>
      </c>
      <c r="V71" s="92">
        <v>0</v>
      </c>
      <c r="W71" s="92">
        <v>11</v>
      </c>
      <c r="X71" s="92">
        <v>5</v>
      </c>
      <c r="Y71" s="92">
        <v>1</v>
      </c>
      <c r="Z71" s="92">
        <v>2</v>
      </c>
      <c r="AA71" s="92">
        <v>0</v>
      </c>
      <c r="AB71" s="92">
        <v>7</v>
      </c>
      <c r="AC71" s="92">
        <v>0</v>
      </c>
      <c r="AD71" s="92">
        <v>1</v>
      </c>
      <c r="AE71" s="92">
        <v>1</v>
      </c>
    </row>
    <row r="72" spans="1:31" s="123" customFormat="1" ht="24.95" customHeight="1">
      <c r="A72" s="333"/>
      <c r="B72" s="122">
        <v>59</v>
      </c>
      <c r="C72" s="110">
        <v>3494</v>
      </c>
      <c r="D72" s="93" t="s">
        <v>6198</v>
      </c>
      <c r="E72" s="92">
        <v>2352</v>
      </c>
      <c r="F72" s="92">
        <v>20</v>
      </c>
      <c r="G72" s="92">
        <v>45</v>
      </c>
      <c r="H72" s="92">
        <v>485</v>
      </c>
      <c r="I72" s="92">
        <v>200</v>
      </c>
      <c r="J72" s="92">
        <v>0</v>
      </c>
      <c r="K72" s="92">
        <v>0</v>
      </c>
      <c r="L72" s="92">
        <v>0</v>
      </c>
      <c r="M72" s="92">
        <v>0</v>
      </c>
      <c r="N72" s="92">
        <v>2</v>
      </c>
      <c r="O72" s="92">
        <v>2</v>
      </c>
      <c r="P72" s="92">
        <v>132</v>
      </c>
      <c r="Q72" s="92">
        <v>710</v>
      </c>
      <c r="R72" s="92">
        <v>4</v>
      </c>
      <c r="S72" s="92">
        <v>0</v>
      </c>
      <c r="T72" s="92">
        <v>0</v>
      </c>
      <c r="U72" s="92">
        <v>0</v>
      </c>
      <c r="V72" s="92">
        <v>0</v>
      </c>
      <c r="W72" s="92">
        <v>438</v>
      </c>
      <c r="X72" s="92">
        <v>0</v>
      </c>
      <c r="Y72" s="92">
        <v>8</v>
      </c>
      <c r="Z72" s="92">
        <v>25</v>
      </c>
      <c r="AA72" s="92">
        <v>191</v>
      </c>
      <c r="AB72" s="92">
        <v>25</v>
      </c>
      <c r="AC72" s="92">
        <v>52</v>
      </c>
      <c r="AD72" s="92">
        <v>5</v>
      </c>
      <c r="AE72" s="92">
        <v>8</v>
      </c>
    </row>
    <row r="73" spans="1:31" s="123" customFormat="1" ht="24.95" customHeight="1">
      <c r="A73" s="333"/>
      <c r="B73" s="122">
        <v>60</v>
      </c>
      <c r="C73" s="110">
        <v>3495</v>
      </c>
      <c r="D73" s="93" t="s">
        <v>6198</v>
      </c>
      <c r="E73" s="92">
        <v>1355</v>
      </c>
      <c r="F73" s="92">
        <v>0</v>
      </c>
      <c r="G73" s="92">
        <v>16</v>
      </c>
      <c r="H73" s="92">
        <v>0</v>
      </c>
      <c r="I73" s="92">
        <v>0</v>
      </c>
      <c r="J73" s="92">
        <v>0</v>
      </c>
      <c r="K73" s="92">
        <v>0</v>
      </c>
      <c r="L73" s="92">
        <v>0</v>
      </c>
      <c r="M73" s="92">
        <v>0</v>
      </c>
      <c r="N73" s="92">
        <v>0</v>
      </c>
      <c r="O73" s="92">
        <v>0</v>
      </c>
      <c r="P73" s="92">
        <v>0</v>
      </c>
      <c r="Q73" s="92">
        <v>565</v>
      </c>
      <c r="R73" s="92">
        <v>0</v>
      </c>
      <c r="S73" s="92">
        <v>0</v>
      </c>
      <c r="T73" s="92">
        <v>0</v>
      </c>
      <c r="U73" s="92">
        <v>0</v>
      </c>
      <c r="V73" s="92">
        <v>0</v>
      </c>
      <c r="W73" s="92">
        <v>123</v>
      </c>
      <c r="X73" s="92">
        <v>0</v>
      </c>
      <c r="Y73" s="92">
        <v>0</v>
      </c>
      <c r="Z73" s="92">
        <v>0</v>
      </c>
      <c r="AA73" s="92">
        <v>587</v>
      </c>
      <c r="AB73" s="92">
        <v>0</v>
      </c>
      <c r="AC73" s="92">
        <v>64</v>
      </c>
      <c r="AD73" s="92">
        <v>0</v>
      </c>
      <c r="AE73" s="92">
        <v>0</v>
      </c>
    </row>
    <row r="74" spans="1:31" s="123" customFormat="1" ht="24.95" customHeight="1">
      <c r="A74" s="333"/>
      <c r="B74" s="122">
        <v>61</v>
      </c>
      <c r="C74" s="110">
        <v>3496</v>
      </c>
      <c r="D74" s="93" t="s">
        <v>6198</v>
      </c>
      <c r="E74" s="92">
        <v>2067</v>
      </c>
      <c r="F74" s="92">
        <v>57</v>
      </c>
      <c r="G74" s="92">
        <v>361</v>
      </c>
      <c r="H74" s="92">
        <v>151</v>
      </c>
      <c r="I74" s="92">
        <v>292</v>
      </c>
      <c r="J74" s="92">
        <v>0</v>
      </c>
      <c r="K74" s="92">
        <v>0</v>
      </c>
      <c r="L74" s="92">
        <v>0</v>
      </c>
      <c r="M74" s="92">
        <v>0</v>
      </c>
      <c r="N74" s="92">
        <v>45</v>
      </c>
      <c r="O74" s="92">
        <v>12</v>
      </c>
      <c r="P74" s="92">
        <v>51</v>
      </c>
      <c r="Q74" s="92">
        <v>433</v>
      </c>
      <c r="R74" s="92">
        <v>5</v>
      </c>
      <c r="S74" s="92">
        <v>0</v>
      </c>
      <c r="T74" s="92">
        <v>0</v>
      </c>
      <c r="U74" s="92">
        <v>1</v>
      </c>
      <c r="V74" s="92">
        <v>6</v>
      </c>
      <c r="W74" s="92">
        <v>289</v>
      </c>
      <c r="X74" s="92">
        <v>0</v>
      </c>
      <c r="Y74" s="92">
        <v>5</v>
      </c>
      <c r="Z74" s="92">
        <v>30</v>
      </c>
      <c r="AA74" s="92">
        <v>125</v>
      </c>
      <c r="AB74" s="92">
        <v>88</v>
      </c>
      <c r="AC74" s="92">
        <v>109</v>
      </c>
      <c r="AD74" s="92">
        <v>5</v>
      </c>
      <c r="AE74" s="92">
        <v>2</v>
      </c>
    </row>
    <row r="75" spans="1:31" s="123" customFormat="1" ht="24.95" customHeight="1">
      <c r="A75" s="333"/>
      <c r="B75" s="122">
        <v>62</v>
      </c>
      <c r="C75" s="110">
        <v>3497</v>
      </c>
      <c r="D75" s="93" t="s">
        <v>6198</v>
      </c>
      <c r="E75" s="92">
        <v>1384</v>
      </c>
      <c r="F75" s="92">
        <v>16</v>
      </c>
      <c r="G75" s="92">
        <v>27</v>
      </c>
      <c r="H75" s="92">
        <v>197</v>
      </c>
      <c r="I75" s="92">
        <v>41</v>
      </c>
      <c r="J75" s="92">
        <v>0</v>
      </c>
      <c r="K75" s="92">
        <v>0</v>
      </c>
      <c r="L75" s="92">
        <v>0</v>
      </c>
      <c r="M75" s="92">
        <v>0</v>
      </c>
      <c r="N75" s="92">
        <v>3</v>
      </c>
      <c r="O75" s="92">
        <v>0</v>
      </c>
      <c r="P75" s="92">
        <v>145</v>
      </c>
      <c r="Q75" s="92">
        <v>796</v>
      </c>
      <c r="R75" s="92">
        <v>2</v>
      </c>
      <c r="S75" s="92">
        <v>5</v>
      </c>
      <c r="T75" s="92">
        <v>0</v>
      </c>
      <c r="U75" s="92">
        <v>0</v>
      </c>
      <c r="V75" s="92">
        <v>52</v>
      </c>
      <c r="W75" s="92">
        <v>17</v>
      </c>
      <c r="X75" s="92">
        <v>0</v>
      </c>
      <c r="Y75" s="92">
        <v>1</v>
      </c>
      <c r="Z75" s="92">
        <v>40</v>
      </c>
      <c r="AA75" s="92">
        <v>0</v>
      </c>
      <c r="AB75" s="92">
        <v>6</v>
      </c>
      <c r="AC75" s="92">
        <v>13</v>
      </c>
      <c r="AD75" s="92">
        <v>9</v>
      </c>
      <c r="AE75" s="92">
        <v>14</v>
      </c>
    </row>
    <row r="76" spans="1:31" s="123" customFormat="1" ht="24.95" customHeight="1">
      <c r="A76" s="333"/>
      <c r="B76" s="122">
        <v>63</v>
      </c>
      <c r="C76" s="110">
        <v>3498</v>
      </c>
      <c r="D76" s="93" t="s">
        <v>6198</v>
      </c>
      <c r="E76" s="92">
        <v>498</v>
      </c>
      <c r="F76" s="92">
        <v>1</v>
      </c>
      <c r="G76" s="92">
        <v>13</v>
      </c>
      <c r="H76" s="92">
        <v>20</v>
      </c>
      <c r="I76" s="92">
        <v>4</v>
      </c>
      <c r="J76" s="92">
        <v>0</v>
      </c>
      <c r="K76" s="92">
        <v>0</v>
      </c>
      <c r="L76" s="92">
        <v>0</v>
      </c>
      <c r="M76" s="92">
        <v>0</v>
      </c>
      <c r="N76" s="92">
        <v>1</v>
      </c>
      <c r="O76" s="92">
        <v>0</v>
      </c>
      <c r="P76" s="92">
        <v>108</v>
      </c>
      <c r="Q76" s="92">
        <v>286</v>
      </c>
      <c r="R76" s="92">
        <v>0</v>
      </c>
      <c r="S76" s="92">
        <v>0</v>
      </c>
      <c r="T76" s="92">
        <v>0</v>
      </c>
      <c r="U76" s="92">
        <v>3</v>
      </c>
      <c r="V76" s="92">
        <v>34</v>
      </c>
      <c r="W76" s="92">
        <v>0</v>
      </c>
      <c r="X76" s="92">
        <v>0</v>
      </c>
      <c r="Y76" s="92">
        <v>0</v>
      </c>
      <c r="Z76" s="92">
        <v>18</v>
      </c>
      <c r="AA76" s="92">
        <v>0</v>
      </c>
      <c r="AB76" s="92">
        <v>0</v>
      </c>
      <c r="AC76" s="92">
        <v>3</v>
      </c>
      <c r="AD76" s="92">
        <v>4</v>
      </c>
      <c r="AE76" s="92">
        <v>3</v>
      </c>
    </row>
    <row r="77" spans="1:31" s="123" customFormat="1" ht="24.95" customHeight="1">
      <c r="A77" s="333"/>
      <c r="B77" s="122">
        <v>64</v>
      </c>
      <c r="C77" s="110">
        <v>3504</v>
      </c>
      <c r="D77" s="93" t="s">
        <v>6198</v>
      </c>
      <c r="E77" s="92">
        <v>297</v>
      </c>
      <c r="F77" s="92">
        <v>0</v>
      </c>
      <c r="G77" s="92">
        <v>9</v>
      </c>
      <c r="H77" s="92">
        <v>16</v>
      </c>
      <c r="I77" s="92">
        <v>48</v>
      </c>
      <c r="J77" s="92">
        <v>0</v>
      </c>
      <c r="K77" s="92">
        <v>0</v>
      </c>
      <c r="L77" s="92">
        <v>0</v>
      </c>
      <c r="M77" s="92">
        <v>0</v>
      </c>
      <c r="N77" s="92">
        <v>18</v>
      </c>
      <c r="O77" s="92">
        <v>0</v>
      </c>
      <c r="P77" s="92">
        <v>9</v>
      </c>
      <c r="Q77" s="92">
        <v>64</v>
      </c>
      <c r="R77" s="92">
        <v>2</v>
      </c>
      <c r="S77" s="92">
        <v>0</v>
      </c>
      <c r="T77" s="92">
        <v>0</v>
      </c>
      <c r="U77" s="92">
        <v>0</v>
      </c>
      <c r="V77" s="92">
        <v>4</v>
      </c>
      <c r="W77" s="92">
        <v>35</v>
      </c>
      <c r="X77" s="92">
        <v>6</v>
      </c>
      <c r="Y77" s="92">
        <v>7</v>
      </c>
      <c r="Z77" s="92">
        <v>8</v>
      </c>
      <c r="AA77" s="92">
        <v>1</v>
      </c>
      <c r="AB77" s="92">
        <v>45</v>
      </c>
      <c r="AC77" s="92">
        <v>25</v>
      </c>
      <c r="AD77" s="92">
        <v>0</v>
      </c>
      <c r="AE77" s="92">
        <v>0</v>
      </c>
    </row>
    <row r="78" spans="1:31" s="123" customFormat="1" ht="24.95" customHeight="1">
      <c r="A78" s="333"/>
      <c r="B78" s="122">
        <v>65</v>
      </c>
      <c r="C78" s="110">
        <v>3514</v>
      </c>
      <c r="D78" s="93" t="s">
        <v>6198</v>
      </c>
      <c r="E78" s="92">
        <v>2352</v>
      </c>
      <c r="F78" s="92">
        <v>20</v>
      </c>
      <c r="G78" s="92">
        <v>45</v>
      </c>
      <c r="H78" s="92">
        <v>485</v>
      </c>
      <c r="I78" s="92">
        <v>200</v>
      </c>
      <c r="J78" s="92">
        <v>0</v>
      </c>
      <c r="K78" s="92">
        <v>0</v>
      </c>
      <c r="L78" s="92">
        <v>0</v>
      </c>
      <c r="M78" s="92">
        <v>0</v>
      </c>
      <c r="N78" s="92">
        <v>2</v>
      </c>
      <c r="O78" s="92">
        <v>2</v>
      </c>
      <c r="P78" s="92">
        <v>132</v>
      </c>
      <c r="Q78" s="92">
        <v>710</v>
      </c>
      <c r="R78" s="92">
        <v>4</v>
      </c>
      <c r="S78" s="92">
        <v>0</v>
      </c>
      <c r="T78" s="92">
        <v>0</v>
      </c>
      <c r="U78" s="92">
        <v>0</v>
      </c>
      <c r="V78" s="92">
        <v>0</v>
      </c>
      <c r="W78" s="92">
        <v>438</v>
      </c>
      <c r="X78" s="92">
        <v>0</v>
      </c>
      <c r="Y78" s="92">
        <v>8</v>
      </c>
      <c r="Z78" s="92">
        <v>25</v>
      </c>
      <c r="AA78" s="92">
        <v>191</v>
      </c>
      <c r="AB78" s="92">
        <v>25</v>
      </c>
      <c r="AC78" s="92">
        <v>52</v>
      </c>
      <c r="AD78" s="92">
        <v>5</v>
      </c>
      <c r="AE78" s="92">
        <v>8</v>
      </c>
    </row>
    <row r="79" spans="1:31" s="123" customFormat="1" ht="24.95" customHeight="1">
      <c r="A79" s="333"/>
      <c r="B79" s="122">
        <v>66</v>
      </c>
      <c r="C79" s="110">
        <v>3515</v>
      </c>
      <c r="D79" s="93" t="s">
        <v>6198</v>
      </c>
      <c r="E79" s="92">
        <v>2352</v>
      </c>
      <c r="F79" s="92">
        <v>20</v>
      </c>
      <c r="G79" s="92">
        <v>45</v>
      </c>
      <c r="H79" s="92">
        <v>485</v>
      </c>
      <c r="I79" s="92">
        <v>200</v>
      </c>
      <c r="J79" s="92">
        <v>0</v>
      </c>
      <c r="K79" s="92">
        <v>0</v>
      </c>
      <c r="L79" s="92">
        <v>0</v>
      </c>
      <c r="M79" s="92">
        <v>0</v>
      </c>
      <c r="N79" s="92">
        <v>2</v>
      </c>
      <c r="O79" s="92">
        <v>2</v>
      </c>
      <c r="P79" s="92">
        <v>132</v>
      </c>
      <c r="Q79" s="92">
        <v>710</v>
      </c>
      <c r="R79" s="92">
        <v>4</v>
      </c>
      <c r="S79" s="92">
        <v>0</v>
      </c>
      <c r="T79" s="92">
        <v>0</v>
      </c>
      <c r="U79" s="92">
        <v>0</v>
      </c>
      <c r="V79" s="92">
        <v>0</v>
      </c>
      <c r="W79" s="92">
        <v>438</v>
      </c>
      <c r="X79" s="92">
        <v>0</v>
      </c>
      <c r="Y79" s="92">
        <v>8</v>
      </c>
      <c r="Z79" s="92">
        <v>25</v>
      </c>
      <c r="AA79" s="92">
        <v>191</v>
      </c>
      <c r="AB79" s="92">
        <v>25</v>
      </c>
      <c r="AC79" s="92">
        <v>52</v>
      </c>
      <c r="AD79" s="92">
        <v>5</v>
      </c>
      <c r="AE79" s="92">
        <v>8</v>
      </c>
    </row>
    <row r="80" spans="1:31" s="123" customFormat="1" ht="24.95" customHeight="1">
      <c r="A80" s="333"/>
      <c r="B80" s="122">
        <v>67</v>
      </c>
      <c r="C80" s="110">
        <v>3516</v>
      </c>
      <c r="D80" s="93" t="s">
        <v>6198</v>
      </c>
      <c r="E80" s="92">
        <v>2352</v>
      </c>
      <c r="F80" s="92">
        <v>20</v>
      </c>
      <c r="G80" s="92">
        <v>45</v>
      </c>
      <c r="H80" s="92">
        <v>485</v>
      </c>
      <c r="I80" s="92">
        <v>200</v>
      </c>
      <c r="J80" s="92">
        <v>0</v>
      </c>
      <c r="K80" s="92">
        <v>0</v>
      </c>
      <c r="L80" s="92">
        <v>0</v>
      </c>
      <c r="M80" s="92">
        <v>0</v>
      </c>
      <c r="N80" s="92">
        <v>2</v>
      </c>
      <c r="O80" s="92">
        <v>2</v>
      </c>
      <c r="P80" s="92">
        <v>132</v>
      </c>
      <c r="Q80" s="92">
        <v>710</v>
      </c>
      <c r="R80" s="92">
        <v>4</v>
      </c>
      <c r="S80" s="92">
        <v>0</v>
      </c>
      <c r="T80" s="92">
        <v>0</v>
      </c>
      <c r="U80" s="92">
        <v>0</v>
      </c>
      <c r="V80" s="92">
        <v>0</v>
      </c>
      <c r="W80" s="92">
        <v>438</v>
      </c>
      <c r="X80" s="92">
        <v>0</v>
      </c>
      <c r="Y80" s="92">
        <v>8</v>
      </c>
      <c r="Z80" s="92">
        <v>25</v>
      </c>
      <c r="AA80" s="92">
        <v>191</v>
      </c>
      <c r="AB80" s="92">
        <v>25</v>
      </c>
      <c r="AC80" s="92">
        <v>52</v>
      </c>
      <c r="AD80" s="92">
        <v>5</v>
      </c>
      <c r="AE80" s="92">
        <v>8</v>
      </c>
    </row>
    <row r="81" spans="1:31" s="123" customFormat="1" ht="24.95" customHeight="1">
      <c r="A81" s="333"/>
      <c r="B81" s="122">
        <v>68</v>
      </c>
      <c r="C81" s="110">
        <v>3523</v>
      </c>
      <c r="D81" s="93" t="s">
        <v>6198</v>
      </c>
      <c r="E81" s="92">
        <v>1993</v>
      </c>
      <c r="F81" s="92">
        <v>50</v>
      </c>
      <c r="G81" s="92">
        <v>324</v>
      </c>
      <c r="H81" s="92">
        <v>151</v>
      </c>
      <c r="I81" s="92">
        <v>268</v>
      </c>
      <c r="J81" s="92">
        <v>0</v>
      </c>
      <c r="K81" s="92">
        <v>0</v>
      </c>
      <c r="L81" s="92">
        <v>0</v>
      </c>
      <c r="M81" s="92">
        <v>0</v>
      </c>
      <c r="N81" s="92">
        <v>45</v>
      </c>
      <c r="O81" s="92">
        <v>12</v>
      </c>
      <c r="P81" s="92">
        <v>51</v>
      </c>
      <c r="Q81" s="92">
        <v>480</v>
      </c>
      <c r="R81" s="92">
        <v>5</v>
      </c>
      <c r="S81" s="92">
        <v>0</v>
      </c>
      <c r="T81" s="92">
        <v>0</v>
      </c>
      <c r="U81" s="92">
        <v>1</v>
      </c>
      <c r="V81" s="92">
        <v>6</v>
      </c>
      <c r="W81" s="92">
        <v>289</v>
      </c>
      <c r="X81" s="92">
        <v>0</v>
      </c>
      <c r="Y81" s="92">
        <v>5</v>
      </c>
      <c r="Z81" s="92">
        <v>34</v>
      </c>
      <c r="AA81" s="92">
        <v>125</v>
      </c>
      <c r="AB81" s="92">
        <v>31</v>
      </c>
      <c r="AC81" s="92">
        <v>109</v>
      </c>
      <c r="AD81" s="92">
        <v>5</v>
      </c>
      <c r="AE81" s="92">
        <v>2</v>
      </c>
    </row>
    <row r="82" spans="1:31" s="123" customFormat="1" ht="24.95" customHeight="1">
      <c r="A82" s="333"/>
      <c r="B82" s="122">
        <v>69</v>
      </c>
      <c r="C82" s="110">
        <v>3524</v>
      </c>
      <c r="D82" s="93" t="s">
        <v>6198</v>
      </c>
      <c r="E82" s="92">
        <v>1993</v>
      </c>
      <c r="F82" s="92">
        <v>50</v>
      </c>
      <c r="G82" s="92">
        <v>324</v>
      </c>
      <c r="H82" s="92">
        <v>151</v>
      </c>
      <c r="I82" s="92">
        <v>268</v>
      </c>
      <c r="J82" s="92">
        <v>0</v>
      </c>
      <c r="K82" s="92">
        <v>0</v>
      </c>
      <c r="L82" s="92">
        <v>0</v>
      </c>
      <c r="M82" s="92">
        <v>0</v>
      </c>
      <c r="N82" s="92">
        <v>45</v>
      </c>
      <c r="O82" s="92">
        <v>12</v>
      </c>
      <c r="P82" s="92">
        <v>51</v>
      </c>
      <c r="Q82" s="92">
        <v>480</v>
      </c>
      <c r="R82" s="92">
        <v>5</v>
      </c>
      <c r="S82" s="92">
        <v>0</v>
      </c>
      <c r="T82" s="92">
        <v>0</v>
      </c>
      <c r="U82" s="92">
        <v>1</v>
      </c>
      <c r="V82" s="92">
        <v>6</v>
      </c>
      <c r="W82" s="92">
        <v>289</v>
      </c>
      <c r="X82" s="92">
        <v>0</v>
      </c>
      <c r="Y82" s="92">
        <v>5</v>
      </c>
      <c r="Z82" s="92">
        <v>34</v>
      </c>
      <c r="AA82" s="92">
        <v>125</v>
      </c>
      <c r="AB82" s="92">
        <v>31</v>
      </c>
      <c r="AC82" s="92">
        <v>109</v>
      </c>
      <c r="AD82" s="92">
        <v>5</v>
      </c>
      <c r="AE82" s="92">
        <v>2</v>
      </c>
    </row>
    <row r="83" spans="1:31" s="123" customFormat="1" ht="24.95" customHeight="1">
      <c r="A83" s="333"/>
      <c r="B83" s="122">
        <v>70</v>
      </c>
      <c r="C83" s="110">
        <v>3525</v>
      </c>
      <c r="D83" s="93" t="s">
        <v>6198</v>
      </c>
      <c r="E83" s="92">
        <v>1993</v>
      </c>
      <c r="F83" s="92">
        <v>50</v>
      </c>
      <c r="G83" s="92">
        <v>324</v>
      </c>
      <c r="H83" s="92">
        <v>151</v>
      </c>
      <c r="I83" s="92">
        <v>268</v>
      </c>
      <c r="J83" s="92">
        <v>0</v>
      </c>
      <c r="K83" s="92">
        <v>0</v>
      </c>
      <c r="L83" s="92">
        <v>0</v>
      </c>
      <c r="M83" s="92">
        <v>0</v>
      </c>
      <c r="N83" s="92">
        <v>45</v>
      </c>
      <c r="O83" s="92">
        <v>12</v>
      </c>
      <c r="P83" s="92">
        <v>51</v>
      </c>
      <c r="Q83" s="92">
        <v>480</v>
      </c>
      <c r="R83" s="92">
        <v>5</v>
      </c>
      <c r="S83" s="92">
        <v>0</v>
      </c>
      <c r="T83" s="92">
        <v>0</v>
      </c>
      <c r="U83" s="92">
        <v>1</v>
      </c>
      <c r="V83" s="92">
        <v>6</v>
      </c>
      <c r="W83" s="92">
        <v>289</v>
      </c>
      <c r="X83" s="92">
        <v>0</v>
      </c>
      <c r="Y83" s="92">
        <v>5</v>
      </c>
      <c r="Z83" s="92">
        <v>34</v>
      </c>
      <c r="AA83" s="92">
        <v>125</v>
      </c>
      <c r="AB83" s="92">
        <v>31</v>
      </c>
      <c r="AC83" s="92">
        <v>109</v>
      </c>
      <c r="AD83" s="92">
        <v>5</v>
      </c>
      <c r="AE83" s="92">
        <v>2</v>
      </c>
    </row>
    <row r="84" spans="1:31" s="123" customFormat="1" ht="24.95" customHeight="1">
      <c r="A84" s="333"/>
      <c r="B84" s="122">
        <v>71</v>
      </c>
      <c r="C84" s="110">
        <v>3532</v>
      </c>
      <c r="D84" s="93" t="s">
        <v>6198</v>
      </c>
      <c r="E84" s="92">
        <v>498</v>
      </c>
      <c r="F84" s="92">
        <v>1</v>
      </c>
      <c r="G84" s="92">
        <v>13</v>
      </c>
      <c r="H84" s="92">
        <v>20</v>
      </c>
      <c r="I84" s="92">
        <v>4</v>
      </c>
      <c r="J84" s="92">
        <v>0</v>
      </c>
      <c r="K84" s="92">
        <v>0</v>
      </c>
      <c r="L84" s="92">
        <v>0</v>
      </c>
      <c r="M84" s="92">
        <v>0</v>
      </c>
      <c r="N84" s="92">
        <v>1</v>
      </c>
      <c r="O84" s="92">
        <v>0</v>
      </c>
      <c r="P84" s="92">
        <v>108</v>
      </c>
      <c r="Q84" s="92">
        <v>286</v>
      </c>
      <c r="R84" s="92">
        <v>0</v>
      </c>
      <c r="S84" s="92">
        <v>0</v>
      </c>
      <c r="T84" s="92">
        <v>0</v>
      </c>
      <c r="U84" s="92">
        <v>3</v>
      </c>
      <c r="V84" s="92">
        <v>34</v>
      </c>
      <c r="W84" s="92">
        <v>0</v>
      </c>
      <c r="X84" s="92">
        <v>0</v>
      </c>
      <c r="Y84" s="92">
        <v>0</v>
      </c>
      <c r="Z84" s="92">
        <v>18</v>
      </c>
      <c r="AA84" s="92">
        <v>0</v>
      </c>
      <c r="AB84" s="92">
        <v>0</v>
      </c>
      <c r="AC84" s="92">
        <v>3</v>
      </c>
      <c r="AD84" s="92">
        <v>4</v>
      </c>
      <c r="AE84" s="92">
        <v>3</v>
      </c>
    </row>
    <row r="85" spans="1:31" s="123" customFormat="1" ht="24.95" customHeight="1">
      <c r="A85" s="333"/>
      <c r="B85" s="122">
        <v>72</v>
      </c>
      <c r="C85" s="110">
        <v>3533</v>
      </c>
      <c r="D85" s="93" t="s">
        <v>6198</v>
      </c>
      <c r="E85" s="92">
        <v>498</v>
      </c>
      <c r="F85" s="92">
        <v>1</v>
      </c>
      <c r="G85" s="92">
        <v>13</v>
      </c>
      <c r="H85" s="92">
        <v>20</v>
      </c>
      <c r="I85" s="92">
        <v>4</v>
      </c>
      <c r="J85" s="92">
        <v>0</v>
      </c>
      <c r="K85" s="92">
        <v>0</v>
      </c>
      <c r="L85" s="92">
        <v>0</v>
      </c>
      <c r="M85" s="92">
        <v>0</v>
      </c>
      <c r="N85" s="92">
        <v>1</v>
      </c>
      <c r="O85" s="92">
        <v>0</v>
      </c>
      <c r="P85" s="92">
        <v>108</v>
      </c>
      <c r="Q85" s="92">
        <v>286</v>
      </c>
      <c r="R85" s="92">
        <v>0</v>
      </c>
      <c r="S85" s="92">
        <v>0</v>
      </c>
      <c r="T85" s="92">
        <v>0</v>
      </c>
      <c r="U85" s="92">
        <v>3</v>
      </c>
      <c r="V85" s="92">
        <v>34</v>
      </c>
      <c r="W85" s="92">
        <v>0</v>
      </c>
      <c r="X85" s="92">
        <v>0</v>
      </c>
      <c r="Y85" s="92">
        <v>0</v>
      </c>
      <c r="Z85" s="92">
        <v>18</v>
      </c>
      <c r="AA85" s="92">
        <v>0</v>
      </c>
      <c r="AB85" s="92">
        <v>0</v>
      </c>
      <c r="AC85" s="92">
        <v>3</v>
      </c>
      <c r="AD85" s="92">
        <v>4</v>
      </c>
      <c r="AE85" s="92">
        <v>3</v>
      </c>
    </row>
    <row r="86" spans="1:31" s="123" customFormat="1" ht="24.95" customHeight="1">
      <c r="A86" s="333"/>
      <c r="B86" s="122">
        <v>73</v>
      </c>
      <c r="C86" s="110">
        <v>3534</v>
      </c>
      <c r="D86" s="93" t="s">
        <v>6198</v>
      </c>
      <c r="E86" s="92">
        <v>498</v>
      </c>
      <c r="F86" s="92">
        <v>1</v>
      </c>
      <c r="G86" s="92">
        <v>13</v>
      </c>
      <c r="H86" s="92">
        <v>20</v>
      </c>
      <c r="I86" s="92">
        <v>4</v>
      </c>
      <c r="J86" s="92">
        <v>0</v>
      </c>
      <c r="K86" s="92">
        <v>0</v>
      </c>
      <c r="L86" s="92">
        <v>0</v>
      </c>
      <c r="M86" s="92">
        <v>0</v>
      </c>
      <c r="N86" s="92">
        <v>1</v>
      </c>
      <c r="O86" s="92">
        <v>0</v>
      </c>
      <c r="P86" s="92">
        <v>108</v>
      </c>
      <c r="Q86" s="92">
        <v>286</v>
      </c>
      <c r="R86" s="92">
        <v>0</v>
      </c>
      <c r="S86" s="92">
        <v>0</v>
      </c>
      <c r="T86" s="92">
        <v>0</v>
      </c>
      <c r="U86" s="92">
        <v>3</v>
      </c>
      <c r="V86" s="92">
        <v>34</v>
      </c>
      <c r="W86" s="92">
        <v>0</v>
      </c>
      <c r="X86" s="92">
        <v>0</v>
      </c>
      <c r="Y86" s="92">
        <v>0</v>
      </c>
      <c r="Z86" s="92">
        <v>18</v>
      </c>
      <c r="AA86" s="92">
        <v>0</v>
      </c>
      <c r="AB86" s="92">
        <v>0</v>
      </c>
      <c r="AC86" s="92">
        <v>3</v>
      </c>
      <c r="AD86" s="92">
        <v>4</v>
      </c>
      <c r="AE86" s="92">
        <v>3</v>
      </c>
    </row>
    <row r="87" spans="1:31" s="123" customFormat="1" ht="24.95" customHeight="1">
      <c r="A87" s="333"/>
      <c r="B87" s="122">
        <v>74</v>
      </c>
      <c r="C87" s="110">
        <v>3541</v>
      </c>
      <c r="D87" s="93" t="s">
        <v>6198</v>
      </c>
      <c r="E87" s="92">
        <v>7772</v>
      </c>
      <c r="F87" s="92">
        <v>10</v>
      </c>
      <c r="G87" s="92">
        <v>824</v>
      </c>
      <c r="H87" s="92">
        <v>98</v>
      </c>
      <c r="I87" s="92">
        <v>51</v>
      </c>
      <c r="J87" s="92">
        <v>0</v>
      </c>
      <c r="K87" s="92">
        <v>0</v>
      </c>
      <c r="L87" s="92">
        <v>0</v>
      </c>
      <c r="M87" s="92">
        <v>0</v>
      </c>
      <c r="N87" s="92">
        <v>189</v>
      </c>
      <c r="O87" s="92">
        <v>8</v>
      </c>
      <c r="P87" s="92">
        <v>1190</v>
      </c>
      <c r="Q87" s="92">
        <v>1139</v>
      </c>
      <c r="R87" s="92">
        <v>7</v>
      </c>
      <c r="S87" s="92">
        <v>936</v>
      </c>
      <c r="T87" s="92">
        <v>0</v>
      </c>
      <c r="U87" s="92">
        <v>0</v>
      </c>
      <c r="V87" s="92">
        <v>0</v>
      </c>
      <c r="W87" s="92">
        <v>1900</v>
      </c>
      <c r="X87" s="92">
        <v>0</v>
      </c>
      <c r="Y87" s="92">
        <v>59</v>
      </c>
      <c r="Z87" s="92">
        <v>420</v>
      </c>
      <c r="AA87" s="92">
        <v>40</v>
      </c>
      <c r="AB87" s="92">
        <v>19</v>
      </c>
      <c r="AC87" s="92">
        <v>197</v>
      </c>
      <c r="AD87" s="92">
        <v>168</v>
      </c>
      <c r="AE87" s="92">
        <v>517</v>
      </c>
    </row>
    <row r="88" spans="1:31" s="123" customFormat="1" ht="24.95" customHeight="1">
      <c r="A88" s="333"/>
      <c r="B88" s="122">
        <v>75</v>
      </c>
      <c r="C88" s="110">
        <v>3542</v>
      </c>
      <c r="D88" s="93" t="s">
        <v>6198</v>
      </c>
      <c r="E88" s="92">
        <v>295</v>
      </c>
      <c r="F88" s="92">
        <v>5</v>
      </c>
      <c r="G88" s="92">
        <v>1</v>
      </c>
      <c r="H88" s="92">
        <v>28</v>
      </c>
      <c r="I88" s="92">
        <v>17</v>
      </c>
      <c r="J88" s="92">
        <v>0</v>
      </c>
      <c r="K88" s="92">
        <v>0</v>
      </c>
      <c r="L88" s="92">
        <v>0</v>
      </c>
      <c r="M88" s="92">
        <v>0</v>
      </c>
      <c r="N88" s="92">
        <v>46</v>
      </c>
      <c r="O88" s="92">
        <v>0</v>
      </c>
      <c r="P88" s="92">
        <v>20</v>
      </c>
      <c r="Q88" s="92">
        <v>92</v>
      </c>
      <c r="R88" s="92">
        <v>0</v>
      </c>
      <c r="S88" s="92">
        <v>17</v>
      </c>
      <c r="T88" s="92">
        <v>0</v>
      </c>
      <c r="U88" s="92">
        <v>5</v>
      </c>
      <c r="V88" s="92">
        <v>8</v>
      </c>
      <c r="W88" s="92">
        <v>28</v>
      </c>
      <c r="X88" s="92">
        <v>0</v>
      </c>
      <c r="Y88" s="92">
        <v>2</v>
      </c>
      <c r="Z88" s="92">
        <v>6</v>
      </c>
      <c r="AA88" s="92">
        <v>0</v>
      </c>
      <c r="AB88" s="92">
        <v>18</v>
      </c>
      <c r="AC88" s="92">
        <v>1</v>
      </c>
      <c r="AD88" s="92">
        <v>1</v>
      </c>
      <c r="AE88" s="92">
        <v>0</v>
      </c>
    </row>
    <row r="89" spans="1:31" s="123" customFormat="1" ht="24.95" customHeight="1">
      <c r="A89" s="333"/>
      <c r="B89" s="122">
        <v>76</v>
      </c>
      <c r="C89" s="110">
        <v>3577</v>
      </c>
      <c r="D89" s="93" t="s">
        <v>6198</v>
      </c>
      <c r="E89" s="92">
        <v>4026</v>
      </c>
      <c r="F89" s="92">
        <v>5</v>
      </c>
      <c r="G89" s="92">
        <v>783</v>
      </c>
      <c r="H89" s="92">
        <v>97</v>
      </c>
      <c r="I89" s="92">
        <v>169</v>
      </c>
      <c r="J89" s="92">
        <v>0</v>
      </c>
      <c r="K89" s="92">
        <v>0</v>
      </c>
      <c r="L89" s="92">
        <v>0</v>
      </c>
      <c r="M89" s="92">
        <v>0</v>
      </c>
      <c r="N89" s="92">
        <v>74</v>
      </c>
      <c r="O89" s="92">
        <v>0</v>
      </c>
      <c r="P89" s="92">
        <v>180</v>
      </c>
      <c r="Q89" s="92">
        <v>370</v>
      </c>
      <c r="R89" s="92">
        <v>0</v>
      </c>
      <c r="S89" s="92">
        <v>113</v>
      </c>
      <c r="T89" s="92">
        <v>0</v>
      </c>
      <c r="U89" s="92">
        <v>569</v>
      </c>
      <c r="V89" s="92">
        <v>0</v>
      </c>
      <c r="W89" s="92">
        <v>227</v>
      </c>
      <c r="X89" s="92">
        <v>0</v>
      </c>
      <c r="Y89" s="92">
        <v>0</v>
      </c>
      <c r="Z89" s="92">
        <v>78</v>
      </c>
      <c r="AA89" s="92">
        <v>1320</v>
      </c>
      <c r="AB89" s="92">
        <v>0</v>
      </c>
      <c r="AC89" s="92">
        <v>0</v>
      </c>
      <c r="AD89" s="92">
        <v>6</v>
      </c>
      <c r="AE89" s="92">
        <v>35</v>
      </c>
    </row>
    <row r="90" spans="1:31" s="123" customFormat="1" ht="24.95" customHeight="1">
      <c r="A90" s="333"/>
      <c r="B90" s="122">
        <v>77</v>
      </c>
      <c r="C90" s="110">
        <v>3580</v>
      </c>
      <c r="D90" s="93" t="s">
        <v>6198</v>
      </c>
      <c r="E90" s="92">
        <v>206</v>
      </c>
      <c r="F90" s="92">
        <v>0</v>
      </c>
      <c r="G90" s="92">
        <v>3</v>
      </c>
      <c r="H90" s="92">
        <v>24</v>
      </c>
      <c r="I90" s="92">
        <v>50</v>
      </c>
      <c r="J90" s="92">
        <v>24</v>
      </c>
      <c r="K90" s="92">
        <v>0</v>
      </c>
      <c r="L90" s="92">
        <v>0</v>
      </c>
      <c r="M90" s="92">
        <v>0</v>
      </c>
      <c r="N90" s="92">
        <v>1</v>
      </c>
      <c r="O90" s="92">
        <v>0</v>
      </c>
      <c r="P90" s="92">
        <v>0</v>
      </c>
      <c r="Q90" s="92">
        <v>3</v>
      </c>
      <c r="R90" s="92">
        <v>1</v>
      </c>
      <c r="S90" s="92">
        <v>0</v>
      </c>
      <c r="T90" s="92">
        <v>0</v>
      </c>
      <c r="U90" s="92">
        <v>0</v>
      </c>
      <c r="V90" s="92">
        <v>2</v>
      </c>
      <c r="W90" s="92">
        <v>13</v>
      </c>
      <c r="X90" s="92">
        <v>0</v>
      </c>
      <c r="Y90" s="92">
        <v>0</v>
      </c>
      <c r="Z90" s="92">
        <v>0</v>
      </c>
      <c r="AA90" s="92">
        <v>2</v>
      </c>
      <c r="AB90" s="92">
        <v>82</v>
      </c>
      <c r="AC90" s="92">
        <v>1</v>
      </c>
      <c r="AD90" s="92">
        <v>0</v>
      </c>
      <c r="AE90" s="92">
        <v>0</v>
      </c>
    </row>
    <row r="91" spans="1:31" s="123" customFormat="1" ht="24.95" customHeight="1">
      <c r="A91" s="333"/>
      <c r="B91" s="122">
        <v>78</v>
      </c>
      <c r="C91" s="110">
        <v>3582</v>
      </c>
      <c r="D91" s="93" t="s">
        <v>6198</v>
      </c>
      <c r="E91" s="92">
        <v>1281</v>
      </c>
      <c r="F91" s="92">
        <v>1</v>
      </c>
      <c r="G91" s="92">
        <v>13</v>
      </c>
      <c r="H91" s="92">
        <v>101</v>
      </c>
      <c r="I91" s="92">
        <v>309</v>
      </c>
      <c r="J91" s="92">
        <v>192</v>
      </c>
      <c r="K91" s="92">
        <v>0</v>
      </c>
      <c r="L91" s="92">
        <v>0</v>
      </c>
      <c r="M91" s="92">
        <v>0</v>
      </c>
      <c r="N91" s="92">
        <v>10</v>
      </c>
      <c r="O91" s="92">
        <v>0</v>
      </c>
      <c r="P91" s="92">
        <v>0</v>
      </c>
      <c r="Q91" s="92">
        <v>17</v>
      </c>
      <c r="R91" s="92">
        <v>3</v>
      </c>
      <c r="S91" s="92">
        <v>3</v>
      </c>
      <c r="T91" s="92">
        <v>0</v>
      </c>
      <c r="U91" s="92">
        <v>0</v>
      </c>
      <c r="V91" s="92">
        <v>10</v>
      </c>
      <c r="W91" s="92">
        <v>35</v>
      </c>
      <c r="X91" s="92">
        <v>0</v>
      </c>
      <c r="Y91" s="92">
        <v>0</v>
      </c>
      <c r="Z91" s="92">
        <v>1</v>
      </c>
      <c r="AA91" s="92">
        <v>3</v>
      </c>
      <c r="AB91" s="92">
        <v>578</v>
      </c>
      <c r="AC91" s="92">
        <v>5</v>
      </c>
      <c r="AD91" s="92">
        <v>0</v>
      </c>
      <c r="AE91" s="92">
        <v>0</v>
      </c>
    </row>
    <row r="92" spans="1:31" s="123" customFormat="1" ht="24.95" customHeight="1">
      <c r="A92" s="333"/>
      <c r="B92" s="122">
        <v>79</v>
      </c>
      <c r="C92" s="110">
        <v>3344</v>
      </c>
      <c r="D92" s="93" t="s">
        <v>6198</v>
      </c>
      <c r="E92" s="92">
        <v>0</v>
      </c>
      <c r="F92" s="92">
        <v>0</v>
      </c>
      <c r="G92" s="92">
        <v>0</v>
      </c>
      <c r="H92" s="92">
        <v>0</v>
      </c>
      <c r="I92" s="92">
        <v>0</v>
      </c>
      <c r="J92" s="92">
        <v>0</v>
      </c>
      <c r="K92" s="92">
        <v>0</v>
      </c>
      <c r="L92" s="92">
        <v>0</v>
      </c>
      <c r="M92" s="92">
        <v>0</v>
      </c>
      <c r="N92" s="92">
        <v>0</v>
      </c>
      <c r="O92" s="92">
        <v>0</v>
      </c>
      <c r="P92" s="92">
        <v>0</v>
      </c>
      <c r="Q92" s="92">
        <v>0</v>
      </c>
      <c r="R92" s="92">
        <v>0</v>
      </c>
      <c r="S92" s="92">
        <v>0</v>
      </c>
      <c r="T92" s="92">
        <v>0</v>
      </c>
      <c r="U92" s="92">
        <v>0</v>
      </c>
      <c r="V92" s="92">
        <v>0</v>
      </c>
      <c r="W92" s="92">
        <v>0</v>
      </c>
      <c r="X92" s="92">
        <v>0</v>
      </c>
      <c r="Y92" s="92">
        <v>0</v>
      </c>
      <c r="Z92" s="92">
        <v>0</v>
      </c>
      <c r="AA92" s="92">
        <v>0</v>
      </c>
      <c r="AB92" s="92">
        <v>0</v>
      </c>
      <c r="AC92" s="92">
        <v>0</v>
      </c>
      <c r="AD92" s="92">
        <v>0</v>
      </c>
      <c r="AE92" s="92">
        <v>0</v>
      </c>
    </row>
    <row r="93" spans="1:31" s="123" customFormat="1" ht="24.95" customHeight="1">
      <c r="A93" s="333"/>
      <c r="B93" s="122">
        <v>80</v>
      </c>
      <c r="C93" s="110">
        <v>3473</v>
      </c>
      <c r="D93" s="93" t="s">
        <v>6198</v>
      </c>
      <c r="E93" s="92">
        <v>2</v>
      </c>
      <c r="F93" s="92">
        <v>0</v>
      </c>
      <c r="G93" s="92">
        <v>0</v>
      </c>
      <c r="H93" s="92">
        <v>0</v>
      </c>
      <c r="I93" s="92">
        <v>0</v>
      </c>
      <c r="J93" s="92">
        <v>0</v>
      </c>
      <c r="K93" s="92">
        <v>0</v>
      </c>
      <c r="L93" s="92">
        <v>0</v>
      </c>
      <c r="M93" s="92">
        <v>0</v>
      </c>
      <c r="N93" s="92">
        <v>0</v>
      </c>
      <c r="O93" s="92">
        <v>0</v>
      </c>
      <c r="P93" s="92">
        <v>1</v>
      </c>
      <c r="Q93" s="92">
        <v>1</v>
      </c>
      <c r="R93" s="92">
        <v>0</v>
      </c>
      <c r="S93" s="92">
        <v>0</v>
      </c>
      <c r="T93" s="92">
        <v>0</v>
      </c>
      <c r="U93" s="92">
        <v>0</v>
      </c>
      <c r="V93" s="92">
        <v>0</v>
      </c>
      <c r="W93" s="92">
        <v>0</v>
      </c>
      <c r="X93" s="92">
        <v>0</v>
      </c>
      <c r="Y93" s="92">
        <v>0</v>
      </c>
      <c r="Z93" s="92">
        <v>0</v>
      </c>
      <c r="AA93" s="92">
        <v>0</v>
      </c>
      <c r="AB93" s="92">
        <v>0</v>
      </c>
      <c r="AC93" s="92">
        <v>0</v>
      </c>
      <c r="AD93" s="92">
        <v>0</v>
      </c>
      <c r="AE93" s="92">
        <v>0</v>
      </c>
    </row>
    <row r="94" spans="1:31" s="123" customFormat="1" ht="24.95" customHeight="1">
      <c r="A94" s="333"/>
      <c r="B94" s="122">
        <v>81</v>
      </c>
      <c r="C94" s="110">
        <v>3486</v>
      </c>
      <c r="D94" s="93" t="s">
        <v>6198</v>
      </c>
      <c r="E94" s="92">
        <v>108</v>
      </c>
      <c r="F94" s="92">
        <v>0</v>
      </c>
      <c r="G94" s="92">
        <v>0</v>
      </c>
      <c r="H94" s="92">
        <v>48</v>
      </c>
      <c r="I94" s="92">
        <v>8</v>
      </c>
      <c r="J94" s="92">
        <v>0</v>
      </c>
      <c r="K94" s="92">
        <v>0</v>
      </c>
      <c r="L94" s="92">
        <v>0</v>
      </c>
      <c r="M94" s="92">
        <v>0</v>
      </c>
      <c r="N94" s="92">
        <v>0</v>
      </c>
      <c r="O94" s="92">
        <v>11</v>
      </c>
      <c r="P94" s="92">
        <v>17</v>
      </c>
      <c r="Q94" s="92">
        <v>23</v>
      </c>
      <c r="R94" s="92">
        <v>0</v>
      </c>
      <c r="S94" s="92">
        <v>1</v>
      </c>
      <c r="T94" s="92">
        <v>0</v>
      </c>
      <c r="U94" s="92">
        <v>0</v>
      </c>
      <c r="V94" s="92">
        <v>0</v>
      </c>
      <c r="W94" s="92">
        <v>0</v>
      </c>
      <c r="X94" s="92">
        <v>0</v>
      </c>
      <c r="Y94" s="92">
        <v>0</v>
      </c>
      <c r="Z94" s="92">
        <v>0</v>
      </c>
      <c r="AA94" s="92">
        <v>0</v>
      </c>
      <c r="AB94" s="92">
        <v>0</v>
      </c>
      <c r="AC94" s="92">
        <v>0</v>
      </c>
      <c r="AD94" s="92">
        <v>0</v>
      </c>
      <c r="AE94" s="92">
        <v>0</v>
      </c>
    </row>
    <row r="95" spans="1:31" s="123" customFormat="1" ht="24.95" customHeight="1">
      <c r="A95" s="333"/>
      <c r="B95" s="122">
        <v>82</v>
      </c>
      <c r="C95" s="110">
        <v>3406</v>
      </c>
      <c r="D95" s="93" t="s">
        <v>6198</v>
      </c>
      <c r="E95" s="92">
        <v>736</v>
      </c>
      <c r="F95" s="92">
        <v>1</v>
      </c>
      <c r="G95" s="92">
        <v>64</v>
      </c>
      <c r="H95" s="92">
        <v>39</v>
      </c>
      <c r="I95" s="92">
        <v>62</v>
      </c>
      <c r="J95" s="92">
        <v>0</v>
      </c>
      <c r="K95" s="92">
        <v>0</v>
      </c>
      <c r="L95" s="92">
        <v>0</v>
      </c>
      <c r="M95" s="92">
        <v>0</v>
      </c>
      <c r="N95" s="92">
        <v>3</v>
      </c>
      <c r="O95" s="92">
        <v>0</v>
      </c>
      <c r="P95" s="92">
        <v>22</v>
      </c>
      <c r="Q95" s="92">
        <v>70</v>
      </c>
      <c r="R95" s="92">
        <v>0</v>
      </c>
      <c r="S95" s="92">
        <v>8</v>
      </c>
      <c r="T95" s="92">
        <v>116</v>
      </c>
      <c r="U95" s="92">
        <v>0</v>
      </c>
      <c r="V95" s="92">
        <v>2</v>
      </c>
      <c r="W95" s="92">
        <v>123</v>
      </c>
      <c r="X95" s="92">
        <v>51</v>
      </c>
      <c r="Y95" s="92">
        <v>7</v>
      </c>
      <c r="Z95" s="92">
        <v>0</v>
      </c>
      <c r="AA95" s="92">
        <v>0</v>
      </c>
      <c r="AB95" s="92">
        <v>162</v>
      </c>
      <c r="AC95" s="92">
        <v>6</v>
      </c>
      <c r="AD95" s="92">
        <v>0</v>
      </c>
      <c r="AE95" s="92">
        <v>0</v>
      </c>
    </row>
    <row r="96" spans="1:31" s="123" customFormat="1" ht="24.95" customHeight="1">
      <c r="A96" s="333"/>
      <c r="B96" s="122">
        <v>83</v>
      </c>
      <c r="C96" s="110">
        <v>3509</v>
      </c>
      <c r="D96" s="93" t="s">
        <v>6198</v>
      </c>
      <c r="E96" s="92">
        <v>14</v>
      </c>
      <c r="F96" s="92">
        <v>0</v>
      </c>
      <c r="G96" s="92">
        <v>0</v>
      </c>
      <c r="H96" s="92">
        <v>0</v>
      </c>
      <c r="I96" s="92">
        <v>0</v>
      </c>
      <c r="J96" s="92">
        <v>0</v>
      </c>
      <c r="K96" s="92">
        <v>0</v>
      </c>
      <c r="L96" s="92">
        <v>0</v>
      </c>
      <c r="M96" s="92">
        <v>0</v>
      </c>
      <c r="N96" s="92">
        <v>0</v>
      </c>
      <c r="O96" s="92">
        <v>0</v>
      </c>
      <c r="P96" s="92">
        <v>4</v>
      </c>
      <c r="Q96" s="92">
        <v>10</v>
      </c>
      <c r="R96" s="92">
        <v>0</v>
      </c>
      <c r="S96" s="92">
        <v>0</v>
      </c>
      <c r="T96" s="92">
        <v>0</v>
      </c>
      <c r="U96" s="92">
        <v>0</v>
      </c>
      <c r="V96" s="92">
        <v>0</v>
      </c>
      <c r="W96" s="92">
        <v>0</v>
      </c>
      <c r="X96" s="92">
        <v>0</v>
      </c>
      <c r="Y96" s="92">
        <v>0</v>
      </c>
      <c r="Z96" s="92">
        <v>0</v>
      </c>
      <c r="AA96" s="92">
        <v>0</v>
      </c>
      <c r="AB96" s="92">
        <v>0</v>
      </c>
      <c r="AC96" s="92">
        <v>0</v>
      </c>
      <c r="AD96" s="92">
        <v>0</v>
      </c>
      <c r="AE96" s="92">
        <v>0</v>
      </c>
    </row>
    <row r="97" spans="1:31" s="123" customFormat="1" ht="24.95" customHeight="1">
      <c r="A97" s="333"/>
      <c r="B97" s="122">
        <v>84</v>
      </c>
      <c r="C97" s="110">
        <v>3507</v>
      </c>
      <c r="D97" s="93" t="s">
        <v>6198</v>
      </c>
      <c r="E97" s="92">
        <v>1441</v>
      </c>
      <c r="F97" s="92">
        <v>18</v>
      </c>
      <c r="G97" s="92">
        <v>164</v>
      </c>
      <c r="H97" s="92">
        <v>129</v>
      </c>
      <c r="I97" s="92">
        <v>92</v>
      </c>
      <c r="J97" s="92">
        <v>4</v>
      </c>
      <c r="K97" s="92">
        <v>0</v>
      </c>
      <c r="L97" s="92">
        <v>0</v>
      </c>
      <c r="M97" s="92">
        <v>1</v>
      </c>
      <c r="N97" s="92">
        <v>30</v>
      </c>
      <c r="O97" s="92">
        <v>6</v>
      </c>
      <c r="P97" s="92">
        <v>159</v>
      </c>
      <c r="Q97" s="92">
        <v>537</v>
      </c>
      <c r="R97" s="92">
        <v>1</v>
      </c>
      <c r="S97" s="92">
        <v>135</v>
      </c>
      <c r="T97" s="92">
        <v>0</v>
      </c>
      <c r="U97" s="92">
        <v>14</v>
      </c>
      <c r="V97" s="92">
        <v>0</v>
      </c>
      <c r="W97" s="92">
        <v>33</v>
      </c>
      <c r="X97" s="92">
        <v>3</v>
      </c>
      <c r="Y97" s="92">
        <v>3</v>
      </c>
      <c r="Z97" s="92">
        <v>32</v>
      </c>
      <c r="AA97" s="92">
        <v>21</v>
      </c>
      <c r="AB97" s="92">
        <v>30</v>
      </c>
      <c r="AC97" s="92">
        <v>6</v>
      </c>
      <c r="AD97" s="92">
        <v>9</v>
      </c>
      <c r="AE97" s="92">
        <v>14</v>
      </c>
    </row>
    <row r="98" spans="1:31" s="123" customFormat="1" ht="24.95" customHeight="1">
      <c r="A98" s="333"/>
      <c r="B98" s="122">
        <v>85</v>
      </c>
      <c r="C98" s="110">
        <v>3475</v>
      </c>
      <c r="D98" s="93" t="s">
        <v>6198</v>
      </c>
      <c r="E98" s="92">
        <v>918</v>
      </c>
      <c r="F98" s="92">
        <v>30</v>
      </c>
      <c r="G98" s="92">
        <v>203</v>
      </c>
      <c r="H98" s="92">
        <v>114</v>
      </c>
      <c r="I98" s="92">
        <v>144</v>
      </c>
      <c r="J98" s="92">
        <v>1</v>
      </c>
      <c r="K98" s="92">
        <v>0</v>
      </c>
      <c r="L98" s="92">
        <v>0</v>
      </c>
      <c r="M98" s="92">
        <v>0</v>
      </c>
      <c r="N98" s="92">
        <v>2</v>
      </c>
      <c r="O98" s="92">
        <v>0</v>
      </c>
      <c r="P98" s="92">
        <v>36</v>
      </c>
      <c r="Q98" s="92">
        <v>65</v>
      </c>
      <c r="R98" s="92">
        <v>1</v>
      </c>
      <c r="S98" s="92">
        <v>56</v>
      </c>
      <c r="T98" s="92">
        <v>0</v>
      </c>
      <c r="U98" s="92">
        <v>13</v>
      </c>
      <c r="V98" s="92">
        <v>0</v>
      </c>
      <c r="W98" s="92">
        <v>38</v>
      </c>
      <c r="X98" s="92">
        <v>0</v>
      </c>
      <c r="Y98" s="92">
        <v>1</v>
      </c>
      <c r="Z98" s="92">
        <v>6</v>
      </c>
      <c r="AA98" s="92">
        <v>84</v>
      </c>
      <c r="AB98" s="92">
        <v>122</v>
      </c>
      <c r="AC98" s="92">
        <v>1</v>
      </c>
      <c r="AD98" s="92">
        <v>0</v>
      </c>
      <c r="AE98" s="92">
        <v>1</v>
      </c>
    </row>
    <row r="99" spans="1:31" s="123" customFormat="1" ht="24.95" customHeight="1">
      <c r="A99" s="333"/>
      <c r="B99" s="122">
        <v>86</v>
      </c>
      <c r="C99" s="110">
        <v>3299</v>
      </c>
      <c r="D99" s="93" t="s">
        <v>6198</v>
      </c>
      <c r="E99" s="92">
        <v>604</v>
      </c>
      <c r="F99" s="92">
        <v>0</v>
      </c>
      <c r="G99" s="92">
        <v>0</v>
      </c>
      <c r="H99" s="92">
        <v>60</v>
      </c>
      <c r="I99" s="92">
        <v>34</v>
      </c>
      <c r="J99" s="92">
        <v>0</v>
      </c>
      <c r="K99" s="92">
        <v>0</v>
      </c>
      <c r="L99" s="92">
        <v>0</v>
      </c>
      <c r="M99" s="92">
        <v>0</v>
      </c>
      <c r="N99" s="92">
        <v>0</v>
      </c>
      <c r="O99" s="92">
        <v>0</v>
      </c>
      <c r="P99" s="92">
        <v>37</v>
      </c>
      <c r="Q99" s="92">
        <v>111</v>
      </c>
      <c r="R99" s="92">
        <v>0</v>
      </c>
      <c r="S99" s="92">
        <v>17</v>
      </c>
      <c r="T99" s="92">
        <v>0</v>
      </c>
      <c r="U99" s="92">
        <v>0</v>
      </c>
      <c r="V99" s="92">
        <v>0</v>
      </c>
      <c r="W99" s="92">
        <v>0</v>
      </c>
      <c r="X99" s="92">
        <v>0</v>
      </c>
      <c r="Y99" s="92">
        <v>0</v>
      </c>
      <c r="Z99" s="92">
        <v>0</v>
      </c>
      <c r="AA99" s="92">
        <v>0</v>
      </c>
      <c r="AB99" s="92">
        <v>345</v>
      </c>
      <c r="AC99" s="92">
        <v>0</v>
      </c>
      <c r="AD99" s="92">
        <v>0</v>
      </c>
      <c r="AE99" s="92">
        <v>0</v>
      </c>
    </row>
    <row r="100" spans="1:31" s="123" customFormat="1" ht="24.95" customHeight="1">
      <c r="A100" s="333"/>
      <c r="B100" s="122">
        <v>87</v>
      </c>
      <c r="C100" s="110">
        <v>3359</v>
      </c>
      <c r="D100" s="93" t="s">
        <v>6198</v>
      </c>
      <c r="E100" s="92">
        <v>855</v>
      </c>
      <c r="F100" s="92">
        <v>7</v>
      </c>
      <c r="G100" s="92">
        <v>50</v>
      </c>
      <c r="H100" s="92">
        <v>239</v>
      </c>
      <c r="I100" s="92">
        <v>86</v>
      </c>
      <c r="J100" s="92">
        <v>0</v>
      </c>
      <c r="K100" s="92">
        <v>0</v>
      </c>
      <c r="L100" s="92">
        <v>0</v>
      </c>
      <c r="M100" s="92">
        <v>0</v>
      </c>
      <c r="N100" s="92">
        <v>5</v>
      </c>
      <c r="O100" s="92">
        <v>2</v>
      </c>
      <c r="P100" s="92">
        <v>46</v>
      </c>
      <c r="Q100" s="92">
        <v>180</v>
      </c>
      <c r="R100" s="92">
        <v>1</v>
      </c>
      <c r="S100" s="92">
        <v>25</v>
      </c>
      <c r="T100" s="92">
        <v>0</v>
      </c>
      <c r="U100" s="92">
        <v>1</v>
      </c>
      <c r="V100" s="92">
        <v>0</v>
      </c>
      <c r="W100" s="92">
        <v>127</v>
      </c>
      <c r="X100" s="92">
        <v>0</v>
      </c>
      <c r="Y100" s="92">
        <v>14</v>
      </c>
      <c r="Z100" s="92">
        <v>5</v>
      </c>
      <c r="AA100" s="92">
        <v>16</v>
      </c>
      <c r="AB100" s="92">
        <v>43</v>
      </c>
      <c r="AC100" s="92">
        <v>6</v>
      </c>
      <c r="AD100" s="92">
        <v>1</v>
      </c>
      <c r="AE100" s="92">
        <v>1</v>
      </c>
    </row>
    <row r="101" spans="1:31" s="123" customFormat="1" ht="24.95" customHeight="1">
      <c r="A101" s="333"/>
      <c r="B101" s="122">
        <v>88</v>
      </c>
      <c r="C101" s="110">
        <v>3403</v>
      </c>
      <c r="D101" s="93" t="s">
        <v>6198</v>
      </c>
      <c r="E101" s="92">
        <v>245</v>
      </c>
      <c r="F101" s="92">
        <v>0</v>
      </c>
      <c r="G101" s="92">
        <v>9</v>
      </c>
      <c r="H101" s="92">
        <v>27</v>
      </c>
      <c r="I101" s="92">
        <v>57</v>
      </c>
      <c r="J101" s="92">
        <v>0</v>
      </c>
      <c r="K101" s="92">
        <v>0</v>
      </c>
      <c r="L101" s="92">
        <v>0</v>
      </c>
      <c r="M101" s="92">
        <v>0</v>
      </c>
      <c r="N101" s="92">
        <v>2</v>
      </c>
      <c r="O101" s="92">
        <v>0</v>
      </c>
      <c r="P101" s="92">
        <v>0</v>
      </c>
      <c r="Q101" s="92">
        <v>5</v>
      </c>
      <c r="R101" s="92">
        <v>0</v>
      </c>
      <c r="S101" s="92">
        <v>4</v>
      </c>
      <c r="T101" s="92">
        <v>0</v>
      </c>
      <c r="U101" s="92">
        <v>0</v>
      </c>
      <c r="V101" s="92">
        <v>0</v>
      </c>
      <c r="W101" s="92">
        <v>10</v>
      </c>
      <c r="X101" s="92">
        <v>0</v>
      </c>
      <c r="Y101" s="92">
        <v>2</v>
      </c>
      <c r="Z101" s="92">
        <v>1</v>
      </c>
      <c r="AA101" s="92">
        <v>1</v>
      </c>
      <c r="AB101" s="92">
        <v>121</v>
      </c>
      <c r="AC101" s="92">
        <v>6</v>
      </c>
      <c r="AD101" s="92">
        <v>0</v>
      </c>
      <c r="AE101" s="92">
        <v>0</v>
      </c>
    </row>
    <row r="102" spans="1:31" s="123" customFormat="1" ht="24.95" customHeight="1">
      <c r="A102" s="333"/>
      <c r="B102" s="122">
        <v>89</v>
      </c>
      <c r="C102" s="110">
        <v>3503</v>
      </c>
      <c r="D102" s="93" t="s">
        <v>6198</v>
      </c>
      <c r="E102" s="92">
        <v>908</v>
      </c>
      <c r="F102" s="92">
        <v>0</v>
      </c>
      <c r="G102" s="92">
        <v>21</v>
      </c>
      <c r="H102" s="92">
        <v>54</v>
      </c>
      <c r="I102" s="92">
        <v>161</v>
      </c>
      <c r="J102" s="92">
        <v>0</v>
      </c>
      <c r="K102" s="92">
        <v>0</v>
      </c>
      <c r="L102" s="92">
        <v>0</v>
      </c>
      <c r="M102" s="92">
        <v>0</v>
      </c>
      <c r="N102" s="92">
        <v>46</v>
      </c>
      <c r="O102" s="92">
        <v>1</v>
      </c>
      <c r="P102" s="92">
        <v>29</v>
      </c>
      <c r="Q102" s="92">
        <v>214</v>
      </c>
      <c r="R102" s="92">
        <v>6</v>
      </c>
      <c r="S102" s="92">
        <v>1</v>
      </c>
      <c r="T102" s="92">
        <v>0</v>
      </c>
      <c r="U102" s="92">
        <v>0</v>
      </c>
      <c r="V102" s="92">
        <v>14</v>
      </c>
      <c r="W102" s="92">
        <v>95</v>
      </c>
      <c r="X102" s="92">
        <v>7</v>
      </c>
      <c r="Y102" s="92">
        <v>18</v>
      </c>
      <c r="Z102" s="92">
        <v>26</v>
      </c>
      <c r="AA102" s="92">
        <v>0</v>
      </c>
      <c r="AB102" s="92">
        <v>151</v>
      </c>
      <c r="AC102" s="92">
        <v>62</v>
      </c>
      <c r="AD102" s="92">
        <v>1</v>
      </c>
      <c r="AE102" s="92">
        <v>1</v>
      </c>
    </row>
    <row r="103" spans="1:31" s="123" customFormat="1" ht="24.95" customHeight="1">
      <c r="A103" s="333"/>
      <c r="B103" s="122">
        <v>90</v>
      </c>
      <c r="C103" s="110">
        <v>3284</v>
      </c>
      <c r="D103" s="93" t="s">
        <v>6198</v>
      </c>
      <c r="E103" s="92">
        <v>1238</v>
      </c>
      <c r="F103" s="92">
        <v>0</v>
      </c>
      <c r="G103" s="92">
        <v>0</v>
      </c>
      <c r="H103" s="92">
        <v>245</v>
      </c>
      <c r="I103" s="92">
        <v>223</v>
      </c>
      <c r="J103" s="92">
        <v>0</v>
      </c>
      <c r="K103" s="92">
        <v>0</v>
      </c>
      <c r="L103" s="92">
        <v>0</v>
      </c>
      <c r="M103" s="92">
        <v>0</v>
      </c>
      <c r="N103" s="92">
        <v>0</v>
      </c>
      <c r="O103" s="92">
        <v>21</v>
      </c>
      <c r="P103" s="92">
        <v>32</v>
      </c>
      <c r="Q103" s="92">
        <v>194</v>
      </c>
      <c r="R103" s="92">
        <v>0</v>
      </c>
      <c r="S103" s="92">
        <v>23</v>
      </c>
      <c r="T103" s="92">
        <v>146</v>
      </c>
      <c r="U103" s="92">
        <v>0</v>
      </c>
      <c r="V103" s="92">
        <v>0</v>
      </c>
      <c r="W103" s="92">
        <v>60</v>
      </c>
      <c r="X103" s="92">
        <v>0</v>
      </c>
      <c r="Y103" s="92">
        <v>0</v>
      </c>
      <c r="Z103" s="92">
        <v>0</v>
      </c>
      <c r="AA103" s="92">
        <v>0</v>
      </c>
      <c r="AB103" s="92">
        <v>294</v>
      </c>
      <c r="AC103" s="92">
        <v>0</v>
      </c>
      <c r="AD103" s="92">
        <v>0</v>
      </c>
      <c r="AE103" s="92">
        <v>0</v>
      </c>
    </row>
    <row r="104" spans="1:31" s="123" customFormat="1" ht="24.95" customHeight="1">
      <c r="A104" s="333"/>
      <c r="B104" s="122">
        <v>91</v>
      </c>
      <c r="C104" s="110">
        <v>3286</v>
      </c>
      <c r="D104" s="93" t="s">
        <v>6198</v>
      </c>
      <c r="E104" s="92">
        <v>1238</v>
      </c>
      <c r="F104" s="92">
        <v>0</v>
      </c>
      <c r="G104" s="92">
        <v>0</v>
      </c>
      <c r="H104" s="92">
        <v>245</v>
      </c>
      <c r="I104" s="92">
        <v>223</v>
      </c>
      <c r="J104" s="92">
        <v>0</v>
      </c>
      <c r="K104" s="92">
        <v>0</v>
      </c>
      <c r="L104" s="92">
        <v>0</v>
      </c>
      <c r="M104" s="92">
        <v>0</v>
      </c>
      <c r="N104" s="92">
        <v>0</v>
      </c>
      <c r="O104" s="92">
        <v>21</v>
      </c>
      <c r="P104" s="92">
        <v>32</v>
      </c>
      <c r="Q104" s="92">
        <v>194</v>
      </c>
      <c r="R104" s="92">
        <v>0</v>
      </c>
      <c r="S104" s="92">
        <v>23</v>
      </c>
      <c r="T104" s="92">
        <v>146</v>
      </c>
      <c r="U104" s="92">
        <v>0</v>
      </c>
      <c r="V104" s="92">
        <v>0</v>
      </c>
      <c r="W104" s="92">
        <v>60</v>
      </c>
      <c r="X104" s="92">
        <v>0</v>
      </c>
      <c r="Y104" s="92">
        <v>0</v>
      </c>
      <c r="Z104" s="92">
        <v>0</v>
      </c>
      <c r="AA104" s="92">
        <v>0</v>
      </c>
      <c r="AB104" s="92">
        <v>294</v>
      </c>
      <c r="AC104" s="92">
        <v>0</v>
      </c>
      <c r="AD104" s="92">
        <v>0</v>
      </c>
      <c r="AE104" s="92">
        <v>0</v>
      </c>
    </row>
    <row r="105" spans="1:31" s="123" customFormat="1" ht="24.95" customHeight="1">
      <c r="A105" s="333"/>
      <c r="B105" s="122">
        <v>92</v>
      </c>
      <c r="C105" s="110">
        <v>3325</v>
      </c>
      <c r="D105" s="93" t="s">
        <v>6198</v>
      </c>
      <c r="E105" s="92">
        <v>1914</v>
      </c>
      <c r="F105" s="92">
        <v>0</v>
      </c>
      <c r="G105" s="92">
        <v>0</v>
      </c>
      <c r="H105" s="92">
        <v>100</v>
      </c>
      <c r="I105" s="92">
        <v>534</v>
      </c>
      <c r="J105" s="92">
        <v>0</v>
      </c>
      <c r="K105" s="92">
        <v>0</v>
      </c>
      <c r="L105" s="92">
        <v>0</v>
      </c>
      <c r="M105" s="92">
        <v>0</v>
      </c>
      <c r="N105" s="92">
        <v>0</v>
      </c>
      <c r="O105" s="92">
        <v>0</v>
      </c>
      <c r="P105" s="92">
        <v>0</v>
      </c>
      <c r="Q105" s="92">
        <v>201</v>
      </c>
      <c r="R105" s="92">
        <v>0</v>
      </c>
      <c r="S105" s="92">
        <v>2</v>
      </c>
      <c r="T105" s="92">
        <v>0</v>
      </c>
      <c r="U105" s="92">
        <v>0</v>
      </c>
      <c r="V105" s="92">
        <v>41</v>
      </c>
      <c r="W105" s="92">
        <v>0</v>
      </c>
      <c r="X105" s="92">
        <v>0</v>
      </c>
      <c r="Y105" s="92">
        <v>0</v>
      </c>
      <c r="Z105" s="92">
        <v>0</v>
      </c>
      <c r="AA105" s="92">
        <v>0</v>
      </c>
      <c r="AB105" s="92">
        <v>1036</v>
      </c>
      <c r="AC105" s="92">
        <v>0</v>
      </c>
      <c r="AD105" s="92">
        <v>0</v>
      </c>
      <c r="AE105" s="92">
        <v>0</v>
      </c>
    </row>
    <row r="106" spans="1:31" s="123" customFormat="1" ht="24.95" customHeight="1">
      <c r="A106" s="333"/>
      <c r="B106" s="122">
        <v>93</v>
      </c>
      <c r="C106" s="110">
        <v>3326</v>
      </c>
      <c r="D106" s="93" t="s">
        <v>6198</v>
      </c>
      <c r="E106" s="92">
        <v>2143</v>
      </c>
      <c r="F106" s="92">
        <v>12</v>
      </c>
      <c r="G106" s="92">
        <v>20</v>
      </c>
      <c r="H106" s="92">
        <v>158</v>
      </c>
      <c r="I106" s="92">
        <v>574</v>
      </c>
      <c r="J106" s="92">
        <v>0</v>
      </c>
      <c r="K106" s="92">
        <v>0</v>
      </c>
      <c r="L106" s="92">
        <v>0</v>
      </c>
      <c r="M106" s="92">
        <v>0</v>
      </c>
      <c r="N106" s="92">
        <v>8</v>
      </c>
      <c r="O106" s="92">
        <v>0</v>
      </c>
      <c r="P106" s="92">
        <v>0</v>
      </c>
      <c r="Q106" s="92">
        <v>251</v>
      </c>
      <c r="R106" s="92">
        <v>7</v>
      </c>
      <c r="S106" s="92">
        <v>2</v>
      </c>
      <c r="T106" s="92">
        <v>0</v>
      </c>
      <c r="U106" s="92">
        <v>2</v>
      </c>
      <c r="V106" s="92">
        <v>41</v>
      </c>
      <c r="W106" s="92">
        <v>0</v>
      </c>
      <c r="X106" s="92">
        <v>0</v>
      </c>
      <c r="Y106" s="92">
        <v>0</v>
      </c>
      <c r="Z106" s="92">
        <v>6</v>
      </c>
      <c r="AA106" s="92">
        <v>0</v>
      </c>
      <c r="AB106" s="92">
        <v>1055</v>
      </c>
      <c r="AC106" s="92">
        <v>0</v>
      </c>
      <c r="AD106" s="92">
        <v>7</v>
      </c>
      <c r="AE106" s="92">
        <v>0</v>
      </c>
    </row>
    <row r="107" spans="1:31" s="123" customFormat="1" ht="24.95" customHeight="1">
      <c r="A107" s="333"/>
      <c r="B107" s="122">
        <v>94</v>
      </c>
      <c r="C107" s="110">
        <v>3327</v>
      </c>
      <c r="D107" s="93" t="s">
        <v>6198</v>
      </c>
      <c r="E107" s="92">
        <v>2692</v>
      </c>
      <c r="F107" s="92">
        <v>15</v>
      </c>
      <c r="G107" s="92">
        <v>26</v>
      </c>
      <c r="H107" s="92">
        <v>203</v>
      </c>
      <c r="I107" s="92">
        <v>735</v>
      </c>
      <c r="J107" s="92">
        <v>0</v>
      </c>
      <c r="K107" s="92">
        <v>0</v>
      </c>
      <c r="L107" s="92">
        <v>0</v>
      </c>
      <c r="M107" s="92">
        <v>0</v>
      </c>
      <c r="N107" s="92">
        <v>0</v>
      </c>
      <c r="O107" s="92">
        <v>0</v>
      </c>
      <c r="P107" s="92">
        <v>0</v>
      </c>
      <c r="Q107" s="92">
        <v>300</v>
      </c>
      <c r="R107" s="92">
        <v>0</v>
      </c>
      <c r="S107" s="92">
        <v>2</v>
      </c>
      <c r="T107" s="92">
        <v>0</v>
      </c>
      <c r="U107" s="92">
        <v>0</v>
      </c>
      <c r="V107" s="92">
        <v>52</v>
      </c>
      <c r="W107" s="92">
        <v>0</v>
      </c>
      <c r="X107" s="92">
        <v>0</v>
      </c>
      <c r="Y107" s="92">
        <v>0</v>
      </c>
      <c r="Z107" s="92">
        <v>7</v>
      </c>
      <c r="AA107" s="92">
        <v>0</v>
      </c>
      <c r="AB107" s="92">
        <v>1350</v>
      </c>
      <c r="AC107" s="92">
        <v>0</v>
      </c>
      <c r="AD107" s="92">
        <v>2</v>
      </c>
      <c r="AE107" s="92">
        <v>0</v>
      </c>
    </row>
    <row r="108" spans="1:31" s="123" customFormat="1" ht="24.95" customHeight="1">
      <c r="A108" s="333"/>
      <c r="B108" s="122">
        <v>95</v>
      </c>
      <c r="C108" s="110">
        <v>3329</v>
      </c>
      <c r="D108" s="93" t="s">
        <v>6198</v>
      </c>
      <c r="E108" s="92">
        <v>198</v>
      </c>
      <c r="F108" s="92">
        <v>0</v>
      </c>
      <c r="G108" s="92">
        <v>0</v>
      </c>
      <c r="H108" s="92">
        <v>0</v>
      </c>
      <c r="I108" s="92">
        <v>71</v>
      </c>
      <c r="J108" s="92">
        <v>0</v>
      </c>
      <c r="K108" s="92">
        <v>0</v>
      </c>
      <c r="L108" s="92">
        <v>0</v>
      </c>
      <c r="M108" s="92">
        <v>0</v>
      </c>
      <c r="N108" s="92">
        <v>0</v>
      </c>
      <c r="O108" s="92">
        <v>0</v>
      </c>
      <c r="P108" s="92">
        <v>0</v>
      </c>
      <c r="Q108" s="92">
        <v>0</v>
      </c>
      <c r="R108" s="92">
        <v>0</v>
      </c>
      <c r="S108" s="92">
        <v>0</v>
      </c>
      <c r="T108" s="92">
        <v>0</v>
      </c>
      <c r="U108" s="92">
        <v>0</v>
      </c>
      <c r="V108" s="92">
        <v>4</v>
      </c>
      <c r="W108" s="92">
        <v>0</v>
      </c>
      <c r="X108" s="92">
        <v>0</v>
      </c>
      <c r="Y108" s="92">
        <v>0</v>
      </c>
      <c r="Z108" s="92">
        <v>0</v>
      </c>
      <c r="AA108" s="92">
        <v>0</v>
      </c>
      <c r="AB108" s="92">
        <v>123</v>
      </c>
      <c r="AC108" s="92">
        <v>0</v>
      </c>
      <c r="AD108" s="92">
        <v>0</v>
      </c>
      <c r="AE108" s="92">
        <v>0</v>
      </c>
    </row>
    <row r="109" spans="1:31" s="123" customFormat="1" ht="24.95" customHeight="1">
      <c r="A109" s="333"/>
      <c r="B109" s="122">
        <v>96</v>
      </c>
      <c r="C109" s="110">
        <v>3330</v>
      </c>
      <c r="D109" s="93" t="s">
        <v>6198</v>
      </c>
      <c r="E109" s="92">
        <v>681</v>
      </c>
      <c r="F109" s="92">
        <v>0</v>
      </c>
      <c r="G109" s="92">
        <v>3</v>
      </c>
      <c r="H109" s="92">
        <v>71</v>
      </c>
      <c r="I109" s="92">
        <v>212</v>
      </c>
      <c r="J109" s="92">
        <v>0</v>
      </c>
      <c r="K109" s="92">
        <v>0</v>
      </c>
      <c r="L109" s="92">
        <v>0</v>
      </c>
      <c r="M109" s="92">
        <v>0</v>
      </c>
      <c r="N109" s="92">
        <v>0</v>
      </c>
      <c r="O109" s="92">
        <v>0</v>
      </c>
      <c r="P109" s="92">
        <v>0</v>
      </c>
      <c r="Q109" s="92">
        <v>43</v>
      </c>
      <c r="R109" s="92">
        <v>0</v>
      </c>
      <c r="S109" s="92">
        <v>0</v>
      </c>
      <c r="T109" s="92">
        <v>0</v>
      </c>
      <c r="U109" s="92">
        <v>0</v>
      </c>
      <c r="V109" s="92">
        <v>8</v>
      </c>
      <c r="W109" s="92">
        <v>0</v>
      </c>
      <c r="X109" s="92">
        <v>0</v>
      </c>
      <c r="Y109" s="92">
        <v>0</v>
      </c>
      <c r="Z109" s="92">
        <v>1</v>
      </c>
      <c r="AA109" s="92">
        <v>0</v>
      </c>
      <c r="AB109" s="92">
        <v>343</v>
      </c>
      <c r="AC109" s="92">
        <v>0</v>
      </c>
      <c r="AD109" s="92">
        <v>0</v>
      </c>
      <c r="AE109" s="92">
        <v>0</v>
      </c>
    </row>
    <row r="110" spans="1:31" s="123" customFormat="1" ht="24.95" customHeight="1">
      <c r="A110" s="333"/>
      <c r="B110" s="122">
        <v>97</v>
      </c>
      <c r="C110" s="110">
        <v>3331</v>
      </c>
      <c r="D110" s="93" t="s">
        <v>6198</v>
      </c>
      <c r="E110" s="92">
        <v>873</v>
      </c>
      <c r="F110" s="92">
        <v>0</v>
      </c>
      <c r="G110" s="92">
        <v>4</v>
      </c>
      <c r="H110" s="92">
        <v>91</v>
      </c>
      <c r="I110" s="92">
        <v>271</v>
      </c>
      <c r="J110" s="92">
        <v>0</v>
      </c>
      <c r="K110" s="92">
        <v>0</v>
      </c>
      <c r="L110" s="92">
        <v>0</v>
      </c>
      <c r="M110" s="92">
        <v>0</v>
      </c>
      <c r="N110" s="92">
        <v>0</v>
      </c>
      <c r="O110" s="92">
        <v>0</v>
      </c>
      <c r="P110" s="92">
        <v>0</v>
      </c>
      <c r="Q110" s="92">
        <v>54</v>
      </c>
      <c r="R110" s="92">
        <v>0</v>
      </c>
      <c r="S110" s="92">
        <v>0</v>
      </c>
      <c r="T110" s="92">
        <v>0</v>
      </c>
      <c r="U110" s="92">
        <v>0</v>
      </c>
      <c r="V110" s="92">
        <v>11</v>
      </c>
      <c r="W110" s="92">
        <v>0</v>
      </c>
      <c r="X110" s="92">
        <v>0</v>
      </c>
      <c r="Y110" s="92">
        <v>0</v>
      </c>
      <c r="Z110" s="92">
        <v>2</v>
      </c>
      <c r="AA110" s="92">
        <v>0</v>
      </c>
      <c r="AB110" s="92">
        <v>439</v>
      </c>
      <c r="AC110" s="92">
        <v>0</v>
      </c>
      <c r="AD110" s="92">
        <v>1</v>
      </c>
      <c r="AE110" s="92">
        <v>0</v>
      </c>
    </row>
    <row r="111" spans="1:31" s="123" customFormat="1" ht="24.95" customHeight="1">
      <c r="A111" s="333"/>
      <c r="B111" s="122">
        <v>98</v>
      </c>
      <c r="C111" s="110">
        <v>3334</v>
      </c>
      <c r="D111" s="93" t="s">
        <v>6198</v>
      </c>
      <c r="E111" s="92">
        <v>410</v>
      </c>
      <c r="F111" s="92">
        <v>0</v>
      </c>
      <c r="G111" s="92">
        <v>0</v>
      </c>
      <c r="H111" s="92">
        <v>0</v>
      </c>
      <c r="I111" s="92">
        <v>401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92">
        <v>0</v>
      </c>
      <c r="P111" s="92">
        <v>0</v>
      </c>
      <c r="Q111" s="92">
        <v>0</v>
      </c>
      <c r="R111" s="92">
        <v>0</v>
      </c>
      <c r="S111" s="92">
        <v>0</v>
      </c>
      <c r="T111" s="92">
        <v>0</v>
      </c>
      <c r="U111" s="92">
        <v>0</v>
      </c>
      <c r="V111" s="92">
        <v>0</v>
      </c>
      <c r="W111" s="92">
        <v>0</v>
      </c>
      <c r="X111" s="92">
        <v>0</v>
      </c>
      <c r="Y111" s="92">
        <v>0</v>
      </c>
      <c r="Z111" s="92">
        <v>0</v>
      </c>
      <c r="AA111" s="92">
        <v>0</v>
      </c>
      <c r="AB111" s="92">
        <v>9</v>
      </c>
      <c r="AC111" s="92">
        <v>0</v>
      </c>
      <c r="AD111" s="92">
        <v>0</v>
      </c>
      <c r="AE111" s="92">
        <v>0</v>
      </c>
    </row>
    <row r="112" spans="1:31" s="123" customFormat="1" ht="24.95" customHeight="1">
      <c r="A112" s="333"/>
      <c r="B112" s="122">
        <v>99</v>
      </c>
      <c r="C112" s="110">
        <v>3339</v>
      </c>
      <c r="D112" s="93" t="s">
        <v>6198</v>
      </c>
      <c r="E112" s="92">
        <v>212</v>
      </c>
      <c r="F112" s="92">
        <v>0</v>
      </c>
      <c r="G112" s="92">
        <v>0</v>
      </c>
      <c r="H112" s="92">
        <v>0</v>
      </c>
      <c r="I112" s="92">
        <v>42</v>
      </c>
      <c r="J112" s="92">
        <v>0</v>
      </c>
      <c r="K112" s="92">
        <v>0</v>
      </c>
      <c r="L112" s="92">
        <v>0</v>
      </c>
      <c r="M112" s="92">
        <v>0</v>
      </c>
      <c r="N112" s="92">
        <v>0</v>
      </c>
      <c r="O112" s="92">
        <v>0</v>
      </c>
      <c r="P112" s="92">
        <v>0</v>
      </c>
      <c r="Q112" s="92">
        <v>48</v>
      </c>
      <c r="R112" s="92">
        <v>0</v>
      </c>
      <c r="S112" s="92">
        <v>0</v>
      </c>
      <c r="T112" s="92">
        <v>0</v>
      </c>
      <c r="U112" s="92">
        <v>0</v>
      </c>
      <c r="V112" s="92">
        <v>1</v>
      </c>
      <c r="W112" s="92">
        <v>0</v>
      </c>
      <c r="X112" s="92">
        <v>0</v>
      </c>
      <c r="Y112" s="92">
        <v>0</v>
      </c>
      <c r="Z112" s="92">
        <v>0</v>
      </c>
      <c r="AA112" s="92">
        <v>0</v>
      </c>
      <c r="AB112" s="92">
        <v>121</v>
      </c>
      <c r="AC112" s="92">
        <v>0</v>
      </c>
      <c r="AD112" s="92">
        <v>0</v>
      </c>
      <c r="AE112" s="92">
        <v>0</v>
      </c>
    </row>
    <row r="113" spans="1:31" s="123" customFormat="1" ht="24.95" customHeight="1">
      <c r="A113" s="333"/>
      <c r="B113" s="122">
        <v>100</v>
      </c>
      <c r="C113" s="110">
        <v>3340</v>
      </c>
      <c r="D113" s="93" t="s">
        <v>6198</v>
      </c>
      <c r="E113" s="92">
        <v>271</v>
      </c>
      <c r="F113" s="92">
        <v>0</v>
      </c>
      <c r="G113" s="92">
        <v>0</v>
      </c>
      <c r="H113" s="92">
        <v>0</v>
      </c>
      <c r="I113" s="92">
        <v>53</v>
      </c>
      <c r="J113" s="92">
        <v>0</v>
      </c>
      <c r="K113" s="92">
        <v>0</v>
      </c>
      <c r="L113" s="92">
        <v>0</v>
      </c>
      <c r="M113" s="92">
        <v>0</v>
      </c>
      <c r="N113" s="92">
        <v>0</v>
      </c>
      <c r="O113" s="92">
        <v>0</v>
      </c>
      <c r="P113" s="92">
        <v>0</v>
      </c>
      <c r="Q113" s="92">
        <v>62</v>
      </c>
      <c r="R113" s="92">
        <v>0</v>
      </c>
      <c r="S113" s="92">
        <v>0</v>
      </c>
      <c r="T113" s="92">
        <v>0</v>
      </c>
      <c r="U113" s="92">
        <v>0</v>
      </c>
      <c r="V113" s="92">
        <v>1</v>
      </c>
      <c r="W113" s="92">
        <v>0</v>
      </c>
      <c r="X113" s="92">
        <v>0</v>
      </c>
      <c r="Y113" s="92">
        <v>0</v>
      </c>
      <c r="Z113" s="92">
        <v>0</v>
      </c>
      <c r="AA113" s="92">
        <v>0</v>
      </c>
      <c r="AB113" s="92">
        <v>155</v>
      </c>
      <c r="AC113" s="92">
        <v>0</v>
      </c>
      <c r="AD113" s="92">
        <v>0</v>
      </c>
      <c r="AE113" s="92">
        <v>0</v>
      </c>
    </row>
    <row r="114" spans="1:31" s="123" customFormat="1" ht="24.95" customHeight="1">
      <c r="A114" s="333"/>
      <c r="B114" s="122">
        <v>101</v>
      </c>
      <c r="C114" s="110">
        <v>3342</v>
      </c>
      <c r="D114" s="93" t="s">
        <v>6198</v>
      </c>
      <c r="E114" s="92">
        <v>306</v>
      </c>
      <c r="F114" s="92">
        <v>0</v>
      </c>
      <c r="G114" s="92">
        <v>0</v>
      </c>
      <c r="H114" s="92">
        <v>0</v>
      </c>
      <c r="I114" s="92">
        <v>143</v>
      </c>
      <c r="J114" s="92">
        <v>0</v>
      </c>
      <c r="K114" s="92">
        <v>0</v>
      </c>
      <c r="L114" s="92">
        <v>0</v>
      </c>
      <c r="M114" s="92">
        <v>0</v>
      </c>
      <c r="N114" s="92">
        <v>0</v>
      </c>
      <c r="O114" s="92">
        <v>0</v>
      </c>
      <c r="P114" s="92">
        <v>0</v>
      </c>
      <c r="Q114" s="92">
        <v>36</v>
      </c>
      <c r="R114" s="92">
        <v>0</v>
      </c>
      <c r="S114" s="92">
        <v>0</v>
      </c>
      <c r="T114" s="92">
        <v>0</v>
      </c>
      <c r="U114" s="92">
        <v>0</v>
      </c>
      <c r="V114" s="92">
        <v>34</v>
      </c>
      <c r="W114" s="92">
        <v>0</v>
      </c>
      <c r="X114" s="92">
        <v>0</v>
      </c>
      <c r="Y114" s="92">
        <v>0</v>
      </c>
      <c r="Z114" s="92">
        <v>0</v>
      </c>
      <c r="AA114" s="92">
        <v>0</v>
      </c>
      <c r="AB114" s="92">
        <v>93</v>
      </c>
      <c r="AC114" s="92">
        <v>0</v>
      </c>
      <c r="AD114" s="92">
        <v>0</v>
      </c>
      <c r="AE114" s="92">
        <v>0</v>
      </c>
    </row>
    <row r="115" spans="1:31" s="123" customFormat="1" ht="24.95" customHeight="1">
      <c r="A115" s="333"/>
      <c r="B115" s="122">
        <v>102</v>
      </c>
      <c r="C115" s="110">
        <v>3453</v>
      </c>
      <c r="D115" s="93" t="s">
        <v>6198</v>
      </c>
      <c r="E115" s="92">
        <v>381</v>
      </c>
      <c r="F115" s="92">
        <v>0</v>
      </c>
      <c r="G115" s="92">
        <v>13</v>
      </c>
      <c r="H115" s="92">
        <v>0</v>
      </c>
      <c r="I115" s="92">
        <v>122</v>
      </c>
      <c r="J115" s="92">
        <v>0</v>
      </c>
      <c r="K115" s="92">
        <v>0</v>
      </c>
      <c r="L115" s="92">
        <v>0</v>
      </c>
      <c r="M115" s="92">
        <v>0</v>
      </c>
      <c r="N115" s="92">
        <v>28</v>
      </c>
      <c r="O115" s="92">
        <v>0</v>
      </c>
      <c r="P115" s="92">
        <v>0</v>
      </c>
      <c r="Q115" s="92">
        <v>117</v>
      </c>
      <c r="R115" s="92">
        <v>0</v>
      </c>
      <c r="S115" s="92">
        <v>0</v>
      </c>
      <c r="T115" s="92">
        <v>0</v>
      </c>
      <c r="U115" s="92">
        <v>0</v>
      </c>
      <c r="V115" s="92">
        <v>25</v>
      </c>
      <c r="W115" s="92">
        <v>0</v>
      </c>
      <c r="X115" s="92">
        <v>0</v>
      </c>
      <c r="Y115" s="92">
        <v>0</v>
      </c>
      <c r="Z115" s="92">
        <v>10</v>
      </c>
      <c r="AA115" s="92">
        <v>0</v>
      </c>
      <c r="AB115" s="92">
        <v>66</v>
      </c>
      <c r="AC115" s="92">
        <v>0</v>
      </c>
      <c r="AD115" s="92">
        <v>0</v>
      </c>
      <c r="AE115" s="92">
        <v>0</v>
      </c>
    </row>
    <row r="116" spans="1:31" s="123" customFormat="1" ht="24.95" customHeight="1">
      <c r="A116" s="333"/>
      <c r="B116" s="122">
        <v>103</v>
      </c>
      <c r="C116" s="110">
        <v>3454</v>
      </c>
      <c r="D116" s="93" t="s">
        <v>6198</v>
      </c>
      <c r="E116" s="92">
        <v>381</v>
      </c>
      <c r="F116" s="92">
        <v>0</v>
      </c>
      <c r="G116" s="92">
        <v>13</v>
      </c>
      <c r="H116" s="92">
        <v>0</v>
      </c>
      <c r="I116" s="92">
        <v>122</v>
      </c>
      <c r="J116" s="92">
        <v>0</v>
      </c>
      <c r="K116" s="92">
        <v>0</v>
      </c>
      <c r="L116" s="92">
        <v>0</v>
      </c>
      <c r="M116" s="92">
        <v>0</v>
      </c>
      <c r="N116" s="92">
        <v>28</v>
      </c>
      <c r="O116" s="92">
        <v>0</v>
      </c>
      <c r="P116" s="92">
        <v>0</v>
      </c>
      <c r="Q116" s="92">
        <v>117</v>
      </c>
      <c r="R116" s="92">
        <v>0</v>
      </c>
      <c r="S116" s="92">
        <v>0</v>
      </c>
      <c r="T116" s="92">
        <v>0</v>
      </c>
      <c r="U116" s="92">
        <v>0</v>
      </c>
      <c r="V116" s="92">
        <v>25</v>
      </c>
      <c r="W116" s="92">
        <v>0</v>
      </c>
      <c r="X116" s="92">
        <v>0</v>
      </c>
      <c r="Y116" s="92">
        <v>0</v>
      </c>
      <c r="Z116" s="92">
        <v>10</v>
      </c>
      <c r="AA116" s="92">
        <v>0</v>
      </c>
      <c r="AB116" s="92">
        <v>66</v>
      </c>
      <c r="AC116" s="92">
        <v>0</v>
      </c>
      <c r="AD116" s="92">
        <v>0</v>
      </c>
      <c r="AE116" s="92">
        <v>0</v>
      </c>
    </row>
    <row r="117" spans="1:31" s="123" customFormat="1" ht="24.95" customHeight="1">
      <c r="A117" s="333"/>
      <c r="B117" s="122">
        <v>104</v>
      </c>
      <c r="C117" s="110">
        <v>3455</v>
      </c>
      <c r="D117" s="93" t="s">
        <v>6198</v>
      </c>
      <c r="E117" s="92">
        <v>526</v>
      </c>
      <c r="F117" s="92">
        <v>0</v>
      </c>
      <c r="G117" s="92">
        <v>18</v>
      </c>
      <c r="H117" s="92">
        <v>0</v>
      </c>
      <c r="I117" s="92">
        <v>168</v>
      </c>
      <c r="J117" s="92">
        <v>0</v>
      </c>
      <c r="K117" s="92">
        <v>0</v>
      </c>
      <c r="L117" s="92">
        <v>0</v>
      </c>
      <c r="M117" s="92">
        <v>0</v>
      </c>
      <c r="N117" s="92">
        <v>39</v>
      </c>
      <c r="O117" s="92">
        <v>0</v>
      </c>
      <c r="P117" s="92">
        <v>0</v>
      </c>
      <c r="Q117" s="92">
        <v>161</v>
      </c>
      <c r="R117" s="92">
        <v>0</v>
      </c>
      <c r="S117" s="92">
        <v>0</v>
      </c>
      <c r="T117" s="92">
        <v>0</v>
      </c>
      <c r="U117" s="92">
        <v>0</v>
      </c>
      <c r="V117" s="92">
        <v>34</v>
      </c>
      <c r="W117" s="92">
        <v>0</v>
      </c>
      <c r="X117" s="92">
        <v>0</v>
      </c>
      <c r="Y117" s="92">
        <v>0</v>
      </c>
      <c r="Z117" s="92">
        <v>14</v>
      </c>
      <c r="AA117" s="92">
        <v>0</v>
      </c>
      <c r="AB117" s="92">
        <v>92</v>
      </c>
      <c r="AC117" s="92">
        <v>0</v>
      </c>
      <c r="AD117" s="92">
        <v>0</v>
      </c>
      <c r="AE117" s="92">
        <v>0</v>
      </c>
    </row>
    <row r="118" spans="1:31" s="123" customFormat="1" ht="24.95" customHeight="1">
      <c r="A118" s="333"/>
      <c r="B118" s="122">
        <v>105</v>
      </c>
      <c r="C118" s="110">
        <v>3351</v>
      </c>
      <c r="D118" s="93" t="s">
        <v>6198</v>
      </c>
      <c r="E118" s="92">
        <v>512</v>
      </c>
      <c r="F118" s="92">
        <v>0</v>
      </c>
      <c r="G118" s="92">
        <v>0</v>
      </c>
      <c r="H118" s="92">
        <v>25</v>
      </c>
      <c r="I118" s="92">
        <v>65</v>
      </c>
      <c r="J118" s="92">
        <v>1</v>
      </c>
      <c r="K118" s="92">
        <v>0</v>
      </c>
      <c r="L118" s="92">
        <v>0</v>
      </c>
      <c r="M118" s="92">
        <v>0</v>
      </c>
      <c r="N118" s="92">
        <v>0</v>
      </c>
      <c r="O118" s="92">
        <v>0</v>
      </c>
      <c r="P118" s="92">
        <v>0</v>
      </c>
      <c r="Q118" s="92">
        <v>258</v>
      </c>
      <c r="R118" s="92">
        <v>0</v>
      </c>
      <c r="S118" s="92">
        <v>10</v>
      </c>
      <c r="T118" s="92">
        <v>0</v>
      </c>
      <c r="U118" s="92">
        <v>0</v>
      </c>
      <c r="V118" s="92">
        <v>0</v>
      </c>
      <c r="W118" s="92">
        <v>0</v>
      </c>
      <c r="X118" s="92">
        <v>0</v>
      </c>
      <c r="Y118" s="92">
        <v>0</v>
      </c>
      <c r="Z118" s="92">
        <v>0</v>
      </c>
      <c r="AA118" s="92">
        <v>0</v>
      </c>
      <c r="AB118" s="92">
        <v>153</v>
      </c>
      <c r="AC118" s="92">
        <v>0</v>
      </c>
      <c r="AD118" s="92">
        <v>0</v>
      </c>
      <c r="AE118" s="92">
        <v>0</v>
      </c>
    </row>
    <row r="119" spans="1:31" s="123" customFormat="1" ht="24.95" customHeight="1">
      <c r="A119" s="333"/>
      <c r="B119" s="122">
        <v>106</v>
      </c>
      <c r="C119" s="110">
        <v>3389</v>
      </c>
      <c r="D119" s="93" t="s">
        <v>6198</v>
      </c>
      <c r="E119" s="92">
        <v>394</v>
      </c>
      <c r="F119" s="92">
        <v>0</v>
      </c>
      <c r="G119" s="92">
        <v>0</v>
      </c>
      <c r="H119" s="92">
        <v>0</v>
      </c>
      <c r="I119" s="92">
        <v>0</v>
      </c>
      <c r="J119" s="92">
        <v>0</v>
      </c>
      <c r="K119" s="92">
        <v>0</v>
      </c>
      <c r="L119" s="92">
        <v>0</v>
      </c>
      <c r="M119" s="92">
        <v>0</v>
      </c>
      <c r="N119" s="92">
        <v>0</v>
      </c>
      <c r="O119" s="92">
        <v>0</v>
      </c>
      <c r="P119" s="92">
        <v>0</v>
      </c>
      <c r="Q119" s="92">
        <v>0</v>
      </c>
      <c r="R119" s="92">
        <v>0</v>
      </c>
      <c r="S119" s="92">
        <v>32</v>
      </c>
      <c r="T119" s="92">
        <v>362</v>
      </c>
      <c r="U119" s="92">
        <v>0</v>
      </c>
      <c r="V119" s="92">
        <v>0</v>
      </c>
      <c r="W119" s="92">
        <v>0</v>
      </c>
      <c r="X119" s="92">
        <v>0</v>
      </c>
      <c r="Y119" s="92">
        <v>0</v>
      </c>
      <c r="Z119" s="92">
        <v>0</v>
      </c>
      <c r="AA119" s="92">
        <v>0</v>
      </c>
      <c r="AB119" s="92">
        <v>0</v>
      </c>
      <c r="AC119" s="92">
        <v>0</v>
      </c>
      <c r="AD119" s="92">
        <v>0</v>
      </c>
      <c r="AE119" s="92">
        <v>0</v>
      </c>
    </row>
    <row r="120" spans="1:31" s="123" customFormat="1" ht="24.95" customHeight="1">
      <c r="A120" s="333"/>
      <c r="B120" s="122">
        <v>107</v>
      </c>
      <c r="C120" s="110">
        <v>3390</v>
      </c>
      <c r="D120" s="93" t="s">
        <v>6198</v>
      </c>
      <c r="E120" s="92">
        <v>282</v>
      </c>
      <c r="F120" s="92">
        <v>3</v>
      </c>
      <c r="G120" s="92">
        <v>2</v>
      </c>
      <c r="H120" s="92">
        <v>28</v>
      </c>
      <c r="I120" s="92">
        <v>22</v>
      </c>
      <c r="J120" s="92">
        <v>0</v>
      </c>
      <c r="K120" s="92">
        <v>0</v>
      </c>
      <c r="L120" s="92">
        <v>0</v>
      </c>
      <c r="M120" s="92">
        <v>1</v>
      </c>
      <c r="N120" s="92">
        <v>0</v>
      </c>
      <c r="O120" s="92">
        <v>0</v>
      </c>
      <c r="P120" s="92">
        <v>0</v>
      </c>
      <c r="Q120" s="92">
        <v>135</v>
      </c>
      <c r="R120" s="92">
        <v>1</v>
      </c>
      <c r="S120" s="92">
        <v>26</v>
      </c>
      <c r="T120" s="92">
        <v>0</v>
      </c>
      <c r="U120" s="92">
        <v>0</v>
      </c>
      <c r="V120" s="92">
        <v>0</v>
      </c>
      <c r="W120" s="92">
        <v>0</v>
      </c>
      <c r="X120" s="92">
        <v>0</v>
      </c>
      <c r="Y120" s="92">
        <v>0</v>
      </c>
      <c r="Z120" s="92">
        <v>0</v>
      </c>
      <c r="AA120" s="92">
        <v>1</v>
      </c>
      <c r="AB120" s="92">
        <v>63</v>
      </c>
      <c r="AC120" s="92">
        <v>0</v>
      </c>
      <c r="AD120" s="92">
        <v>0</v>
      </c>
      <c r="AE120" s="92">
        <v>0</v>
      </c>
    </row>
    <row r="121" spans="1:31" s="126" customFormat="1" ht="24.95" customHeight="1">
      <c r="A121" s="124"/>
      <c r="B121" s="316" t="s">
        <v>245</v>
      </c>
      <c r="C121" s="316"/>
      <c r="D121" s="316"/>
      <c r="E121" s="125">
        <f>SUM(F121:AE121)</f>
        <v>86942</v>
      </c>
      <c r="F121" s="125">
        <f t="shared" ref="F121:AE121" si="2">SUM(F28:F120)</f>
        <v>710</v>
      </c>
      <c r="G121" s="125">
        <f t="shared" si="2"/>
        <v>5260</v>
      </c>
      <c r="H121" s="125">
        <f t="shared" si="2"/>
        <v>7696</v>
      </c>
      <c r="I121" s="125">
        <f t="shared" si="2"/>
        <v>11722</v>
      </c>
      <c r="J121" s="125">
        <f t="shared" si="2"/>
        <v>538</v>
      </c>
      <c r="K121" s="125">
        <f t="shared" si="2"/>
        <v>0</v>
      </c>
      <c r="L121" s="125">
        <f t="shared" si="2"/>
        <v>48</v>
      </c>
      <c r="M121" s="125">
        <f t="shared" si="2"/>
        <v>34</v>
      </c>
      <c r="N121" s="125">
        <f t="shared" si="2"/>
        <v>1072</v>
      </c>
      <c r="O121" s="125">
        <f t="shared" si="2"/>
        <v>261</v>
      </c>
      <c r="P121" s="125">
        <f t="shared" si="2"/>
        <v>3885</v>
      </c>
      <c r="Q121" s="125">
        <f t="shared" si="2"/>
        <v>17332</v>
      </c>
      <c r="R121" s="125">
        <f t="shared" si="2"/>
        <v>272</v>
      </c>
      <c r="S121" s="125">
        <f t="shared" si="2"/>
        <v>1901</v>
      </c>
      <c r="T121" s="125">
        <f t="shared" si="2"/>
        <v>773</v>
      </c>
      <c r="U121" s="125">
        <f t="shared" si="2"/>
        <v>644</v>
      </c>
      <c r="V121" s="125">
        <f t="shared" si="2"/>
        <v>752</v>
      </c>
      <c r="W121" s="125">
        <f t="shared" si="2"/>
        <v>10199</v>
      </c>
      <c r="X121" s="125">
        <f t="shared" si="2"/>
        <v>1300</v>
      </c>
      <c r="Y121" s="125">
        <f t="shared" si="2"/>
        <v>520</v>
      </c>
      <c r="Z121" s="125">
        <f t="shared" si="2"/>
        <v>1252</v>
      </c>
      <c r="AA121" s="125">
        <f t="shared" si="2"/>
        <v>4028</v>
      </c>
      <c r="AB121" s="125">
        <f t="shared" si="2"/>
        <v>14253</v>
      </c>
      <c r="AC121" s="125">
        <f t="shared" si="2"/>
        <v>1504</v>
      </c>
      <c r="AD121" s="125">
        <f t="shared" si="2"/>
        <v>312</v>
      </c>
      <c r="AE121" s="125">
        <f t="shared" si="2"/>
        <v>674</v>
      </c>
    </row>
    <row r="122" spans="1:31" s="128" customFormat="1" ht="24.95" customHeight="1">
      <c r="A122" s="127"/>
      <c r="B122" s="317" t="s">
        <v>246</v>
      </c>
      <c r="C122" s="317"/>
      <c r="D122" s="317"/>
      <c r="E122" s="125">
        <f t="shared" ref="E122:AE122" si="3">E121+E21</f>
        <v>94968</v>
      </c>
      <c r="F122" s="125">
        <f t="shared" si="3"/>
        <v>784</v>
      </c>
      <c r="G122" s="125">
        <f t="shared" si="3"/>
        <v>6036</v>
      </c>
      <c r="H122" s="125">
        <f t="shared" si="3"/>
        <v>8463</v>
      </c>
      <c r="I122" s="125">
        <f t="shared" si="3"/>
        <v>12822</v>
      </c>
      <c r="J122" s="125">
        <f t="shared" si="3"/>
        <v>563</v>
      </c>
      <c r="K122" s="125">
        <f t="shared" si="3"/>
        <v>0</v>
      </c>
      <c r="L122" s="125">
        <f t="shared" si="3"/>
        <v>62</v>
      </c>
      <c r="M122" s="125">
        <f t="shared" si="3"/>
        <v>34</v>
      </c>
      <c r="N122" s="125">
        <f t="shared" si="3"/>
        <v>1157</v>
      </c>
      <c r="O122" s="125">
        <f t="shared" si="3"/>
        <v>438</v>
      </c>
      <c r="P122" s="125">
        <f t="shared" si="3"/>
        <v>3923</v>
      </c>
      <c r="Q122" s="125">
        <f t="shared" si="3"/>
        <v>18131</v>
      </c>
      <c r="R122" s="125">
        <f t="shared" si="3"/>
        <v>292</v>
      </c>
      <c r="S122" s="125">
        <f t="shared" si="3"/>
        <v>2165</v>
      </c>
      <c r="T122" s="125">
        <f t="shared" si="3"/>
        <v>791</v>
      </c>
      <c r="U122" s="125">
        <f t="shared" si="3"/>
        <v>648</v>
      </c>
      <c r="V122" s="125">
        <f t="shared" si="3"/>
        <v>764</v>
      </c>
      <c r="W122" s="125">
        <f t="shared" si="3"/>
        <v>10807</v>
      </c>
      <c r="X122" s="125">
        <f t="shared" si="3"/>
        <v>1330</v>
      </c>
      <c r="Y122" s="125">
        <f t="shared" si="3"/>
        <v>570</v>
      </c>
      <c r="Z122" s="125">
        <f t="shared" si="3"/>
        <v>1289</v>
      </c>
      <c r="AA122" s="125">
        <f t="shared" si="3"/>
        <v>4878</v>
      </c>
      <c r="AB122" s="125">
        <f t="shared" si="3"/>
        <v>14553</v>
      </c>
      <c r="AC122" s="125">
        <f t="shared" si="3"/>
        <v>3479</v>
      </c>
      <c r="AD122" s="125">
        <f t="shared" si="3"/>
        <v>312</v>
      </c>
      <c r="AE122" s="125">
        <f t="shared" si="3"/>
        <v>677</v>
      </c>
    </row>
    <row r="123" spans="1:31" s="128" customFormat="1" ht="24.95" customHeight="1">
      <c r="A123" s="129"/>
      <c r="B123" s="318" t="s">
        <v>242</v>
      </c>
      <c r="C123" s="318"/>
      <c r="D123" s="319"/>
      <c r="E123" s="112">
        <f>SUM(F123:AE123)</f>
        <v>30658.103000000003</v>
      </c>
      <c r="F123" s="112">
        <f t="shared" ref="F123:AE123" si="4">F22</f>
        <v>338.1</v>
      </c>
      <c r="G123" s="112">
        <f t="shared" si="4"/>
        <v>2688.7000000000003</v>
      </c>
      <c r="H123" s="112">
        <f t="shared" si="4"/>
        <v>2660.5250000000001</v>
      </c>
      <c r="I123" s="112">
        <f t="shared" si="4"/>
        <v>2189.6000000000004</v>
      </c>
      <c r="J123" s="112">
        <f t="shared" si="4"/>
        <v>652.69400000000007</v>
      </c>
      <c r="K123" s="112">
        <f t="shared" si="4"/>
        <v>0</v>
      </c>
      <c r="L123" s="112">
        <f t="shared" si="4"/>
        <v>338.1</v>
      </c>
      <c r="M123" s="112">
        <f t="shared" si="4"/>
        <v>0</v>
      </c>
      <c r="N123" s="112">
        <f t="shared" si="4"/>
        <v>676.2</v>
      </c>
      <c r="O123" s="112">
        <f t="shared" si="4"/>
        <v>507.15000000000003</v>
      </c>
      <c r="P123" s="112">
        <f t="shared" si="4"/>
        <v>1521.45</v>
      </c>
      <c r="Q123" s="112">
        <f t="shared" si="4"/>
        <v>4894.4000000000005</v>
      </c>
      <c r="R123" s="112">
        <f t="shared" si="4"/>
        <v>320.71199999999999</v>
      </c>
      <c r="S123" s="112">
        <f t="shared" si="4"/>
        <v>1296.3720000000001</v>
      </c>
      <c r="T123" s="112">
        <f t="shared" si="4"/>
        <v>169.05</v>
      </c>
      <c r="U123" s="112">
        <f t="shared" si="4"/>
        <v>169.05</v>
      </c>
      <c r="V123" s="112">
        <f t="shared" si="4"/>
        <v>320.71199999999999</v>
      </c>
      <c r="W123" s="112">
        <f t="shared" si="4"/>
        <v>2519.65</v>
      </c>
      <c r="X123" s="112">
        <f t="shared" si="4"/>
        <v>1161.7760000000001</v>
      </c>
      <c r="Y123" s="112">
        <f t="shared" si="4"/>
        <v>169.05</v>
      </c>
      <c r="Z123" s="112">
        <f t="shared" si="4"/>
        <v>668.15000000000009</v>
      </c>
      <c r="AA123" s="112">
        <f t="shared" si="4"/>
        <v>1970.6400000000003</v>
      </c>
      <c r="AB123" s="112">
        <f t="shared" si="4"/>
        <v>2952.096</v>
      </c>
      <c r="AC123" s="112">
        <f t="shared" si="4"/>
        <v>1966.7760000000003</v>
      </c>
      <c r="AD123" s="112">
        <f t="shared" si="4"/>
        <v>169.05</v>
      </c>
      <c r="AE123" s="112">
        <f t="shared" si="4"/>
        <v>338.1</v>
      </c>
    </row>
    <row r="124" spans="1:31" s="128" customFormat="1" ht="24.95" customHeight="1">
      <c r="A124" s="130" t="s">
        <v>31</v>
      </c>
      <c r="B124" s="320" t="s">
        <v>243</v>
      </c>
      <c r="C124" s="320"/>
      <c r="D124" s="320"/>
      <c r="E124" s="136">
        <f>E123-E122</f>
        <v>-64309.896999999997</v>
      </c>
      <c r="F124" s="136">
        <f t="shared" ref="F124:AE124" si="5">F123-F122</f>
        <v>-445.9</v>
      </c>
      <c r="G124" s="136">
        <f t="shared" si="5"/>
        <v>-3347.2999999999997</v>
      </c>
      <c r="H124" s="136">
        <f t="shared" si="5"/>
        <v>-5802.4750000000004</v>
      </c>
      <c r="I124" s="136">
        <f t="shared" si="5"/>
        <v>-10632.4</v>
      </c>
      <c r="J124" s="136">
        <f t="shared" si="5"/>
        <v>89.694000000000074</v>
      </c>
      <c r="K124" s="136">
        <f t="shared" si="5"/>
        <v>0</v>
      </c>
      <c r="L124" s="136">
        <f t="shared" si="5"/>
        <v>276.10000000000002</v>
      </c>
      <c r="M124" s="136">
        <f t="shared" si="5"/>
        <v>-34</v>
      </c>
      <c r="N124" s="136">
        <f t="shared" si="5"/>
        <v>-480.79999999999995</v>
      </c>
      <c r="O124" s="136">
        <f t="shared" si="5"/>
        <v>69.150000000000034</v>
      </c>
      <c r="P124" s="136">
        <f t="shared" si="5"/>
        <v>-2401.5500000000002</v>
      </c>
      <c r="Q124" s="136">
        <f t="shared" si="5"/>
        <v>-13236.599999999999</v>
      </c>
      <c r="R124" s="136">
        <f t="shared" si="5"/>
        <v>28.711999999999989</v>
      </c>
      <c r="S124" s="136">
        <f t="shared" si="5"/>
        <v>-868.62799999999993</v>
      </c>
      <c r="T124" s="136">
        <f t="shared" si="5"/>
        <v>-621.95000000000005</v>
      </c>
      <c r="U124" s="136">
        <f t="shared" si="5"/>
        <v>-478.95</v>
      </c>
      <c r="V124" s="136">
        <f t="shared" si="5"/>
        <v>-443.28800000000001</v>
      </c>
      <c r="W124" s="136">
        <f t="shared" si="5"/>
        <v>-8287.35</v>
      </c>
      <c r="X124" s="136">
        <f t="shared" si="5"/>
        <v>-168.22399999999993</v>
      </c>
      <c r="Y124" s="136">
        <f t="shared" si="5"/>
        <v>-400.95</v>
      </c>
      <c r="Z124" s="136">
        <f t="shared" si="5"/>
        <v>-620.84999999999991</v>
      </c>
      <c r="AA124" s="136">
        <f t="shared" si="5"/>
        <v>-2907.3599999999997</v>
      </c>
      <c r="AB124" s="136">
        <f>AB123-AB122</f>
        <v>-11600.904</v>
      </c>
      <c r="AC124" s="136">
        <f>AC123-AC122</f>
        <v>-1512.2239999999997</v>
      </c>
      <c r="AD124" s="136">
        <f t="shared" si="5"/>
        <v>-142.94999999999999</v>
      </c>
      <c r="AE124" s="136">
        <f t="shared" si="5"/>
        <v>-338.9</v>
      </c>
    </row>
    <row r="126" spans="1:31">
      <c r="C126" s="95">
        <v>3259</v>
      </c>
      <c r="D126" s="102" t="s">
        <v>6198</v>
      </c>
      <c r="E126" s="97">
        <v>11</v>
      </c>
      <c r="F126" s="98">
        <v>0</v>
      </c>
      <c r="G126" s="99">
        <v>5</v>
      </c>
      <c r="H126" s="98">
        <v>0</v>
      </c>
      <c r="I126" s="99">
        <v>0</v>
      </c>
      <c r="J126" s="98">
        <v>0</v>
      </c>
      <c r="K126" s="98">
        <v>0</v>
      </c>
      <c r="L126" s="98">
        <v>0</v>
      </c>
      <c r="M126" s="98">
        <v>0</v>
      </c>
      <c r="N126" s="98">
        <v>0</v>
      </c>
      <c r="O126" s="98">
        <v>0</v>
      </c>
      <c r="P126" s="98">
        <v>0</v>
      </c>
      <c r="Q126" s="98">
        <v>0</v>
      </c>
      <c r="R126" s="98">
        <v>0</v>
      </c>
      <c r="S126" s="98">
        <v>6</v>
      </c>
      <c r="T126" s="98">
        <v>0</v>
      </c>
      <c r="U126" s="98">
        <v>0</v>
      </c>
      <c r="V126" s="98">
        <v>0</v>
      </c>
      <c r="W126" s="98">
        <v>0</v>
      </c>
      <c r="X126" s="98">
        <v>0</v>
      </c>
      <c r="Y126" s="98">
        <v>0</v>
      </c>
      <c r="Z126" s="98">
        <v>0</v>
      </c>
      <c r="AA126" s="98">
        <v>0</v>
      </c>
      <c r="AB126" s="98">
        <v>0</v>
      </c>
      <c r="AC126" s="98">
        <v>0</v>
      </c>
      <c r="AD126" s="98">
        <v>0</v>
      </c>
      <c r="AE126" s="98">
        <v>0</v>
      </c>
    </row>
    <row r="127" spans="1:31">
      <c r="C127" s="95">
        <v>3254</v>
      </c>
      <c r="D127" s="102" t="s">
        <v>6198</v>
      </c>
      <c r="E127" s="97">
        <v>2</v>
      </c>
      <c r="F127" s="98">
        <v>0</v>
      </c>
      <c r="G127" s="99">
        <v>1</v>
      </c>
      <c r="H127" s="98">
        <v>0</v>
      </c>
      <c r="I127" s="99">
        <v>0</v>
      </c>
      <c r="J127" s="98">
        <v>0</v>
      </c>
      <c r="K127" s="98">
        <v>0</v>
      </c>
      <c r="L127" s="98">
        <v>0</v>
      </c>
      <c r="M127" s="98">
        <v>0</v>
      </c>
      <c r="N127" s="98">
        <v>0</v>
      </c>
      <c r="O127" s="98">
        <v>0</v>
      </c>
      <c r="P127" s="98">
        <v>0</v>
      </c>
      <c r="Q127" s="98">
        <v>0</v>
      </c>
      <c r="R127" s="98">
        <v>0</v>
      </c>
      <c r="S127" s="98">
        <v>1</v>
      </c>
      <c r="T127" s="98">
        <v>0</v>
      </c>
      <c r="U127" s="98">
        <v>0</v>
      </c>
      <c r="V127" s="98">
        <v>0</v>
      </c>
      <c r="W127" s="98">
        <v>0</v>
      </c>
      <c r="X127" s="98">
        <v>0</v>
      </c>
      <c r="Y127" s="98">
        <v>0</v>
      </c>
      <c r="Z127" s="98">
        <v>0</v>
      </c>
      <c r="AA127" s="98">
        <v>0</v>
      </c>
      <c r="AB127" s="98">
        <v>0</v>
      </c>
      <c r="AC127" s="98">
        <v>0</v>
      </c>
      <c r="AD127" s="98">
        <v>0</v>
      </c>
      <c r="AE127" s="98">
        <v>0</v>
      </c>
    </row>
    <row r="128" spans="1:31">
      <c r="C128" s="95">
        <v>3267</v>
      </c>
      <c r="D128" s="102" t="s">
        <v>6198</v>
      </c>
      <c r="E128" s="97">
        <v>296</v>
      </c>
      <c r="F128" s="98">
        <v>0</v>
      </c>
      <c r="G128" s="99">
        <v>7</v>
      </c>
      <c r="H128" s="98">
        <v>0</v>
      </c>
      <c r="I128" s="99">
        <v>130</v>
      </c>
      <c r="J128" s="98">
        <v>0</v>
      </c>
      <c r="K128" s="98">
        <v>0</v>
      </c>
      <c r="L128" s="98">
        <v>0</v>
      </c>
      <c r="M128" s="98">
        <v>0</v>
      </c>
      <c r="N128" s="98">
        <v>0</v>
      </c>
      <c r="O128" s="98">
        <v>0</v>
      </c>
      <c r="P128" s="98">
        <v>0</v>
      </c>
      <c r="Q128" s="98">
        <v>20</v>
      </c>
      <c r="R128" s="98">
        <v>0</v>
      </c>
      <c r="S128" s="98">
        <v>11</v>
      </c>
      <c r="T128" s="98">
        <v>0</v>
      </c>
      <c r="U128" s="98">
        <v>0</v>
      </c>
      <c r="V128" s="98">
        <v>2</v>
      </c>
      <c r="W128" s="98">
        <v>19</v>
      </c>
      <c r="X128" s="98">
        <v>0</v>
      </c>
      <c r="Y128" s="98">
        <v>0</v>
      </c>
      <c r="Z128" s="98">
        <v>0</v>
      </c>
      <c r="AA128" s="98">
        <v>0</v>
      </c>
      <c r="AB128" s="98">
        <v>107</v>
      </c>
      <c r="AC128" s="98">
        <v>0</v>
      </c>
      <c r="AD128" s="98">
        <v>0</v>
      </c>
      <c r="AE128" s="98">
        <v>0</v>
      </c>
    </row>
    <row r="129" spans="3:31">
      <c r="C129" s="95">
        <v>3263</v>
      </c>
      <c r="D129" s="102" t="s">
        <v>6198</v>
      </c>
      <c r="E129" s="97">
        <v>276</v>
      </c>
      <c r="F129" s="98">
        <v>0</v>
      </c>
      <c r="G129" s="99">
        <v>0</v>
      </c>
      <c r="H129" s="98">
        <v>0</v>
      </c>
      <c r="I129" s="99">
        <v>63</v>
      </c>
      <c r="J129" s="98">
        <v>37</v>
      </c>
      <c r="K129" s="98">
        <v>0</v>
      </c>
      <c r="L129" s="98">
        <v>0</v>
      </c>
      <c r="M129" s="98">
        <v>0</v>
      </c>
      <c r="N129" s="98">
        <v>0</v>
      </c>
      <c r="O129" s="98">
        <v>0</v>
      </c>
      <c r="P129" s="98">
        <v>0</v>
      </c>
      <c r="Q129" s="98">
        <v>103</v>
      </c>
      <c r="R129" s="98">
        <v>0</v>
      </c>
      <c r="S129" s="98">
        <v>4</v>
      </c>
      <c r="T129" s="98">
        <v>0</v>
      </c>
      <c r="U129" s="98">
        <v>0</v>
      </c>
      <c r="V129" s="98">
        <v>0</v>
      </c>
      <c r="W129" s="98">
        <v>0</v>
      </c>
      <c r="X129" s="98">
        <v>0</v>
      </c>
      <c r="Y129" s="98">
        <v>0</v>
      </c>
      <c r="Z129" s="98">
        <v>0</v>
      </c>
      <c r="AA129" s="98">
        <v>0</v>
      </c>
      <c r="AB129" s="98">
        <v>69</v>
      </c>
      <c r="AC129" s="98">
        <v>0</v>
      </c>
      <c r="AD129" s="98">
        <v>0</v>
      </c>
      <c r="AE129" s="98">
        <v>0</v>
      </c>
    </row>
    <row r="130" spans="3:31">
      <c r="C130" s="95">
        <v>3269</v>
      </c>
      <c r="D130" s="102" t="s">
        <v>6198</v>
      </c>
      <c r="E130" s="97">
        <v>627</v>
      </c>
      <c r="F130" s="98">
        <v>0</v>
      </c>
      <c r="G130" s="99">
        <v>5</v>
      </c>
      <c r="H130" s="98">
        <v>2</v>
      </c>
      <c r="I130" s="99">
        <v>190</v>
      </c>
      <c r="J130" s="98">
        <v>4</v>
      </c>
      <c r="K130" s="98">
        <v>0</v>
      </c>
      <c r="L130" s="98">
        <v>0</v>
      </c>
      <c r="M130" s="98">
        <v>0</v>
      </c>
      <c r="N130" s="98">
        <v>0</v>
      </c>
      <c r="O130" s="98">
        <v>0</v>
      </c>
      <c r="P130" s="98">
        <v>13</v>
      </c>
      <c r="Q130" s="98">
        <v>52</v>
      </c>
      <c r="R130" s="98">
        <v>0</v>
      </c>
      <c r="S130" s="98">
        <v>7</v>
      </c>
      <c r="T130" s="98">
        <v>0</v>
      </c>
      <c r="U130" s="98">
        <v>2</v>
      </c>
      <c r="V130" s="98">
        <v>0</v>
      </c>
      <c r="W130" s="98">
        <v>0</v>
      </c>
      <c r="X130" s="98">
        <v>0</v>
      </c>
      <c r="Y130" s="98">
        <v>0</v>
      </c>
      <c r="Z130" s="98">
        <v>0</v>
      </c>
      <c r="AA130" s="98">
        <v>0</v>
      </c>
      <c r="AB130" s="98">
        <v>352</v>
      </c>
      <c r="AC130" s="98">
        <v>0</v>
      </c>
      <c r="AD130" s="98">
        <v>0</v>
      </c>
      <c r="AE130" s="98">
        <v>0</v>
      </c>
    </row>
    <row r="131" spans="3:31">
      <c r="C131" s="95">
        <v>3264</v>
      </c>
      <c r="D131" s="102" t="s">
        <v>6198</v>
      </c>
      <c r="E131" s="97">
        <v>494</v>
      </c>
      <c r="F131" s="98">
        <v>0</v>
      </c>
      <c r="G131" s="99">
        <v>0</v>
      </c>
      <c r="H131" s="98">
        <v>0</v>
      </c>
      <c r="I131" s="99">
        <v>210</v>
      </c>
      <c r="J131" s="98">
        <v>49</v>
      </c>
      <c r="K131" s="98">
        <v>0</v>
      </c>
      <c r="L131" s="98">
        <v>0</v>
      </c>
      <c r="M131" s="98">
        <v>0</v>
      </c>
      <c r="N131" s="98">
        <v>0</v>
      </c>
      <c r="O131" s="98">
        <v>0</v>
      </c>
      <c r="P131" s="98">
        <v>0</v>
      </c>
      <c r="Q131" s="98">
        <v>5</v>
      </c>
      <c r="R131" s="98">
        <v>0</v>
      </c>
      <c r="S131" s="98">
        <v>6</v>
      </c>
      <c r="T131" s="98">
        <v>0</v>
      </c>
      <c r="U131" s="98">
        <v>0</v>
      </c>
      <c r="V131" s="98">
        <v>2</v>
      </c>
      <c r="W131" s="98">
        <v>0</v>
      </c>
      <c r="X131" s="98">
        <v>0</v>
      </c>
      <c r="Y131" s="98">
        <v>0</v>
      </c>
      <c r="Z131" s="98">
        <v>0</v>
      </c>
      <c r="AA131" s="98">
        <v>0</v>
      </c>
      <c r="AB131" s="98">
        <v>222</v>
      </c>
      <c r="AC131" s="98">
        <v>0</v>
      </c>
      <c r="AD131" s="98">
        <v>0</v>
      </c>
      <c r="AE131" s="98">
        <v>0</v>
      </c>
    </row>
    <row r="132" spans="3:31">
      <c r="C132" s="95">
        <v>3268</v>
      </c>
      <c r="D132" s="102" t="s">
        <v>6198</v>
      </c>
      <c r="E132" s="97">
        <v>503</v>
      </c>
      <c r="F132" s="98">
        <v>0</v>
      </c>
      <c r="G132" s="99">
        <v>0</v>
      </c>
      <c r="H132" s="98">
        <v>0</v>
      </c>
      <c r="I132" s="99">
        <v>97</v>
      </c>
      <c r="J132" s="98">
        <v>0</v>
      </c>
      <c r="K132" s="98">
        <v>0</v>
      </c>
      <c r="L132" s="98">
        <v>0</v>
      </c>
      <c r="M132" s="98">
        <v>0</v>
      </c>
      <c r="N132" s="98">
        <v>0</v>
      </c>
      <c r="O132" s="98">
        <v>0</v>
      </c>
      <c r="P132" s="98">
        <v>8</v>
      </c>
      <c r="Q132" s="98">
        <v>45</v>
      </c>
      <c r="R132" s="98">
        <v>0</v>
      </c>
      <c r="S132" s="98">
        <v>5</v>
      </c>
      <c r="T132" s="98">
        <v>0</v>
      </c>
      <c r="U132" s="98">
        <v>2</v>
      </c>
      <c r="V132" s="98">
        <v>0</v>
      </c>
      <c r="W132" s="98">
        <v>0</v>
      </c>
      <c r="X132" s="98">
        <v>0</v>
      </c>
      <c r="Y132" s="98">
        <v>0</v>
      </c>
      <c r="Z132" s="98">
        <v>0</v>
      </c>
      <c r="AA132" s="98">
        <v>0</v>
      </c>
      <c r="AB132" s="98">
        <v>346</v>
      </c>
      <c r="AC132" s="98">
        <v>0</v>
      </c>
      <c r="AD132" s="98">
        <v>0</v>
      </c>
      <c r="AE132" s="98">
        <v>0</v>
      </c>
    </row>
    <row r="133" spans="3:31">
      <c r="C133" s="95">
        <v>3271</v>
      </c>
      <c r="D133" s="102" t="s">
        <v>6198</v>
      </c>
      <c r="E133" s="97">
        <v>89</v>
      </c>
      <c r="F133" s="98">
        <v>0</v>
      </c>
      <c r="G133" s="99">
        <v>0</v>
      </c>
      <c r="H133" s="98">
        <v>0</v>
      </c>
      <c r="I133" s="99">
        <v>4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8">
        <v>0</v>
      </c>
      <c r="P133" s="98">
        <v>13</v>
      </c>
      <c r="Q133" s="98">
        <v>28</v>
      </c>
      <c r="R133" s="98">
        <v>0</v>
      </c>
      <c r="S133" s="98">
        <v>0</v>
      </c>
      <c r="T133" s="98">
        <v>0</v>
      </c>
      <c r="U133" s="98">
        <v>0</v>
      </c>
      <c r="V133" s="98">
        <v>0</v>
      </c>
      <c r="W133" s="98">
        <v>6</v>
      </c>
      <c r="X133" s="98">
        <v>0</v>
      </c>
      <c r="Y133" s="98">
        <v>0</v>
      </c>
      <c r="Z133" s="98">
        <v>0</v>
      </c>
      <c r="AA133" s="98">
        <v>0</v>
      </c>
      <c r="AB133" s="98">
        <v>38</v>
      </c>
      <c r="AC133" s="98">
        <v>0</v>
      </c>
      <c r="AD133" s="98">
        <v>0</v>
      </c>
      <c r="AE133" s="98">
        <v>0</v>
      </c>
    </row>
    <row r="134" spans="3:31">
      <c r="C134" s="95">
        <v>3278</v>
      </c>
      <c r="D134" s="102" t="s">
        <v>6198</v>
      </c>
      <c r="E134" s="97">
        <v>359</v>
      </c>
      <c r="F134" s="98">
        <v>1</v>
      </c>
      <c r="G134" s="99">
        <v>68</v>
      </c>
      <c r="H134" s="98">
        <v>18</v>
      </c>
      <c r="I134" s="99">
        <v>9</v>
      </c>
      <c r="J134" s="98">
        <v>21</v>
      </c>
      <c r="K134" s="98">
        <v>0</v>
      </c>
      <c r="L134" s="98">
        <v>0</v>
      </c>
      <c r="M134" s="98">
        <v>0</v>
      </c>
      <c r="N134" s="98">
        <v>0</v>
      </c>
      <c r="O134" s="98">
        <v>0</v>
      </c>
      <c r="P134" s="98">
        <v>89</v>
      </c>
      <c r="Q134" s="98">
        <v>108</v>
      </c>
      <c r="R134" s="98">
        <v>2</v>
      </c>
      <c r="S134" s="98">
        <v>43</v>
      </c>
      <c r="T134" s="98">
        <v>0</v>
      </c>
      <c r="U134" s="98">
        <v>0</v>
      </c>
      <c r="V134" s="98">
        <v>0</v>
      </c>
      <c r="W134" s="98">
        <v>0</v>
      </c>
      <c r="X134" s="98">
        <v>0</v>
      </c>
      <c r="Y134" s="98">
        <v>0</v>
      </c>
      <c r="Z134" s="98">
        <v>0</v>
      </c>
      <c r="AA134" s="98">
        <v>0</v>
      </c>
      <c r="AB134" s="98">
        <v>0</v>
      </c>
      <c r="AC134" s="98">
        <v>0</v>
      </c>
      <c r="AD134" s="98">
        <v>0</v>
      </c>
      <c r="AE134" s="98">
        <v>0</v>
      </c>
    </row>
    <row r="135" spans="3:31">
      <c r="C135" s="95">
        <v>3274</v>
      </c>
      <c r="D135" s="102" t="s">
        <v>6198</v>
      </c>
      <c r="E135" s="97">
        <v>241</v>
      </c>
      <c r="F135" s="98">
        <v>0</v>
      </c>
      <c r="G135" s="99">
        <v>15</v>
      </c>
      <c r="H135" s="98">
        <v>13</v>
      </c>
      <c r="I135" s="99">
        <v>38</v>
      </c>
      <c r="J135" s="98">
        <v>15</v>
      </c>
      <c r="K135" s="98">
        <v>0</v>
      </c>
      <c r="L135" s="98">
        <v>0</v>
      </c>
      <c r="M135" s="98">
        <v>0</v>
      </c>
      <c r="N135" s="98">
        <v>0</v>
      </c>
      <c r="O135" s="98">
        <v>0</v>
      </c>
      <c r="P135" s="98">
        <v>22</v>
      </c>
      <c r="Q135" s="98">
        <v>89</v>
      </c>
      <c r="R135" s="98">
        <v>3</v>
      </c>
      <c r="S135" s="98">
        <v>16</v>
      </c>
      <c r="T135" s="98">
        <v>0</v>
      </c>
      <c r="U135" s="98">
        <v>0</v>
      </c>
      <c r="V135" s="98">
        <v>1</v>
      </c>
      <c r="W135" s="98">
        <v>0</v>
      </c>
      <c r="X135" s="98">
        <v>0</v>
      </c>
      <c r="Y135" s="98">
        <v>0</v>
      </c>
      <c r="Z135" s="98">
        <v>0</v>
      </c>
      <c r="AA135" s="98">
        <v>0</v>
      </c>
      <c r="AB135" s="98">
        <v>29</v>
      </c>
      <c r="AC135" s="98">
        <v>0</v>
      </c>
      <c r="AD135" s="98">
        <v>0</v>
      </c>
      <c r="AE135" s="98">
        <v>0</v>
      </c>
    </row>
    <row r="136" spans="3:31">
      <c r="C136" s="95">
        <v>3277</v>
      </c>
      <c r="D136" s="102" t="s">
        <v>6198</v>
      </c>
      <c r="E136" s="97">
        <v>283</v>
      </c>
      <c r="F136" s="98">
        <v>0</v>
      </c>
      <c r="G136" s="99">
        <v>5</v>
      </c>
      <c r="H136" s="98">
        <v>43</v>
      </c>
      <c r="I136" s="99">
        <v>32</v>
      </c>
      <c r="J136" s="98">
        <v>0</v>
      </c>
      <c r="K136" s="98">
        <v>0</v>
      </c>
      <c r="L136" s="98">
        <v>0</v>
      </c>
      <c r="M136" s="98">
        <v>0</v>
      </c>
      <c r="N136" s="98">
        <v>0</v>
      </c>
      <c r="O136" s="98">
        <v>1</v>
      </c>
      <c r="P136" s="98">
        <v>35</v>
      </c>
      <c r="Q136" s="98">
        <v>140</v>
      </c>
      <c r="R136" s="98">
        <v>4</v>
      </c>
      <c r="S136" s="98">
        <v>11</v>
      </c>
      <c r="T136" s="98">
        <v>0</v>
      </c>
      <c r="U136" s="98">
        <v>0</v>
      </c>
      <c r="V136" s="98">
        <v>0</v>
      </c>
      <c r="W136" s="98">
        <v>0</v>
      </c>
      <c r="X136" s="98">
        <v>0</v>
      </c>
      <c r="Y136" s="98">
        <v>0</v>
      </c>
      <c r="Z136" s="98">
        <v>0</v>
      </c>
      <c r="AA136" s="98">
        <v>0</v>
      </c>
      <c r="AB136" s="98">
        <v>12</v>
      </c>
      <c r="AC136" s="98">
        <v>0</v>
      </c>
      <c r="AD136" s="98">
        <v>0</v>
      </c>
      <c r="AE136" s="98">
        <v>0</v>
      </c>
    </row>
    <row r="137" spans="3:31">
      <c r="C137" s="95">
        <v>3266</v>
      </c>
      <c r="D137" s="102" t="s">
        <v>6198</v>
      </c>
      <c r="E137" s="97">
        <v>117</v>
      </c>
      <c r="F137" s="98">
        <v>0</v>
      </c>
      <c r="G137" s="99">
        <v>2</v>
      </c>
      <c r="H137" s="98">
        <v>0</v>
      </c>
      <c r="I137" s="99">
        <v>3</v>
      </c>
      <c r="J137" s="98">
        <v>0</v>
      </c>
      <c r="K137" s="98">
        <v>0</v>
      </c>
      <c r="L137" s="98">
        <v>0</v>
      </c>
      <c r="M137" s="98">
        <v>0</v>
      </c>
      <c r="N137" s="98">
        <v>0</v>
      </c>
      <c r="O137" s="98">
        <v>1</v>
      </c>
      <c r="P137" s="98">
        <v>49</v>
      </c>
      <c r="Q137" s="98">
        <v>57</v>
      </c>
      <c r="R137" s="98">
        <v>0</v>
      </c>
      <c r="S137" s="98">
        <v>0</v>
      </c>
      <c r="T137" s="98">
        <v>0</v>
      </c>
      <c r="U137" s="98">
        <v>0</v>
      </c>
      <c r="V137" s="98">
        <v>5</v>
      </c>
      <c r="W137" s="98">
        <v>0</v>
      </c>
      <c r="X137" s="98">
        <v>0</v>
      </c>
      <c r="Y137" s="98">
        <v>0</v>
      </c>
      <c r="Z137" s="98">
        <v>0</v>
      </c>
      <c r="AA137" s="98">
        <v>0</v>
      </c>
      <c r="AB137" s="98">
        <v>0</v>
      </c>
      <c r="AC137" s="98">
        <v>0</v>
      </c>
      <c r="AD137" s="98">
        <v>0</v>
      </c>
      <c r="AE137" s="98">
        <v>0</v>
      </c>
    </row>
    <row r="138" spans="3:31">
      <c r="C138" s="95">
        <v>3272</v>
      </c>
      <c r="D138" s="102" t="s">
        <v>6198</v>
      </c>
      <c r="E138" s="97">
        <v>132</v>
      </c>
      <c r="F138" s="98">
        <v>0</v>
      </c>
      <c r="G138" s="99">
        <v>0</v>
      </c>
      <c r="H138" s="98">
        <v>29</v>
      </c>
      <c r="I138" s="99">
        <v>24</v>
      </c>
      <c r="J138" s="98">
        <v>0</v>
      </c>
      <c r="K138" s="98">
        <v>0</v>
      </c>
      <c r="L138" s="98">
        <v>0</v>
      </c>
      <c r="M138" s="98">
        <v>0</v>
      </c>
      <c r="N138" s="98">
        <v>0</v>
      </c>
      <c r="O138" s="98">
        <v>0</v>
      </c>
      <c r="P138" s="98">
        <v>22</v>
      </c>
      <c r="Q138" s="98">
        <v>51</v>
      </c>
      <c r="R138" s="98">
        <v>0</v>
      </c>
      <c r="S138" s="98">
        <v>5</v>
      </c>
      <c r="T138" s="98">
        <v>0</v>
      </c>
      <c r="U138" s="98">
        <v>1</v>
      </c>
      <c r="V138" s="98">
        <v>0</v>
      </c>
      <c r="W138" s="98">
        <v>0</v>
      </c>
      <c r="X138" s="98">
        <v>0</v>
      </c>
      <c r="Y138" s="98">
        <v>0</v>
      </c>
      <c r="Z138" s="98">
        <v>0</v>
      </c>
      <c r="AA138" s="98">
        <v>0</v>
      </c>
      <c r="AB138" s="98">
        <v>0</v>
      </c>
      <c r="AC138" s="98">
        <v>0</v>
      </c>
      <c r="AD138" s="98">
        <v>0</v>
      </c>
      <c r="AE138" s="98">
        <v>0</v>
      </c>
    </row>
    <row r="139" spans="3:31">
      <c r="C139" s="95">
        <v>3270</v>
      </c>
      <c r="D139" s="102" t="s">
        <v>6198</v>
      </c>
      <c r="E139" s="97">
        <v>76</v>
      </c>
      <c r="F139" s="98">
        <v>0</v>
      </c>
      <c r="G139" s="99">
        <v>0</v>
      </c>
      <c r="H139" s="98">
        <v>0</v>
      </c>
      <c r="I139" s="99">
        <v>10</v>
      </c>
      <c r="J139" s="98">
        <v>0</v>
      </c>
      <c r="K139" s="98">
        <v>0</v>
      </c>
      <c r="L139" s="98">
        <v>0</v>
      </c>
      <c r="M139" s="98">
        <v>0</v>
      </c>
      <c r="N139" s="98">
        <v>0</v>
      </c>
      <c r="O139" s="98">
        <v>0</v>
      </c>
      <c r="P139" s="98">
        <v>12</v>
      </c>
      <c r="Q139" s="98">
        <v>46</v>
      </c>
      <c r="R139" s="98">
        <v>0</v>
      </c>
      <c r="S139" s="98">
        <v>5</v>
      </c>
      <c r="T139" s="98">
        <v>0</v>
      </c>
      <c r="U139" s="98">
        <v>1</v>
      </c>
      <c r="V139" s="98">
        <v>0</v>
      </c>
      <c r="W139" s="98">
        <v>0</v>
      </c>
      <c r="X139" s="98">
        <v>0</v>
      </c>
      <c r="Y139" s="98">
        <v>0</v>
      </c>
      <c r="Z139" s="98">
        <v>0</v>
      </c>
      <c r="AA139" s="98">
        <v>0</v>
      </c>
      <c r="AB139" s="98">
        <v>2</v>
      </c>
      <c r="AC139" s="98">
        <v>0</v>
      </c>
      <c r="AD139" s="98">
        <v>0</v>
      </c>
      <c r="AE139" s="98">
        <v>0</v>
      </c>
    </row>
    <row r="140" spans="3:31">
      <c r="C140" s="95">
        <v>3273</v>
      </c>
      <c r="D140" s="102" t="s">
        <v>6198</v>
      </c>
      <c r="E140" s="97">
        <v>28</v>
      </c>
      <c r="F140" s="98">
        <v>0</v>
      </c>
      <c r="G140" s="99">
        <v>1</v>
      </c>
      <c r="H140" s="98">
        <v>7</v>
      </c>
      <c r="I140" s="99">
        <v>5</v>
      </c>
      <c r="J140" s="98">
        <v>0</v>
      </c>
      <c r="K140" s="98">
        <v>0</v>
      </c>
      <c r="L140" s="98">
        <v>0</v>
      </c>
      <c r="M140" s="98">
        <v>0</v>
      </c>
      <c r="N140" s="98">
        <v>0</v>
      </c>
      <c r="O140" s="98">
        <v>0</v>
      </c>
      <c r="P140" s="98">
        <v>1</v>
      </c>
      <c r="Q140" s="98">
        <v>8</v>
      </c>
      <c r="R140" s="98">
        <v>1</v>
      </c>
      <c r="S140" s="98">
        <v>4</v>
      </c>
      <c r="T140" s="98">
        <v>0</v>
      </c>
      <c r="U140" s="98">
        <v>1</v>
      </c>
      <c r="V140" s="98">
        <v>0</v>
      </c>
      <c r="W140" s="98">
        <v>0</v>
      </c>
      <c r="X140" s="98">
        <v>0</v>
      </c>
      <c r="Y140" s="98">
        <v>0</v>
      </c>
      <c r="Z140" s="98">
        <v>0</v>
      </c>
      <c r="AA140" s="98">
        <v>0</v>
      </c>
      <c r="AB140" s="98">
        <v>0</v>
      </c>
      <c r="AC140" s="98">
        <v>0</v>
      </c>
      <c r="AD140" s="98">
        <v>0</v>
      </c>
      <c r="AE140" s="98">
        <v>0</v>
      </c>
    </row>
    <row r="141" spans="3:31">
      <c r="C141" s="95">
        <v>3311</v>
      </c>
      <c r="D141" s="102" t="s">
        <v>6198</v>
      </c>
      <c r="E141" s="97">
        <v>583</v>
      </c>
      <c r="F141" s="98">
        <v>1</v>
      </c>
      <c r="G141" s="99">
        <v>19</v>
      </c>
      <c r="H141" s="98">
        <v>51</v>
      </c>
      <c r="I141" s="99">
        <v>129</v>
      </c>
      <c r="J141" s="98">
        <v>0</v>
      </c>
      <c r="K141" s="98">
        <v>0</v>
      </c>
      <c r="L141" s="98">
        <v>0</v>
      </c>
      <c r="M141" s="98">
        <v>0</v>
      </c>
      <c r="N141" s="98">
        <v>4</v>
      </c>
      <c r="O141" s="98">
        <v>0</v>
      </c>
      <c r="P141" s="98">
        <v>0</v>
      </c>
      <c r="Q141" s="98">
        <v>7</v>
      </c>
      <c r="R141" s="98">
        <v>0</v>
      </c>
      <c r="S141" s="98">
        <v>9</v>
      </c>
      <c r="T141" s="98">
        <v>0</v>
      </c>
      <c r="U141" s="98">
        <v>0</v>
      </c>
      <c r="V141" s="98">
        <v>0</v>
      </c>
      <c r="W141" s="98">
        <v>27</v>
      </c>
      <c r="X141" s="98">
        <v>0</v>
      </c>
      <c r="Y141" s="98">
        <v>4</v>
      </c>
      <c r="Z141" s="98">
        <v>2</v>
      </c>
      <c r="AA141" s="98">
        <v>2</v>
      </c>
      <c r="AB141" s="98">
        <v>312</v>
      </c>
      <c r="AC141" s="98">
        <v>15</v>
      </c>
      <c r="AD141" s="98">
        <v>1</v>
      </c>
      <c r="AE141" s="98">
        <v>0</v>
      </c>
    </row>
    <row r="142" spans="3:31">
      <c r="C142" s="95">
        <v>3368</v>
      </c>
      <c r="D142" s="102" t="s">
        <v>6198</v>
      </c>
      <c r="E142" s="97">
        <v>99</v>
      </c>
      <c r="F142" s="98">
        <v>4</v>
      </c>
      <c r="G142" s="99">
        <v>15</v>
      </c>
      <c r="H142" s="98">
        <v>11</v>
      </c>
      <c r="I142" s="99">
        <v>16</v>
      </c>
      <c r="J142" s="98">
        <v>1</v>
      </c>
      <c r="K142" s="98">
        <v>0</v>
      </c>
      <c r="L142" s="98">
        <v>0</v>
      </c>
      <c r="M142" s="98">
        <v>0</v>
      </c>
      <c r="N142" s="98">
        <v>1</v>
      </c>
      <c r="O142" s="98">
        <v>0</v>
      </c>
      <c r="P142" s="98">
        <v>10</v>
      </c>
      <c r="Q142" s="98">
        <v>13</v>
      </c>
      <c r="R142" s="98">
        <v>0</v>
      </c>
      <c r="S142" s="98">
        <v>1</v>
      </c>
      <c r="T142" s="98">
        <v>0</v>
      </c>
      <c r="U142" s="98">
        <v>0</v>
      </c>
      <c r="V142" s="98">
        <v>0</v>
      </c>
      <c r="W142" s="98">
        <v>1</v>
      </c>
      <c r="X142" s="98">
        <v>0</v>
      </c>
      <c r="Y142" s="98">
        <v>0</v>
      </c>
      <c r="Z142" s="98">
        <v>0</v>
      </c>
      <c r="AA142" s="98">
        <v>13</v>
      </c>
      <c r="AB142" s="98">
        <v>13</v>
      </c>
      <c r="AC142" s="98">
        <v>0</v>
      </c>
      <c r="AD142" s="98">
        <v>0</v>
      </c>
      <c r="AE142" s="98">
        <v>0</v>
      </c>
    </row>
    <row r="143" spans="3:31">
      <c r="C143" s="95">
        <v>3372</v>
      </c>
      <c r="D143" s="102" t="s">
        <v>6198</v>
      </c>
      <c r="E143" s="97">
        <v>734</v>
      </c>
      <c r="F143" s="98">
        <v>2</v>
      </c>
      <c r="G143" s="99">
        <v>28</v>
      </c>
      <c r="H143" s="98">
        <v>150</v>
      </c>
      <c r="I143" s="99">
        <v>116</v>
      </c>
      <c r="J143" s="98">
        <v>2</v>
      </c>
      <c r="K143" s="98">
        <v>0</v>
      </c>
      <c r="L143" s="98">
        <v>0</v>
      </c>
      <c r="M143" s="98">
        <v>0</v>
      </c>
      <c r="N143" s="98">
        <v>10</v>
      </c>
      <c r="O143" s="98">
        <v>8</v>
      </c>
      <c r="P143" s="98">
        <v>11</v>
      </c>
      <c r="Q143" s="98">
        <v>103</v>
      </c>
      <c r="R143" s="98">
        <v>7</v>
      </c>
      <c r="S143" s="98">
        <v>13</v>
      </c>
      <c r="T143" s="98">
        <v>0</v>
      </c>
      <c r="U143" s="98">
        <v>0</v>
      </c>
      <c r="V143" s="98">
        <v>0</v>
      </c>
      <c r="W143" s="98">
        <v>78</v>
      </c>
      <c r="X143" s="98">
        <v>4</v>
      </c>
      <c r="Y143" s="98">
        <v>2</v>
      </c>
      <c r="Z143" s="98">
        <v>7</v>
      </c>
      <c r="AA143" s="98">
        <v>3</v>
      </c>
      <c r="AB143" s="98">
        <v>167</v>
      </c>
      <c r="AC143" s="98">
        <v>22</v>
      </c>
      <c r="AD143" s="98">
        <v>1</v>
      </c>
      <c r="AE143" s="98">
        <v>0</v>
      </c>
    </row>
    <row r="144" spans="3:31">
      <c r="C144" s="95">
        <v>3373</v>
      </c>
      <c r="D144" s="102" t="s">
        <v>6198</v>
      </c>
      <c r="E144" s="97">
        <v>236</v>
      </c>
      <c r="F144" s="98">
        <v>0</v>
      </c>
      <c r="G144" s="99">
        <v>10</v>
      </c>
      <c r="H144" s="98">
        <v>20</v>
      </c>
      <c r="I144" s="99">
        <v>53</v>
      </c>
      <c r="J144" s="98">
        <v>0</v>
      </c>
      <c r="K144" s="98">
        <v>0</v>
      </c>
      <c r="L144" s="98">
        <v>0</v>
      </c>
      <c r="M144" s="98">
        <v>0</v>
      </c>
      <c r="N144" s="98">
        <v>2</v>
      </c>
      <c r="O144" s="98">
        <v>0</v>
      </c>
      <c r="P144" s="98">
        <v>0</v>
      </c>
      <c r="Q144" s="98">
        <v>3</v>
      </c>
      <c r="R144" s="98">
        <v>0</v>
      </c>
      <c r="S144" s="98">
        <v>4</v>
      </c>
      <c r="T144" s="98">
        <v>0</v>
      </c>
      <c r="U144" s="98">
        <v>0</v>
      </c>
      <c r="V144" s="98">
        <v>0</v>
      </c>
      <c r="W144" s="98">
        <v>9</v>
      </c>
      <c r="X144" s="98">
        <v>0</v>
      </c>
      <c r="Y144" s="98">
        <v>2</v>
      </c>
      <c r="Z144" s="98">
        <v>1</v>
      </c>
      <c r="AA144" s="98">
        <v>1</v>
      </c>
      <c r="AB144" s="98">
        <v>124</v>
      </c>
      <c r="AC144" s="98">
        <v>7</v>
      </c>
      <c r="AD144" s="98">
        <v>0</v>
      </c>
      <c r="AE144" s="98">
        <v>0</v>
      </c>
    </row>
    <row r="145" spans="3:31">
      <c r="C145" s="95">
        <v>3374</v>
      </c>
      <c r="D145" s="102" t="s">
        <v>6198</v>
      </c>
      <c r="E145" s="97">
        <v>734</v>
      </c>
      <c r="F145" s="98">
        <v>2</v>
      </c>
      <c r="G145" s="99">
        <v>28</v>
      </c>
      <c r="H145" s="98">
        <v>150</v>
      </c>
      <c r="I145" s="99">
        <v>116</v>
      </c>
      <c r="J145" s="98">
        <v>2</v>
      </c>
      <c r="K145" s="98">
        <v>0</v>
      </c>
      <c r="L145" s="98">
        <v>0</v>
      </c>
      <c r="M145" s="98">
        <v>0</v>
      </c>
      <c r="N145" s="98">
        <v>10</v>
      </c>
      <c r="O145" s="98">
        <v>8</v>
      </c>
      <c r="P145" s="98">
        <v>11</v>
      </c>
      <c r="Q145" s="98">
        <v>103</v>
      </c>
      <c r="R145" s="98">
        <v>7</v>
      </c>
      <c r="S145" s="98">
        <v>13</v>
      </c>
      <c r="T145" s="98">
        <v>0</v>
      </c>
      <c r="U145" s="98">
        <v>0</v>
      </c>
      <c r="V145" s="98">
        <v>0</v>
      </c>
      <c r="W145" s="98">
        <v>78</v>
      </c>
      <c r="X145" s="98">
        <v>4</v>
      </c>
      <c r="Y145" s="98">
        <v>2</v>
      </c>
      <c r="Z145" s="98">
        <v>7</v>
      </c>
      <c r="AA145" s="98">
        <v>3</v>
      </c>
      <c r="AB145" s="98">
        <v>167</v>
      </c>
      <c r="AC145" s="98">
        <v>22</v>
      </c>
      <c r="AD145" s="98">
        <v>1</v>
      </c>
      <c r="AE145" s="98">
        <v>0</v>
      </c>
    </row>
    <row r="146" spans="3:31">
      <c r="C146" s="95">
        <v>3375</v>
      </c>
      <c r="D146" s="102" t="s">
        <v>6198</v>
      </c>
      <c r="E146" s="97">
        <v>236</v>
      </c>
      <c r="F146" s="98">
        <v>0</v>
      </c>
      <c r="G146" s="99">
        <v>10</v>
      </c>
      <c r="H146" s="98">
        <v>20</v>
      </c>
      <c r="I146" s="99">
        <v>53</v>
      </c>
      <c r="J146" s="98">
        <v>0</v>
      </c>
      <c r="K146" s="98">
        <v>0</v>
      </c>
      <c r="L146" s="98">
        <v>0</v>
      </c>
      <c r="M146" s="98">
        <v>0</v>
      </c>
      <c r="N146" s="98">
        <v>2</v>
      </c>
      <c r="O146" s="98">
        <v>0</v>
      </c>
      <c r="P146" s="98">
        <v>0</v>
      </c>
      <c r="Q146" s="98">
        <v>3</v>
      </c>
      <c r="R146" s="98">
        <v>0</v>
      </c>
      <c r="S146" s="98">
        <v>4</v>
      </c>
      <c r="T146" s="98">
        <v>0</v>
      </c>
      <c r="U146" s="98">
        <v>0</v>
      </c>
      <c r="V146" s="98">
        <v>0</v>
      </c>
      <c r="W146" s="98">
        <v>9</v>
      </c>
      <c r="X146" s="98">
        <v>0</v>
      </c>
      <c r="Y146" s="98">
        <v>2</v>
      </c>
      <c r="Z146" s="98">
        <v>1</v>
      </c>
      <c r="AA146" s="98">
        <v>1</v>
      </c>
      <c r="AB146" s="98">
        <v>124</v>
      </c>
      <c r="AC146" s="98">
        <v>7</v>
      </c>
      <c r="AD146" s="98">
        <v>0</v>
      </c>
      <c r="AE146" s="98">
        <v>0</v>
      </c>
    </row>
    <row r="147" spans="3:31">
      <c r="C147" s="95">
        <v>3383</v>
      </c>
      <c r="D147" s="102" t="s">
        <v>6198</v>
      </c>
      <c r="E147" s="97">
        <v>95</v>
      </c>
      <c r="F147" s="98">
        <v>0</v>
      </c>
      <c r="G147" s="99">
        <v>14</v>
      </c>
      <c r="H147" s="98">
        <v>0</v>
      </c>
      <c r="I147" s="99">
        <v>7</v>
      </c>
      <c r="J147" s="98">
        <v>0</v>
      </c>
      <c r="K147" s="98">
        <v>0</v>
      </c>
      <c r="L147" s="98">
        <v>0</v>
      </c>
      <c r="M147" s="98">
        <v>0</v>
      </c>
      <c r="N147" s="98">
        <v>3</v>
      </c>
      <c r="O147" s="98">
        <v>0</v>
      </c>
      <c r="P147" s="98">
        <v>5</v>
      </c>
      <c r="Q147" s="98">
        <v>31</v>
      </c>
      <c r="R147" s="98">
        <v>0</v>
      </c>
      <c r="S147" s="98">
        <v>6</v>
      </c>
      <c r="T147" s="98">
        <v>0</v>
      </c>
      <c r="U147" s="98">
        <v>0</v>
      </c>
      <c r="V147" s="98">
        <v>0</v>
      </c>
      <c r="W147" s="98">
        <v>18</v>
      </c>
      <c r="X147" s="98">
        <v>0</v>
      </c>
      <c r="Y147" s="98">
        <v>2</v>
      </c>
      <c r="Z147" s="98">
        <v>2</v>
      </c>
      <c r="AA147" s="98">
        <v>2</v>
      </c>
      <c r="AB147" s="98">
        <v>3</v>
      </c>
      <c r="AC147" s="98">
        <v>0</v>
      </c>
      <c r="AD147" s="98">
        <v>1</v>
      </c>
      <c r="AE147" s="98">
        <v>1</v>
      </c>
    </row>
    <row r="148" spans="3:31">
      <c r="C148" s="95">
        <v>3408</v>
      </c>
      <c r="D148" s="102" t="s">
        <v>6198</v>
      </c>
      <c r="E148" s="97">
        <v>1107</v>
      </c>
      <c r="F148" s="98">
        <v>19</v>
      </c>
      <c r="G148" s="99">
        <v>41</v>
      </c>
      <c r="H148" s="98">
        <v>126</v>
      </c>
      <c r="I148" s="99">
        <v>61</v>
      </c>
      <c r="J148" s="98">
        <v>5</v>
      </c>
      <c r="K148" s="98">
        <v>0</v>
      </c>
      <c r="L148" s="98">
        <v>0</v>
      </c>
      <c r="M148" s="98">
        <v>0</v>
      </c>
      <c r="N148" s="98">
        <v>15</v>
      </c>
      <c r="O148" s="98">
        <v>15</v>
      </c>
      <c r="P148" s="98">
        <v>190</v>
      </c>
      <c r="Q148" s="98">
        <v>366</v>
      </c>
      <c r="R148" s="98">
        <v>10</v>
      </c>
      <c r="S148" s="98">
        <v>54</v>
      </c>
      <c r="T148" s="98">
        <v>0</v>
      </c>
      <c r="U148" s="98">
        <v>6</v>
      </c>
      <c r="V148" s="98">
        <v>0</v>
      </c>
      <c r="W148" s="98">
        <v>30</v>
      </c>
      <c r="X148" s="98">
        <v>5</v>
      </c>
      <c r="Y148" s="98">
        <v>0</v>
      </c>
      <c r="Z148" s="98">
        <v>16</v>
      </c>
      <c r="AA148" s="98">
        <v>77</v>
      </c>
      <c r="AB148" s="98">
        <v>63</v>
      </c>
      <c r="AC148" s="98">
        <v>1</v>
      </c>
      <c r="AD148" s="98">
        <v>4</v>
      </c>
      <c r="AE148" s="98">
        <v>3</v>
      </c>
    </row>
    <row r="149" spans="3:31">
      <c r="C149" s="95">
        <v>3411</v>
      </c>
      <c r="D149" s="102" t="s">
        <v>6198</v>
      </c>
      <c r="E149" s="97">
        <v>2542</v>
      </c>
      <c r="F149" s="98">
        <v>8</v>
      </c>
      <c r="G149" s="99">
        <v>20</v>
      </c>
      <c r="H149" s="98">
        <v>163</v>
      </c>
      <c r="I149" s="99">
        <v>508</v>
      </c>
      <c r="J149" s="98">
        <v>0</v>
      </c>
      <c r="K149" s="98">
        <v>0</v>
      </c>
      <c r="L149" s="98">
        <v>0</v>
      </c>
      <c r="M149" s="98">
        <v>0</v>
      </c>
      <c r="N149" s="98">
        <v>13</v>
      </c>
      <c r="O149" s="98">
        <v>0</v>
      </c>
      <c r="P149" s="98">
        <v>0</v>
      </c>
      <c r="Q149" s="98">
        <v>281</v>
      </c>
      <c r="R149" s="98">
        <v>7</v>
      </c>
      <c r="S149" s="98">
        <v>17</v>
      </c>
      <c r="T149" s="98">
        <v>0</v>
      </c>
      <c r="U149" s="98">
        <v>2</v>
      </c>
      <c r="V149" s="98">
        <v>41</v>
      </c>
      <c r="W149" s="98">
        <v>248</v>
      </c>
      <c r="X149" s="98">
        <v>99</v>
      </c>
      <c r="Y149" s="98">
        <v>22</v>
      </c>
      <c r="Z149" s="98">
        <v>9</v>
      </c>
      <c r="AA149" s="98">
        <v>28</v>
      </c>
      <c r="AB149" s="98">
        <v>1068</v>
      </c>
      <c r="AC149" s="98">
        <v>0</v>
      </c>
      <c r="AD149" s="98">
        <v>8</v>
      </c>
      <c r="AE149" s="98">
        <v>0</v>
      </c>
    </row>
    <row r="150" spans="3:31">
      <c r="C150" s="95">
        <v>3412</v>
      </c>
      <c r="D150" s="102" t="s">
        <v>6198</v>
      </c>
      <c r="E150" s="97">
        <v>2988</v>
      </c>
      <c r="F150" s="98">
        <v>10</v>
      </c>
      <c r="G150" s="99">
        <v>20</v>
      </c>
      <c r="H150" s="98">
        <v>208</v>
      </c>
      <c r="I150" s="99">
        <v>635</v>
      </c>
      <c r="J150" s="98">
        <v>0</v>
      </c>
      <c r="K150" s="98">
        <v>0</v>
      </c>
      <c r="L150" s="98">
        <v>0</v>
      </c>
      <c r="M150" s="98">
        <v>0</v>
      </c>
      <c r="N150" s="98">
        <v>14</v>
      </c>
      <c r="O150" s="98">
        <v>0</v>
      </c>
      <c r="P150" s="98">
        <v>0</v>
      </c>
      <c r="Q150" s="98">
        <v>265</v>
      </c>
      <c r="R150" s="98">
        <v>9</v>
      </c>
      <c r="S150" s="98">
        <v>17</v>
      </c>
      <c r="T150" s="98">
        <v>0</v>
      </c>
      <c r="U150" s="98">
        <v>2</v>
      </c>
      <c r="V150" s="98">
        <v>41</v>
      </c>
      <c r="W150" s="98">
        <v>248</v>
      </c>
      <c r="X150" s="98">
        <v>99</v>
      </c>
      <c r="Y150" s="98">
        <v>22</v>
      </c>
      <c r="Z150" s="98">
        <v>7</v>
      </c>
      <c r="AA150" s="98">
        <v>28</v>
      </c>
      <c r="AB150" s="98">
        <v>1355</v>
      </c>
      <c r="AC150" s="98">
        <v>0</v>
      </c>
      <c r="AD150" s="98">
        <v>8</v>
      </c>
      <c r="AE150" s="98">
        <v>0</v>
      </c>
    </row>
    <row r="151" spans="3:31">
      <c r="C151" s="95">
        <v>3413</v>
      </c>
      <c r="D151" s="102" t="s">
        <v>6198</v>
      </c>
      <c r="E151" s="97">
        <v>2908</v>
      </c>
      <c r="F151" s="98">
        <v>8</v>
      </c>
      <c r="G151" s="99">
        <v>28</v>
      </c>
      <c r="H151" s="98">
        <v>181</v>
      </c>
      <c r="I151" s="99">
        <v>547</v>
      </c>
      <c r="J151" s="98">
        <v>0</v>
      </c>
      <c r="K151" s="98">
        <v>0</v>
      </c>
      <c r="L151" s="98">
        <v>0</v>
      </c>
      <c r="M151" s="98">
        <v>0</v>
      </c>
      <c r="N151" s="98">
        <v>15</v>
      </c>
      <c r="O151" s="98">
        <v>0</v>
      </c>
      <c r="P151" s="98">
        <v>0</v>
      </c>
      <c r="Q151" s="98">
        <v>358</v>
      </c>
      <c r="R151" s="98">
        <v>7</v>
      </c>
      <c r="S151" s="98">
        <v>22</v>
      </c>
      <c r="T151" s="98">
        <v>0</v>
      </c>
      <c r="U151" s="98">
        <v>2</v>
      </c>
      <c r="V151" s="98">
        <v>56</v>
      </c>
      <c r="W151" s="98">
        <v>320</v>
      </c>
      <c r="X151" s="98">
        <v>137</v>
      </c>
      <c r="Y151" s="98">
        <v>30</v>
      </c>
      <c r="Z151" s="98">
        <v>8</v>
      </c>
      <c r="AA151" s="98">
        <v>38</v>
      </c>
      <c r="AB151" s="98">
        <v>1144</v>
      </c>
      <c r="AC151" s="98">
        <v>0</v>
      </c>
      <c r="AD151" s="98">
        <v>7</v>
      </c>
      <c r="AE151" s="98">
        <v>0</v>
      </c>
    </row>
    <row r="152" spans="3:31">
      <c r="C152" s="95">
        <v>3414</v>
      </c>
      <c r="D152" s="102" t="s">
        <v>6198</v>
      </c>
      <c r="E152" s="97">
        <v>500</v>
      </c>
      <c r="F152" s="98">
        <v>0</v>
      </c>
      <c r="G152" s="99">
        <v>5</v>
      </c>
      <c r="H152" s="98">
        <v>44</v>
      </c>
      <c r="I152" s="99">
        <v>63</v>
      </c>
      <c r="J152" s="98">
        <v>0</v>
      </c>
      <c r="K152" s="98">
        <v>0</v>
      </c>
      <c r="L152" s="98">
        <v>0</v>
      </c>
      <c r="M152" s="98">
        <v>0</v>
      </c>
      <c r="N152" s="98">
        <v>2</v>
      </c>
      <c r="O152" s="98">
        <v>0</v>
      </c>
      <c r="P152" s="98">
        <v>10</v>
      </c>
      <c r="Q152" s="98">
        <v>125</v>
      </c>
      <c r="R152" s="98">
        <v>7</v>
      </c>
      <c r="S152" s="98">
        <v>0</v>
      </c>
      <c r="T152" s="98">
        <v>0</v>
      </c>
      <c r="U152" s="98">
        <v>0</v>
      </c>
      <c r="V152" s="98">
        <v>11</v>
      </c>
      <c r="W152" s="98">
        <v>5</v>
      </c>
      <c r="X152" s="98">
        <v>11</v>
      </c>
      <c r="Y152" s="98">
        <v>10</v>
      </c>
      <c r="Z152" s="98">
        <v>9</v>
      </c>
      <c r="AA152" s="98">
        <v>0</v>
      </c>
      <c r="AB152" s="98">
        <v>193</v>
      </c>
      <c r="AC152" s="98">
        <v>0</v>
      </c>
      <c r="AD152" s="98">
        <v>2</v>
      </c>
      <c r="AE152" s="98">
        <v>3</v>
      </c>
    </row>
    <row r="153" spans="3:31">
      <c r="C153" s="95">
        <v>3415</v>
      </c>
      <c r="D153" s="102" t="s">
        <v>6198</v>
      </c>
      <c r="E153" s="97">
        <v>528</v>
      </c>
      <c r="F153" s="98">
        <v>0</v>
      </c>
      <c r="G153" s="99">
        <v>5</v>
      </c>
      <c r="H153" s="98">
        <v>54</v>
      </c>
      <c r="I153" s="99">
        <v>70</v>
      </c>
      <c r="J153" s="98">
        <v>0</v>
      </c>
      <c r="K153" s="98">
        <v>0</v>
      </c>
      <c r="L153" s="98">
        <v>0</v>
      </c>
      <c r="M153" s="98">
        <v>0</v>
      </c>
      <c r="N153" s="98">
        <v>2</v>
      </c>
      <c r="O153" s="98">
        <v>0</v>
      </c>
      <c r="P153" s="98">
        <v>10</v>
      </c>
      <c r="Q153" s="98">
        <v>135</v>
      </c>
      <c r="R153" s="98">
        <v>7</v>
      </c>
      <c r="S153" s="98">
        <v>0</v>
      </c>
      <c r="T153" s="98">
        <v>0</v>
      </c>
      <c r="U153" s="98">
        <v>0</v>
      </c>
      <c r="V153" s="98">
        <v>11</v>
      </c>
      <c r="W153" s="98">
        <v>5</v>
      </c>
      <c r="X153" s="98">
        <v>11</v>
      </c>
      <c r="Y153" s="98">
        <v>10</v>
      </c>
      <c r="Z153" s="98">
        <v>10</v>
      </c>
      <c r="AA153" s="98">
        <v>0</v>
      </c>
      <c r="AB153" s="98">
        <v>193</v>
      </c>
      <c r="AC153" s="98">
        <v>0</v>
      </c>
      <c r="AD153" s="98">
        <v>2</v>
      </c>
      <c r="AE153" s="98">
        <v>3</v>
      </c>
    </row>
    <row r="154" spans="3:31">
      <c r="C154" s="95">
        <v>3416</v>
      </c>
      <c r="D154" s="102" t="s">
        <v>6198</v>
      </c>
      <c r="E154" s="97">
        <v>662</v>
      </c>
      <c r="F154" s="98">
        <v>0</v>
      </c>
      <c r="G154" s="99">
        <v>7</v>
      </c>
      <c r="H154" s="98">
        <v>51</v>
      </c>
      <c r="I154" s="99">
        <v>81</v>
      </c>
      <c r="J154" s="98">
        <v>0</v>
      </c>
      <c r="K154" s="98">
        <v>0</v>
      </c>
      <c r="L154" s="98">
        <v>0</v>
      </c>
      <c r="M154" s="98">
        <v>0</v>
      </c>
      <c r="N154" s="98">
        <v>2</v>
      </c>
      <c r="O154" s="98">
        <v>0</v>
      </c>
      <c r="P154" s="98">
        <v>14</v>
      </c>
      <c r="Q154" s="98">
        <v>164</v>
      </c>
      <c r="R154" s="98">
        <v>9</v>
      </c>
      <c r="S154" s="98">
        <v>0</v>
      </c>
      <c r="T154" s="98">
        <v>0</v>
      </c>
      <c r="U154" s="98">
        <v>0</v>
      </c>
      <c r="V154" s="98">
        <v>15</v>
      </c>
      <c r="W154" s="98">
        <v>7</v>
      </c>
      <c r="X154" s="98">
        <v>15</v>
      </c>
      <c r="Y154" s="98">
        <v>14</v>
      </c>
      <c r="Z154" s="98">
        <v>10</v>
      </c>
      <c r="AA154" s="98">
        <v>0</v>
      </c>
      <c r="AB154" s="98">
        <v>266</v>
      </c>
      <c r="AC154" s="98">
        <v>0</v>
      </c>
      <c r="AD154" s="98">
        <v>2</v>
      </c>
      <c r="AE154" s="98">
        <v>5</v>
      </c>
    </row>
    <row r="155" spans="3:31">
      <c r="C155" s="95">
        <v>3444</v>
      </c>
      <c r="D155" s="102" t="s">
        <v>6198</v>
      </c>
      <c r="E155" s="97">
        <v>1013</v>
      </c>
      <c r="F155" s="98">
        <v>0</v>
      </c>
      <c r="G155" s="99">
        <v>17</v>
      </c>
      <c r="H155" s="98">
        <v>130</v>
      </c>
      <c r="I155" s="99">
        <v>250</v>
      </c>
      <c r="J155" s="98">
        <v>0</v>
      </c>
      <c r="K155" s="98">
        <v>0</v>
      </c>
      <c r="L155" s="98">
        <v>0</v>
      </c>
      <c r="M155" s="98">
        <v>0</v>
      </c>
      <c r="N155" s="98">
        <v>23</v>
      </c>
      <c r="O155" s="98">
        <v>0</v>
      </c>
      <c r="P155" s="98">
        <v>0</v>
      </c>
      <c r="Q155" s="98">
        <v>115</v>
      </c>
      <c r="R155" s="98">
        <v>7</v>
      </c>
      <c r="S155" s="98">
        <v>0</v>
      </c>
      <c r="T155" s="98">
        <v>0</v>
      </c>
      <c r="U155" s="98">
        <v>0</v>
      </c>
      <c r="V155" s="98">
        <v>8</v>
      </c>
      <c r="W155" s="98">
        <v>165</v>
      </c>
      <c r="X155" s="98">
        <v>6</v>
      </c>
      <c r="Y155" s="98">
        <v>10</v>
      </c>
      <c r="Z155" s="98">
        <v>10</v>
      </c>
      <c r="AA155" s="98">
        <v>0</v>
      </c>
      <c r="AB155" s="98">
        <v>268</v>
      </c>
      <c r="AC155" s="98">
        <v>0</v>
      </c>
      <c r="AD155" s="98">
        <v>2</v>
      </c>
      <c r="AE155" s="98">
        <v>2</v>
      </c>
    </row>
    <row r="156" spans="3:31">
      <c r="C156" s="95">
        <v>3445</v>
      </c>
      <c r="D156" s="102" t="s">
        <v>6198</v>
      </c>
      <c r="E156" s="97">
        <v>1013</v>
      </c>
      <c r="F156" s="98">
        <v>0</v>
      </c>
      <c r="G156" s="99">
        <v>17</v>
      </c>
      <c r="H156" s="98">
        <v>130</v>
      </c>
      <c r="I156" s="99">
        <v>250</v>
      </c>
      <c r="J156" s="98">
        <v>0</v>
      </c>
      <c r="K156" s="98">
        <v>0</v>
      </c>
      <c r="L156" s="98">
        <v>0</v>
      </c>
      <c r="M156" s="98">
        <v>0</v>
      </c>
      <c r="N156" s="98">
        <v>23</v>
      </c>
      <c r="O156" s="98">
        <v>0</v>
      </c>
      <c r="P156" s="98">
        <v>0</v>
      </c>
      <c r="Q156" s="98">
        <v>115</v>
      </c>
      <c r="R156" s="98">
        <v>7</v>
      </c>
      <c r="S156" s="98">
        <v>0</v>
      </c>
      <c r="T156" s="98">
        <v>0</v>
      </c>
      <c r="U156" s="98">
        <v>0</v>
      </c>
      <c r="V156" s="98">
        <v>8</v>
      </c>
      <c r="W156" s="98">
        <v>165</v>
      </c>
      <c r="X156" s="98">
        <v>6</v>
      </c>
      <c r="Y156" s="98">
        <v>10</v>
      </c>
      <c r="Z156" s="98">
        <v>10</v>
      </c>
      <c r="AA156" s="98">
        <v>0</v>
      </c>
      <c r="AB156" s="98">
        <v>268</v>
      </c>
      <c r="AC156" s="98">
        <v>0</v>
      </c>
      <c r="AD156" s="98">
        <v>2</v>
      </c>
      <c r="AE156" s="98">
        <v>2</v>
      </c>
    </row>
    <row r="157" spans="3:31">
      <c r="C157" s="95">
        <v>3446</v>
      </c>
      <c r="D157" s="102" t="s">
        <v>6198</v>
      </c>
      <c r="E157" s="97">
        <v>1387</v>
      </c>
      <c r="F157" s="98">
        <v>0</v>
      </c>
      <c r="G157" s="99">
        <v>23</v>
      </c>
      <c r="H157" s="98">
        <v>179</v>
      </c>
      <c r="I157" s="99">
        <v>345</v>
      </c>
      <c r="J157" s="98">
        <v>0</v>
      </c>
      <c r="K157" s="98">
        <v>0</v>
      </c>
      <c r="L157" s="98">
        <v>0</v>
      </c>
      <c r="M157" s="98">
        <v>0</v>
      </c>
      <c r="N157" s="98">
        <v>32</v>
      </c>
      <c r="O157" s="98">
        <v>0</v>
      </c>
      <c r="P157" s="98">
        <v>0</v>
      </c>
      <c r="Q157" s="98">
        <v>153</v>
      </c>
      <c r="R157" s="98">
        <v>9</v>
      </c>
      <c r="S157" s="98">
        <v>0</v>
      </c>
      <c r="T157" s="98">
        <v>0</v>
      </c>
      <c r="U157" s="98">
        <v>0</v>
      </c>
      <c r="V157" s="98">
        <v>12</v>
      </c>
      <c r="W157" s="98">
        <v>227</v>
      </c>
      <c r="X157" s="98">
        <v>8</v>
      </c>
      <c r="Y157" s="98">
        <v>14</v>
      </c>
      <c r="Z157" s="98">
        <v>12</v>
      </c>
      <c r="AA157" s="98">
        <v>0</v>
      </c>
      <c r="AB157" s="98">
        <v>369</v>
      </c>
      <c r="AC157" s="98">
        <v>0</v>
      </c>
      <c r="AD157" s="98">
        <v>2</v>
      </c>
      <c r="AE157" s="98">
        <v>2</v>
      </c>
    </row>
    <row r="158" spans="3:31">
      <c r="C158" s="95">
        <v>3448</v>
      </c>
      <c r="D158" s="102" t="s">
        <v>6198</v>
      </c>
      <c r="E158" s="97">
        <v>755</v>
      </c>
      <c r="F158" s="98">
        <v>0</v>
      </c>
      <c r="G158" s="99">
        <v>30</v>
      </c>
      <c r="H158" s="98">
        <v>38</v>
      </c>
      <c r="I158" s="99">
        <v>68</v>
      </c>
      <c r="J158" s="98">
        <v>0</v>
      </c>
      <c r="K158" s="98">
        <v>0</v>
      </c>
      <c r="L158" s="98">
        <v>0</v>
      </c>
      <c r="M158" s="98">
        <v>0</v>
      </c>
      <c r="N158" s="98">
        <v>6</v>
      </c>
      <c r="O158" s="98">
        <v>0</v>
      </c>
      <c r="P158" s="98">
        <v>12</v>
      </c>
      <c r="Q158" s="98">
        <v>128</v>
      </c>
      <c r="R158" s="98">
        <v>22</v>
      </c>
      <c r="S158" s="98">
        <v>0</v>
      </c>
      <c r="T158" s="98">
        <v>0</v>
      </c>
      <c r="U158" s="98">
        <v>0</v>
      </c>
      <c r="V158" s="98">
        <v>3</v>
      </c>
      <c r="W158" s="98">
        <v>190</v>
      </c>
      <c r="X158" s="98">
        <v>6</v>
      </c>
      <c r="Y158" s="98">
        <v>30</v>
      </c>
      <c r="Z158" s="98">
        <v>12</v>
      </c>
      <c r="AA158" s="98">
        <v>0</v>
      </c>
      <c r="AB158" s="98">
        <v>132</v>
      </c>
      <c r="AC158" s="98">
        <v>75</v>
      </c>
      <c r="AD158" s="98">
        <v>1</v>
      </c>
      <c r="AE158" s="98">
        <v>2</v>
      </c>
    </row>
    <row r="159" spans="3:31">
      <c r="C159" s="95">
        <v>3449</v>
      </c>
      <c r="D159" s="102" t="s">
        <v>6198</v>
      </c>
      <c r="E159" s="97">
        <v>754</v>
      </c>
      <c r="F159" s="98">
        <v>0</v>
      </c>
      <c r="G159" s="99">
        <v>30</v>
      </c>
      <c r="H159" s="98">
        <v>38</v>
      </c>
      <c r="I159" s="99">
        <v>68</v>
      </c>
      <c r="J159" s="98">
        <v>0</v>
      </c>
      <c r="K159" s="98">
        <v>0</v>
      </c>
      <c r="L159" s="98">
        <v>0</v>
      </c>
      <c r="M159" s="98">
        <v>0</v>
      </c>
      <c r="N159" s="98">
        <v>6</v>
      </c>
      <c r="O159" s="98">
        <v>0</v>
      </c>
      <c r="P159" s="98">
        <v>12</v>
      </c>
      <c r="Q159" s="98">
        <v>127</v>
      </c>
      <c r="R159" s="98">
        <v>22</v>
      </c>
      <c r="S159" s="98">
        <v>0</v>
      </c>
      <c r="T159" s="98">
        <v>0</v>
      </c>
      <c r="U159" s="98">
        <v>0</v>
      </c>
      <c r="V159" s="98">
        <v>3</v>
      </c>
      <c r="W159" s="98">
        <v>190</v>
      </c>
      <c r="X159" s="98">
        <v>6</v>
      </c>
      <c r="Y159" s="98">
        <v>30</v>
      </c>
      <c r="Z159" s="98">
        <v>12</v>
      </c>
      <c r="AA159" s="98">
        <v>0</v>
      </c>
      <c r="AB159" s="98">
        <v>132</v>
      </c>
      <c r="AC159" s="98">
        <v>75</v>
      </c>
      <c r="AD159" s="98">
        <v>1</v>
      </c>
      <c r="AE159" s="98">
        <v>2</v>
      </c>
    </row>
    <row r="160" spans="3:31">
      <c r="C160" s="95">
        <v>3450</v>
      </c>
      <c r="D160" s="102" t="s">
        <v>6198</v>
      </c>
      <c r="E160" s="97">
        <v>1040</v>
      </c>
      <c r="F160" s="98">
        <v>0</v>
      </c>
      <c r="G160" s="99">
        <v>42</v>
      </c>
      <c r="H160" s="98">
        <v>52</v>
      </c>
      <c r="I160" s="99">
        <v>94</v>
      </c>
      <c r="J160" s="98">
        <v>0</v>
      </c>
      <c r="K160" s="98">
        <v>0</v>
      </c>
      <c r="L160" s="98">
        <v>0</v>
      </c>
      <c r="M160" s="98">
        <v>0</v>
      </c>
      <c r="N160" s="98">
        <v>9</v>
      </c>
      <c r="O160" s="98">
        <v>0</v>
      </c>
      <c r="P160" s="98">
        <v>17</v>
      </c>
      <c r="Q160" s="98">
        <v>176</v>
      </c>
      <c r="R160" s="98">
        <v>30</v>
      </c>
      <c r="S160" s="98">
        <v>0</v>
      </c>
      <c r="T160" s="98">
        <v>0</v>
      </c>
      <c r="U160" s="98">
        <v>0</v>
      </c>
      <c r="V160" s="98">
        <v>3</v>
      </c>
      <c r="W160" s="98">
        <v>262</v>
      </c>
      <c r="X160" s="98">
        <v>8</v>
      </c>
      <c r="Y160" s="98">
        <v>41</v>
      </c>
      <c r="Z160" s="98">
        <v>17</v>
      </c>
      <c r="AA160" s="98">
        <v>0</v>
      </c>
      <c r="AB160" s="98">
        <v>182</v>
      </c>
      <c r="AC160" s="98">
        <v>103</v>
      </c>
      <c r="AD160" s="98">
        <v>1</v>
      </c>
      <c r="AE160" s="98">
        <v>3</v>
      </c>
    </row>
    <row r="161" spans="3:31">
      <c r="C161" s="95">
        <v>3456</v>
      </c>
      <c r="D161" s="102" t="s">
        <v>6198</v>
      </c>
      <c r="E161" s="97">
        <v>1134</v>
      </c>
      <c r="F161" s="98">
        <v>0</v>
      </c>
      <c r="G161" s="99">
        <v>33</v>
      </c>
      <c r="H161" s="98">
        <v>58</v>
      </c>
      <c r="I161" s="99">
        <v>306</v>
      </c>
      <c r="J161" s="98">
        <v>0</v>
      </c>
      <c r="K161" s="98">
        <v>0</v>
      </c>
      <c r="L161" s="98">
        <v>0</v>
      </c>
      <c r="M161" s="98">
        <v>0</v>
      </c>
      <c r="N161" s="98">
        <v>54</v>
      </c>
      <c r="O161" s="98">
        <v>0</v>
      </c>
      <c r="P161" s="98">
        <v>0</v>
      </c>
      <c r="Q161" s="98">
        <v>135</v>
      </c>
      <c r="R161" s="98">
        <v>0</v>
      </c>
      <c r="S161" s="98">
        <v>3</v>
      </c>
      <c r="T161" s="98">
        <v>0</v>
      </c>
      <c r="U161" s="98">
        <v>0</v>
      </c>
      <c r="V161" s="98">
        <v>17</v>
      </c>
      <c r="W161" s="98">
        <v>195</v>
      </c>
      <c r="X161" s="98">
        <v>96</v>
      </c>
      <c r="Y161" s="98">
        <v>60</v>
      </c>
      <c r="Z161" s="98">
        <v>23</v>
      </c>
      <c r="AA161" s="98">
        <v>0</v>
      </c>
      <c r="AB161" s="98">
        <v>154</v>
      </c>
      <c r="AC161" s="98">
        <v>0</v>
      </c>
      <c r="AD161" s="98">
        <v>0</v>
      </c>
      <c r="AE161" s="98">
        <v>0</v>
      </c>
    </row>
    <row r="162" spans="3:31">
      <c r="C162" s="95">
        <v>3457</v>
      </c>
      <c r="D162" s="102" t="s">
        <v>6198</v>
      </c>
      <c r="E162" s="97">
        <v>1134</v>
      </c>
      <c r="F162" s="98">
        <v>0</v>
      </c>
      <c r="G162" s="99">
        <v>33</v>
      </c>
      <c r="H162" s="98">
        <v>58</v>
      </c>
      <c r="I162" s="99">
        <v>306</v>
      </c>
      <c r="J162" s="98">
        <v>0</v>
      </c>
      <c r="K162" s="98">
        <v>0</v>
      </c>
      <c r="L162" s="98">
        <v>0</v>
      </c>
      <c r="M162" s="98">
        <v>0</v>
      </c>
      <c r="N162" s="98">
        <v>54</v>
      </c>
      <c r="O162" s="98">
        <v>0</v>
      </c>
      <c r="P162" s="98">
        <v>0</v>
      </c>
      <c r="Q162" s="98">
        <v>135</v>
      </c>
      <c r="R162" s="98">
        <v>0</v>
      </c>
      <c r="S162" s="98">
        <v>3</v>
      </c>
      <c r="T162" s="98">
        <v>0</v>
      </c>
      <c r="U162" s="98">
        <v>0</v>
      </c>
      <c r="V162" s="98">
        <v>17</v>
      </c>
      <c r="W162" s="98">
        <v>195</v>
      </c>
      <c r="X162" s="98">
        <v>96</v>
      </c>
      <c r="Y162" s="98">
        <v>60</v>
      </c>
      <c r="Z162" s="98">
        <v>23</v>
      </c>
      <c r="AA162" s="98">
        <v>0</v>
      </c>
      <c r="AB162" s="98">
        <v>154</v>
      </c>
      <c r="AC162" s="98">
        <v>0</v>
      </c>
      <c r="AD162" s="98">
        <v>0</v>
      </c>
      <c r="AE162" s="98">
        <v>0</v>
      </c>
    </row>
    <row r="163" spans="3:31">
      <c r="C163" s="95">
        <v>3458</v>
      </c>
      <c r="D163" s="102" t="s">
        <v>6198</v>
      </c>
      <c r="E163" s="97">
        <v>1567</v>
      </c>
      <c r="F163" s="98">
        <v>0</v>
      </c>
      <c r="G163" s="99">
        <v>46</v>
      </c>
      <c r="H163" s="98">
        <v>81</v>
      </c>
      <c r="I163" s="99">
        <v>422</v>
      </c>
      <c r="J163" s="98">
        <v>0</v>
      </c>
      <c r="K163" s="98">
        <v>0</v>
      </c>
      <c r="L163" s="98">
        <v>0</v>
      </c>
      <c r="M163" s="98">
        <v>0</v>
      </c>
      <c r="N163" s="98">
        <v>75</v>
      </c>
      <c r="O163" s="98">
        <v>0</v>
      </c>
      <c r="P163" s="98">
        <v>0</v>
      </c>
      <c r="Q163" s="98">
        <v>186</v>
      </c>
      <c r="R163" s="98">
        <v>0</v>
      </c>
      <c r="S163" s="98">
        <v>4</v>
      </c>
      <c r="T163" s="98">
        <v>0</v>
      </c>
      <c r="U163" s="98">
        <v>0</v>
      </c>
      <c r="V163" s="98">
        <v>23</v>
      </c>
      <c r="W163" s="98">
        <v>269</v>
      </c>
      <c r="X163" s="98">
        <v>133</v>
      </c>
      <c r="Y163" s="98">
        <v>83</v>
      </c>
      <c r="Z163" s="98">
        <v>32</v>
      </c>
      <c r="AA163" s="98">
        <v>0</v>
      </c>
      <c r="AB163" s="98">
        <v>213</v>
      </c>
      <c r="AC163" s="98">
        <v>0</v>
      </c>
      <c r="AD163" s="98">
        <v>0</v>
      </c>
      <c r="AE163" s="98">
        <v>0</v>
      </c>
    </row>
    <row r="164" spans="3:31">
      <c r="C164" s="95">
        <v>3499</v>
      </c>
      <c r="D164" s="102" t="s">
        <v>6198</v>
      </c>
      <c r="E164" s="97">
        <v>1710</v>
      </c>
      <c r="F164" s="98">
        <v>0</v>
      </c>
      <c r="G164" s="99">
        <v>0</v>
      </c>
      <c r="H164" s="98">
        <v>85</v>
      </c>
      <c r="I164" s="99">
        <v>362</v>
      </c>
      <c r="J164" s="98">
        <v>0</v>
      </c>
      <c r="K164" s="98">
        <v>0</v>
      </c>
      <c r="L164" s="98">
        <v>0</v>
      </c>
      <c r="M164" s="98">
        <v>0</v>
      </c>
      <c r="N164" s="98">
        <v>13</v>
      </c>
      <c r="O164" s="98">
        <v>0</v>
      </c>
      <c r="P164" s="98">
        <v>0</v>
      </c>
      <c r="Q164" s="98">
        <v>17</v>
      </c>
      <c r="R164" s="98">
        <v>0</v>
      </c>
      <c r="S164" s="98">
        <v>0</v>
      </c>
      <c r="T164" s="98">
        <v>0</v>
      </c>
      <c r="U164" s="98">
        <v>0</v>
      </c>
      <c r="V164" s="98">
        <v>64</v>
      </c>
      <c r="W164" s="98">
        <v>0</v>
      </c>
      <c r="X164" s="98">
        <v>0</v>
      </c>
      <c r="Y164" s="98">
        <v>0</v>
      </c>
      <c r="Z164" s="98">
        <v>0</v>
      </c>
      <c r="AA164" s="98">
        <v>0</v>
      </c>
      <c r="AB164" s="98">
        <v>1169</v>
      </c>
      <c r="AC164" s="98">
        <v>0</v>
      </c>
      <c r="AD164" s="98">
        <v>0</v>
      </c>
      <c r="AE164" s="98">
        <v>0</v>
      </c>
    </row>
    <row r="165" spans="3:31">
      <c r="C165" s="95">
        <v>3500</v>
      </c>
      <c r="D165" s="102" t="s">
        <v>6198</v>
      </c>
      <c r="E165" s="97">
        <v>1192</v>
      </c>
      <c r="F165" s="98">
        <v>11</v>
      </c>
      <c r="G165" s="99">
        <v>70</v>
      </c>
      <c r="H165" s="98">
        <v>49</v>
      </c>
      <c r="I165" s="99">
        <v>161</v>
      </c>
      <c r="J165" s="98">
        <v>0</v>
      </c>
      <c r="K165" s="98">
        <v>0</v>
      </c>
      <c r="L165" s="98">
        <v>0</v>
      </c>
      <c r="M165" s="98">
        <v>0</v>
      </c>
      <c r="N165" s="98">
        <v>44</v>
      </c>
      <c r="O165" s="98">
        <v>3</v>
      </c>
      <c r="P165" s="98">
        <v>126</v>
      </c>
      <c r="Q165" s="98">
        <v>300</v>
      </c>
      <c r="R165" s="98">
        <v>0</v>
      </c>
      <c r="S165" s="98">
        <v>9</v>
      </c>
      <c r="T165" s="98">
        <v>0</v>
      </c>
      <c r="U165" s="98">
        <v>4</v>
      </c>
      <c r="V165" s="98">
        <v>2</v>
      </c>
      <c r="W165" s="98">
        <v>161</v>
      </c>
      <c r="X165" s="98">
        <v>26</v>
      </c>
      <c r="Y165" s="98">
        <v>25</v>
      </c>
      <c r="Z165" s="98">
        <v>30</v>
      </c>
      <c r="AA165" s="98">
        <v>80</v>
      </c>
      <c r="AB165" s="98">
        <v>0</v>
      </c>
      <c r="AC165" s="98">
        <v>77</v>
      </c>
      <c r="AD165" s="98">
        <v>5</v>
      </c>
      <c r="AE165" s="98">
        <v>9</v>
      </c>
    </row>
    <row r="166" spans="3:31">
      <c r="C166" s="95">
        <v>3501</v>
      </c>
      <c r="D166" s="102" t="s">
        <v>6198</v>
      </c>
      <c r="E166" s="97">
        <v>2098</v>
      </c>
      <c r="F166" s="98">
        <v>0</v>
      </c>
      <c r="G166" s="99">
        <v>0</v>
      </c>
      <c r="H166" s="98">
        <v>81</v>
      </c>
      <c r="I166" s="99">
        <v>303</v>
      </c>
      <c r="J166" s="98">
        <v>0</v>
      </c>
      <c r="K166" s="98">
        <v>0</v>
      </c>
      <c r="L166" s="98">
        <v>0</v>
      </c>
      <c r="M166" s="98">
        <v>0</v>
      </c>
      <c r="N166" s="98">
        <v>7</v>
      </c>
      <c r="O166" s="98">
        <v>0</v>
      </c>
      <c r="P166" s="98">
        <v>0</v>
      </c>
      <c r="Q166" s="98">
        <v>13</v>
      </c>
      <c r="R166" s="98">
        <v>3</v>
      </c>
      <c r="S166" s="98">
        <v>0</v>
      </c>
      <c r="T166" s="98">
        <v>0</v>
      </c>
      <c r="U166" s="98">
        <v>0</v>
      </c>
      <c r="V166" s="98">
        <v>17</v>
      </c>
      <c r="W166" s="98">
        <v>0</v>
      </c>
      <c r="X166" s="98">
        <v>0</v>
      </c>
      <c r="Y166" s="98">
        <v>0</v>
      </c>
      <c r="Z166" s="98">
        <v>0</v>
      </c>
      <c r="AA166" s="98">
        <v>0</v>
      </c>
      <c r="AB166" s="98">
        <v>1674</v>
      </c>
      <c r="AC166" s="98">
        <v>0</v>
      </c>
      <c r="AD166" s="98">
        <v>0</v>
      </c>
      <c r="AE166" s="98">
        <v>0</v>
      </c>
    </row>
    <row r="167" spans="3:31">
      <c r="C167" s="95">
        <v>3502</v>
      </c>
      <c r="D167" s="102" t="s">
        <v>6198</v>
      </c>
      <c r="E167" s="97">
        <v>939</v>
      </c>
      <c r="F167" s="98">
        <v>0</v>
      </c>
      <c r="G167" s="99">
        <v>40</v>
      </c>
      <c r="H167" s="98">
        <v>27</v>
      </c>
      <c r="I167" s="99">
        <v>87</v>
      </c>
      <c r="J167" s="98">
        <v>0</v>
      </c>
      <c r="K167" s="98">
        <v>0</v>
      </c>
      <c r="L167" s="98">
        <v>0</v>
      </c>
      <c r="M167" s="98">
        <v>0</v>
      </c>
      <c r="N167" s="98">
        <v>41</v>
      </c>
      <c r="O167" s="98">
        <v>0</v>
      </c>
      <c r="P167" s="98">
        <v>151</v>
      </c>
      <c r="Q167" s="98">
        <v>348</v>
      </c>
      <c r="R167" s="98">
        <v>7</v>
      </c>
      <c r="S167" s="98">
        <v>10</v>
      </c>
      <c r="T167" s="98">
        <v>0</v>
      </c>
      <c r="U167" s="98">
        <v>3</v>
      </c>
      <c r="V167" s="98">
        <v>2</v>
      </c>
      <c r="W167" s="98">
        <v>102</v>
      </c>
      <c r="X167" s="98">
        <v>0</v>
      </c>
      <c r="Y167" s="98">
        <v>12</v>
      </c>
      <c r="Z167" s="98">
        <v>31</v>
      </c>
      <c r="AA167" s="98">
        <v>0</v>
      </c>
      <c r="AB167" s="98">
        <v>0</v>
      </c>
      <c r="AC167" s="98">
        <v>68</v>
      </c>
      <c r="AD167" s="98">
        <v>7</v>
      </c>
      <c r="AE167" s="98">
        <v>3</v>
      </c>
    </row>
    <row r="168" spans="3:31">
      <c r="C168" s="95">
        <v>3517</v>
      </c>
      <c r="D168" s="102" t="s">
        <v>6198</v>
      </c>
      <c r="E168" s="97">
        <v>2352</v>
      </c>
      <c r="F168" s="98">
        <v>20</v>
      </c>
      <c r="G168" s="99">
        <v>45</v>
      </c>
      <c r="H168" s="98">
        <v>485</v>
      </c>
      <c r="I168" s="99">
        <v>200</v>
      </c>
      <c r="J168" s="98">
        <v>0</v>
      </c>
      <c r="K168" s="98">
        <v>0</v>
      </c>
      <c r="L168" s="98">
        <v>0</v>
      </c>
      <c r="M168" s="98">
        <v>0</v>
      </c>
      <c r="N168" s="98">
        <v>2</v>
      </c>
      <c r="O168" s="98">
        <v>2</v>
      </c>
      <c r="P168" s="98">
        <v>132</v>
      </c>
      <c r="Q168" s="98">
        <v>710</v>
      </c>
      <c r="R168" s="98">
        <v>4</v>
      </c>
      <c r="S168" s="98">
        <v>0</v>
      </c>
      <c r="T168" s="98">
        <v>0</v>
      </c>
      <c r="U168" s="98">
        <v>0</v>
      </c>
      <c r="V168" s="98">
        <v>0</v>
      </c>
      <c r="W168" s="98">
        <v>438</v>
      </c>
      <c r="X168" s="98">
        <v>0</v>
      </c>
      <c r="Y168" s="98">
        <v>8</v>
      </c>
      <c r="Z168" s="98">
        <v>25</v>
      </c>
      <c r="AA168" s="98">
        <v>191</v>
      </c>
      <c r="AB168" s="98">
        <v>25</v>
      </c>
      <c r="AC168" s="98">
        <v>52</v>
      </c>
      <c r="AD168" s="98">
        <v>5</v>
      </c>
      <c r="AE168" s="98">
        <v>8</v>
      </c>
    </row>
    <row r="169" spans="3:31">
      <c r="C169" s="95">
        <v>3518</v>
      </c>
      <c r="D169" s="102" t="s">
        <v>6198</v>
      </c>
      <c r="E169" s="97">
        <v>2352</v>
      </c>
      <c r="F169" s="98">
        <v>20</v>
      </c>
      <c r="G169" s="99">
        <v>45</v>
      </c>
      <c r="H169" s="98">
        <v>485</v>
      </c>
      <c r="I169" s="99">
        <v>200</v>
      </c>
      <c r="J169" s="98">
        <v>0</v>
      </c>
      <c r="K169" s="98">
        <v>0</v>
      </c>
      <c r="L169" s="98">
        <v>0</v>
      </c>
      <c r="M169" s="98">
        <v>0</v>
      </c>
      <c r="N169" s="98">
        <v>2</v>
      </c>
      <c r="O169" s="98">
        <v>2</v>
      </c>
      <c r="P169" s="98">
        <v>132</v>
      </c>
      <c r="Q169" s="98">
        <v>710</v>
      </c>
      <c r="R169" s="98">
        <v>4</v>
      </c>
      <c r="S169" s="98">
        <v>0</v>
      </c>
      <c r="T169" s="98">
        <v>0</v>
      </c>
      <c r="U169" s="98">
        <v>0</v>
      </c>
      <c r="V169" s="98">
        <v>0</v>
      </c>
      <c r="W169" s="98">
        <v>438</v>
      </c>
      <c r="X169" s="98">
        <v>0</v>
      </c>
      <c r="Y169" s="98">
        <v>8</v>
      </c>
      <c r="Z169" s="98">
        <v>25</v>
      </c>
      <c r="AA169" s="98">
        <v>191</v>
      </c>
      <c r="AB169" s="98">
        <v>25</v>
      </c>
      <c r="AC169" s="98">
        <v>52</v>
      </c>
      <c r="AD169" s="98">
        <v>5</v>
      </c>
      <c r="AE169" s="98">
        <v>8</v>
      </c>
    </row>
    <row r="170" spans="3:31">
      <c r="C170" s="95">
        <v>3519</v>
      </c>
      <c r="D170" s="102" t="s">
        <v>6198</v>
      </c>
      <c r="E170" s="97">
        <v>2352</v>
      </c>
      <c r="F170" s="98">
        <v>20</v>
      </c>
      <c r="G170" s="99">
        <v>45</v>
      </c>
      <c r="H170" s="98">
        <v>485</v>
      </c>
      <c r="I170" s="99">
        <v>200</v>
      </c>
      <c r="J170" s="98">
        <v>0</v>
      </c>
      <c r="K170" s="98">
        <v>0</v>
      </c>
      <c r="L170" s="98">
        <v>0</v>
      </c>
      <c r="M170" s="98">
        <v>0</v>
      </c>
      <c r="N170" s="98">
        <v>2</v>
      </c>
      <c r="O170" s="98">
        <v>2</v>
      </c>
      <c r="P170" s="98">
        <v>132</v>
      </c>
      <c r="Q170" s="98">
        <v>710</v>
      </c>
      <c r="R170" s="98">
        <v>4</v>
      </c>
      <c r="S170" s="98">
        <v>0</v>
      </c>
      <c r="T170" s="98">
        <v>0</v>
      </c>
      <c r="U170" s="98">
        <v>0</v>
      </c>
      <c r="V170" s="98">
        <v>0</v>
      </c>
      <c r="W170" s="98">
        <v>438</v>
      </c>
      <c r="X170" s="98">
        <v>0</v>
      </c>
      <c r="Y170" s="98">
        <v>8</v>
      </c>
      <c r="Z170" s="98">
        <v>25</v>
      </c>
      <c r="AA170" s="98">
        <v>191</v>
      </c>
      <c r="AB170" s="98">
        <v>25</v>
      </c>
      <c r="AC170" s="98">
        <v>52</v>
      </c>
      <c r="AD170" s="98">
        <v>5</v>
      </c>
      <c r="AE170" s="98">
        <v>8</v>
      </c>
    </row>
    <row r="171" spans="3:31">
      <c r="C171" s="95">
        <v>3520</v>
      </c>
      <c r="D171" s="102" t="s">
        <v>6198</v>
      </c>
      <c r="E171" s="97">
        <v>2352</v>
      </c>
      <c r="F171" s="98">
        <v>20</v>
      </c>
      <c r="G171" s="99">
        <v>45</v>
      </c>
      <c r="H171" s="98">
        <v>485</v>
      </c>
      <c r="I171" s="99">
        <v>200</v>
      </c>
      <c r="J171" s="98">
        <v>0</v>
      </c>
      <c r="K171" s="98">
        <v>0</v>
      </c>
      <c r="L171" s="98">
        <v>0</v>
      </c>
      <c r="M171" s="98">
        <v>0</v>
      </c>
      <c r="N171" s="98">
        <v>2</v>
      </c>
      <c r="O171" s="98">
        <v>2</v>
      </c>
      <c r="P171" s="98">
        <v>132</v>
      </c>
      <c r="Q171" s="98">
        <v>710</v>
      </c>
      <c r="R171" s="98">
        <v>4</v>
      </c>
      <c r="S171" s="98">
        <v>0</v>
      </c>
      <c r="T171" s="98">
        <v>0</v>
      </c>
      <c r="U171" s="98">
        <v>0</v>
      </c>
      <c r="V171" s="98">
        <v>0</v>
      </c>
      <c r="W171" s="98">
        <v>438</v>
      </c>
      <c r="X171" s="98">
        <v>0</v>
      </c>
      <c r="Y171" s="98">
        <v>8</v>
      </c>
      <c r="Z171" s="98">
        <v>25</v>
      </c>
      <c r="AA171" s="98">
        <v>191</v>
      </c>
      <c r="AB171" s="98">
        <v>25</v>
      </c>
      <c r="AC171" s="98">
        <v>52</v>
      </c>
      <c r="AD171" s="98">
        <v>5</v>
      </c>
      <c r="AE171" s="98">
        <v>8</v>
      </c>
    </row>
    <row r="172" spans="3:31">
      <c r="C172" s="95">
        <v>3521</v>
      </c>
      <c r="D172" s="102" t="s">
        <v>6198</v>
      </c>
      <c r="E172" s="97">
        <v>2352</v>
      </c>
      <c r="F172" s="98">
        <v>20</v>
      </c>
      <c r="G172" s="99">
        <v>45</v>
      </c>
      <c r="H172" s="98">
        <v>485</v>
      </c>
      <c r="I172" s="99">
        <v>200</v>
      </c>
      <c r="J172" s="98">
        <v>0</v>
      </c>
      <c r="K172" s="98">
        <v>0</v>
      </c>
      <c r="L172" s="98">
        <v>0</v>
      </c>
      <c r="M172" s="98">
        <v>0</v>
      </c>
      <c r="N172" s="98">
        <v>2</v>
      </c>
      <c r="O172" s="98">
        <v>2</v>
      </c>
      <c r="P172" s="98">
        <v>132</v>
      </c>
      <c r="Q172" s="98">
        <v>710</v>
      </c>
      <c r="R172" s="98">
        <v>4</v>
      </c>
      <c r="S172" s="98">
        <v>0</v>
      </c>
      <c r="T172" s="98">
        <v>0</v>
      </c>
      <c r="U172" s="98">
        <v>0</v>
      </c>
      <c r="V172" s="98">
        <v>0</v>
      </c>
      <c r="W172" s="98">
        <v>438</v>
      </c>
      <c r="X172" s="98">
        <v>0</v>
      </c>
      <c r="Y172" s="98">
        <v>8</v>
      </c>
      <c r="Z172" s="98">
        <v>25</v>
      </c>
      <c r="AA172" s="98">
        <v>191</v>
      </c>
      <c r="AB172" s="98">
        <v>25</v>
      </c>
      <c r="AC172" s="98">
        <v>52</v>
      </c>
      <c r="AD172" s="98">
        <v>5</v>
      </c>
      <c r="AE172" s="98">
        <v>8</v>
      </c>
    </row>
    <row r="173" spans="3:31">
      <c r="C173" s="95">
        <v>3522</v>
      </c>
      <c r="D173" s="102" t="s">
        <v>6198</v>
      </c>
      <c r="E173" s="97">
        <v>2352</v>
      </c>
      <c r="F173" s="98">
        <v>20</v>
      </c>
      <c r="G173" s="99">
        <v>45</v>
      </c>
      <c r="H173" s="98">
        <v>485</v>
      </c>
      <c r="I173" s="99">
        <v>200</v>
      </c>
      <c r="J173" s="98">
        <v>0</v>
      </c>
      <c r="K173" s="98">
        <v>0</v>
      </c>
      <c r="L173" s="98">
        <v>0</v>
      </c>
      <c r="M173" s="98">
        <v>0</v>
      </c>
      <c r="N173" s="98">
        <v>2</v>
      </c>
      <c r="O173" s="98">
        <v>2</v>
      </c>
      <c r="P173" s="98">
        <v>132</v>
      </c>
      <c r="Q173" s="98">
        <v>710</v>
      </c>
      <c r="R173" s="98">
        <v>4</v>
      </c>
      <c r="S173" s="98">
        <v>0</v>
      </c>
      <c r="T173" s="98">
        <v>0</v>
      </c>
      <c r="U173" s="98">
        <v>0</v>
      </c>
      <c r="V173" s="98">
        <v>0</v>
      </c>
      <c r="W173" s="98">
        <v>438</v>
      </c>
      <c r="X173" s="98">
        <v>0</v>
      </c>
      <c r="Y173" s="98">
        <v>8</v>
      </c>
      <c r="Z173" s="98">
        <v>25</v>
      </c>
      <c r="AA173" s="98">
        <v>191</v>
      </c>
      <c r="AB173" s="98">
        <v>25</v>
      </c>
      <c r="AC173" s="98">
        <v>52</v>
      </c>
      <c r="AD173" s="98">
        <v>5</v>
      </c>
      <c r="AE173" s="98">
        <v>8</v>
      </c>
    </row>
    <row r="174" spans="3:31">
      <c r="C174" s="95">
        <v>3526</v>
      </c>
      <c r="D174" s="102" t="s">
        <v>6198</v>
      </c>
      <c r="E174" s="97">
        <v>1993</v>
      </c>
      <c r="F174" s="98">
        <v>50</v>
      </c>
      <c r="G174" s="99">
        <v>324</v>
      </c>
      <c r="H174" s="98">
        <v>151</v>
      </c>
      <c r="I174" s="99">
        <v>268</v>
      </c>
      <c r="J174" s="98">
        <v>0</v>
      </c>
      <c r="K174" s="98">
        <v>0</v>
      </c>
      <c r="L174" s="98">
        <v>0</v>
      </c>
      <c r="M174" s="98">
        <v>0</v>
      </c>
      <c r="N174" s="98">
        <v>45</v>
      </c>
      <c r="O174" s="98">
        <v>12</v>
      </c>
      <c r="P174" s="98">
        <v>51</v>
      </c>
      <c r="Q174" s="98">
        <v>480</v>
      </c>
      <c r="R174" s="98">
        <v>5</v>
      </c>
      <c r="S174" s="98">
        <v>0</v>
      </c>
      <c r="T174" s="98">
        <v>0</v>
      </c>
      <c r="U174" s="98">
        <v>1</v>
      </c>
      <c r="V174" s="98">
        <v>6</v>
      </c>
      <c r="W174" s="98">
        <v>289</v>
      </c>
      <c r="X174" s="98">
        <v>0</v>
      </c>
      <c r="Y174" s="98">
        <v>5</v>
      </c>
      <c r="Z174" s="98">
        <v>34</v>
      </c>
      <c r="AA174" s="98">
        <v>125</v>
      </c>
      <c r="AB174" s="98">
        <v>31</v>
      </c>
      <c r="AC174" s="98">
        <v>109</v>
      </c>
      <c r="AD174" s="98">
        <v>5</v>
      </c>
      <c r="AE174" s="98">
        <v>2</v>
      </c>
    </row>
    <row r="175" spans="3:31">
      <c r="C175" s="95">
        <v>3527</v>
      </c>
      <c r="D175" s="102" t="s">
        <v>6198</v>
      </c>
      <c r="E175" s="97">
        <v>1993</v>
      </c>
      <c r="F175" s="98">
        <v>50</v>
      </c>
      <c r="G175" s="99">
        <v>324</v>
      </c>
      <c r="H175" s="98">
        <v>151</v>
      </c>
      <c r="I175" s="99">
        <v>268</v>
      </c>
      <c r="J175" s="98">
        <v>0</v>
      </c>
      <c r="K175" s="98">
        <v>0</v>
      </c>
      <c r="L175" s="98">
        <v>0</v>
      </c>
      <c r="M175" s="98">
        <v>0</v>
      </c>
      <c r="N175" s="98">
        <v>45</v>
      </c>
      <c r="O175" s="98">
        <v>12</v>
      </c>
      <c r="P175" s="98">
        <v>51</v>
      </c>
      <c r="Q175" s="98">
        <v>480</v>
      </c>
      <c r="R175" s="98">
        <v>5</v>
      </c>
      <c r="S175" s="98">
        <v>0</v>
      </c>
      <c r="T175" s="98">
        <v>0</v>
      </c>
      <c r="U175" s="98">
        <v>1</v>
      </c>
      <c r="V175" s="98">
        <v>6</v>
      </c>
      <c r="W175" s="98">
        <v>289</v>
      </c>
      <c r="X175" s="98">
        <v>0</v>
      </c>
      <c r="Y175" s="98">
        <v>5</v>
      </c>
      <c r="Z175" s="98">
        <v>34</v>
      </c>
      <c r="AA175" s="98">
        <v>125</v>
      </c>
      <c r="AB175" s="98">
        <v>31</v>
      </c>
      <c r="AC175" s="98">
        <v>109</v>
      </c>
      <c r="AD175" s="98">
        <v>5</v>
      </c>
      <c r="AE175" s="98">
        <v>2</v>
      </c>
    </row>
    <row r="176" spans="3:31">
      <c r="C176" s="95">
        <v>3528</v>
      </c>
      <c r="D176" s="102" t="s">
        <v>6198</v>
      </c>
      <c r="E176" s="97">
        <v>1993</v>
      </c>
      <c r="F176" s="98">
        <v>50</v>
      </c>
      <c r="G176" s="99">
        <v>324</v>
      </c>
      <c r="H176" s="98">
        <v>151</v>
      </c>
      <c r="I176" s="99">
        <v>268</v>
      </c>
      <c r="J176" s="98">
        <v>0</v>
      </c>
      <c r="K176" s="98">
        <v>0</v>
      </c>
      <c r="L176" s="98">
        <v>0</v>
      </c>
      <c r="M176" s="98">
        <v>0</v>
      </c>
      <c r="N176" s="98">
        <v>45</v>
      </c>
      <c r="O176" s="98">
        <v>12</v>
      </c>
      <c r="P176" s="98">
        <v>51</v>
      </c>
      <c r="Q176" s="98">
        <v>480</v>
      </c>
      <c r="R176" s="98">
        <v>5</v>
      </c>
      <c r="S176" s="98">
        <v>0</v>
      </c>
      <c r="T176" s="98">
        <v>0</v>
      </c>
      <c r="U176" s="98">
        <v>1</v>
      </c>
      <c r="V176" s="98">
        <v>6</v>
      </c>
      <c r="W176" s="98">
        <v>289</v>
      </c>
      <c r="X176" s="98">
        <v>0</v>
      </c>
      <c r="Y176" s="98">
        <v>5</v>
      </c>
      <c r="Z176" s="98">
        <v>34</v>
      </c>
      <c r="AA176" s="98">
        <v>125</v>
      </c>
      <c r="AB176" s="98">
        <v>31</v>
      </c>
      <c r="AC176" s="98">
        <v>109</v>
      </c>
      <c r="AD176" s="98">
        <v>5</v>
      </c>
      <c r="AE176" s="98">
        <v>2</v>
      </c>
    </row>
    <row r="177" spans="3:31">
      <c r="C177" s="95">
        <v>3529</v>
      </c>
      <c r="D177" s="102" t="s">
        <v>6198</v>
      </c>
      <c r="E177" s="97">
        <v>1993</v>
      </c>
      <c r="F177" s="98">
        <v>50</v>
      </c>
      <c r="G177" s="99">
        <v>324</v>
      </c>
      <c r="H177" s="98">
        <v>151</v>
      </c>
      <c r="I177" s="99">
        <v>268</v>
      </c>
      <c r="J177" s="98">
        <v>0</v>
      </c>
      <c r="K177" s="98">
        <v>0</v>
      </c>
      <c r="L177" s="98">
        <v>0</v>
      </c>
      <c r="M177" s="98">
        <v>0</v>
      </c>
      <c r="N177" s="98">
        <v>45</v>
      </c>
      <c r="O177" s="98">
        <v>12</v>
      </c>
      <c r="P177" s="98">
        <v>51</v>
      </c>
      <c r="Q177" s="98">
        <v>480</v>
      </c>
      <c r="R177" s="98">
        <v>5</v>
      </c>
      <c r="S177" s="98">
        <v>0</v>
      </c>
      <c r="T177" s="98">
        <v>0</v>
      </c>
      <c r="U177" s="98">
        <v>1</v>
      </c>
      <c r="V177" s="98">
        <v>6</v>
      </c>
      <c r="W177" s="98">
        <v>289</v>
      </c>
      <c r="X177" s="98">
        <v>0</v>
      </c>
      <c r="Y177" s="98">
        <v>5</v>
      </c>
      <c r="Z177" s="98">
        <v>34</v>
      </c>
      <c r="AA177" s="98">
        <v>125</v>
      </c>
      <c r="AB177" s="98">
        <v>31</v>
      </c>
      <c r="AC177" s="98">
        <v>109</v>
      </c>
      <c r="AD177" s="98">
        <v>5</v>
      </c>
      <c r="AE177" s="98">
        <v>2</v>
      </c>
    </row>
    <row r="178" spans="3:31">
      <c r="C178" s="95">
        <v>3530</v>
      </c>
      <c r="D178" s="102" t="s">
        <v>6198</v>
      </c>
      <c r="E178" s="97">
        <v>1993</v>
      </c>
      <c r="F178" s="98">
        <v>50</v>
      </c>
      <c r="G178" s="99">
        <v>324</v>
      </c>
      <c r="H178" s="98">
        <v>151</v>
      </c>
      <c r="I178" s="99">
        <v>268</v>
      </c>
      <c r="J178" s="98">
        <v>0</v>
      </c>
      <c r="K178" s="98">
        <v>0</v>
      </c>
      <c r="L178" s="98">
        <v>0</v>
      </c>
      <c r="M178" s="98">
        <v>0</v>
      </c>
      <c r="N178" s="98">
        <v>45</v>
      </c>
      <c r="O178" s="98">
        <v>12</v>
      </c>
      <c r="P178" s="98">
        <v>51</v>
      </c>
      <c r="Q178" s="98">
        <v>480</v>
      </c>
      <c r="R178" s="98">
        <v>5</v>
      </c>
      <c r="S178" s="98">
        <v>0</v>
      </c>
      <c r="T178" s="98">
        <v>0</v>
      </c>
      <c r="U178" s="98">
        <v>1</v>
      </c>
      <c r="V178" s="98">
        <v>6</v>
      </c>
      <c r="W178" s="98">
        <v>289</v>
      </c>
      <c r="X178" s="98">
        <v>0</v>
      </c>
      <c r="Y178" s="98">
        <v>5</v>
      </c>
      <c r="Z178" s="98">
        <v>34</v>
      </c>
      <c r="AA178" s="98">
        <v>125</v>
      </c>
      <c r="AB178" s="98">
        <v>31</v>
      </c>
      <c r="AC178" s="98">
        <v>109</v>
      </c>
      <c r="AD178" s="98">
        <v>5</v>
      </c>
      <c r="AE178" s="98">
        <v>2</v>
      </c>
    </row>
    <row r="179" spans="3:31">
      <c r="C179" s="95">
        <v>3531</v>
      </c>
      <c r="D179" s="102" t="s">
        <v>6198</v>
      </c>
      <c r="E179" s="97">
        <v>1993</v>
      </c>
      <c r="F179" s="98">
        <v>50</v>
      </c>
      <c r="G179" s="99">
        <v>324</v>
      </c>
      <c r="H179" s="98">
        <v>151</v>
      </c>
      <c r="I179" s="99">
        <v>268</v>
      </c>
      <c r="J179" s="98">
        <v>0</v>
      </c>
      <c r="K179" s="98">
        <v>0</v>
      </c>
      <c r="L179" s="98">
        <v>0</v>
      </c>
      <c r="M179" s="98">
        <v>0</v>
      </c>
      <c r="N179" s="98">
        <v>45</v>
      </c>
      <c r="O179" s="98">
        <v>12</v>
      </c>
      <c r="P179" s="98">
        <v>51</v>
      </c>
      <c r="Q179" s="98">
        <v>480</v>
      </c>
      <c r="R179" s="98">
        <v>5</v>
      </c>
      <c r="S179" s="98">
        <v>0</v>
      </c>
      <c r="T179" s="98">
        <v>0</v>
      </c>
      <c r="U179" s="98">
        <v>1</v>
      </c>
      <c r="V179" s="98">
        <v>6</v>
      </c>
      <c r="W179" s="98">
        <v>289</v>
      </c>
      <c r="X179" s="98">
        <v>0</v>
      </c>
      <c r="Y179" s="98">
        <v>5</v>
      </c>
      <c r="Z179" s="98">
        <v>34</v>
      </c>
      <c r="AA179" s="98">
        <v>125</v>
      </c>
      <c r="AB179" s="98">
        <v>31</v>
      </c>
      <c r="AC179" s="98">
        <v>109</v>
      </c>
      <c r="AD179" s="98">
        <v>5</v>
      </c>
      <c r="AE179" s="98">
        <v>2</v>
      </c>
    </row>
    <row r="180" spans="3:31">
      <c r="C180" s="95">
        <v>3535</v>
      </c>
      <c r="D180" s="102" t="s">
        <v>6198</v>
      </c>
      <c r="E180" s="97">
        <v>498</v>
      </c>
      <c r="F180" s="98">
        <v>1</v>
      </c>
      <c r="G180" s="99">
        <v>13</v>
      </c>
      <c r="H180" s="98">
        <v>20</v>
      </c>
      <c r="I180" s="99">
        <v>4</v>
      </c>
      <c r="J180" s="98">
        <v>0</v>
      </c>
      <c r="K180" s="98">
        <v>0</v>
      </c>
      <c r="L180" s="98">
        <v>0</v>
      </c>
      <c r="M180" s="98">
        <v>0</v>
      </c>
      <c r="N180" s="98">
        <v>1</v>
      </c>
      <c r="O180" s="98">
        <v>0</v>
      </c>
      <c r="P180" s="98">
        <v>108</v>
      </c>
      <c r="Q180" s="98">
        <v>286</v>
      </c>
      <c r="R180" s="98">
        <v>0</v>
      </c>
      <c r="S180" s="98">
        <v>0</v>
      </c>
      <c r="T180" s="98">
        <v>0</v>
      </c>
      <c r="U180" s="98">
        <v>3</v>
      </c>
      <c r="V180" s="98">
        <v>34</v>
      </c>
      <c r="W180" s="98">
        <v>0</v>
      </c>
      <c r="X180" s="98">
        <v>0</v>
      </c>
      <c r="Y180" s="98">
        <v>0</v>
      </c>
      <c r="Z180" s="98">
        <v>18</v>
      </c>
      <c r="AA180" s="98">
        <v>0</v>
      </c>
      <c r="AB180" s="98">
        <v>0</v>
      </c>
      <c r="AC180" s="98">
        <v>3</v>
      </c>
      <c r="AD180" s="98">
        <v>4</v>
      </c>
      <c r="AE180" s="98">
        <v>3</v>
      </c>
    </row>
    <row r="181" spans="3:31">
      <c r="C181" s="95">
        <v>3536</v>
      </c>
      <c r="D181" s="102" t="s">
        <v>6198</v>
      </c>
      <c r="E181" s="97">
        <v>498</v>
      </c>
      <c r="F181" s="98">
        <v>1</v>
      </c>
      <c r="G181" s="99">
        <v>13</v>
      </c>
      <c r="H181" s="98">
        <v>20</v>
      </c>
      <c r="I181" s="99">
        <v>4</v>
      </c>
      <c r="J181" s="98">
        <v>0</v>
      </c>
      <c r="K181" s="98">
        <v>0</v>
      </c>
      <c r="L181" s="98">
        <v>0</v>
      </c>
      <c r="M181" s="98">
        <v>0</v>
      </c>
      <c r="N181" s="98">
        <v>1</v>
      </c>
      <c r="O181" s="98">
        <v>0</v>
      </c>
      <c r="P181" s="98">
        <v>108</v>
      </c>
      <c r="Q181" s="98">
        <v>286</v>
      </c>
      <c r="R181" s="98">
        <v>0</v>
      </c>
      <c r="S181" s="98">
        <v>0</v>
      </c>
      <c r="T181" s="98">
        <v>0</v>
      </c>
      <c r="U181" s="98">
        <v>3</v>
      </c>
      <c r="V181" s="98">
        <v>34</v>
      </c>
      <c r="W181" s="98">
        <v>0</v>
      </c>
      <c r="X181" s="98">
        <v>0</v>
      </c>
      <c r="Y181" s="98">
        <v>0</v>
      </c>
      <c r="Z181" s="98">
        <v>18</v>
      </c>
      <c r="AA181" s="98">
        <v>0</v>
      </c>
      <c r="AB181" s="98">
        <v>0</v>
      </c>
      <c r="AC181" s="98">
        <v>3</v>
      </c>
      <c r="AD181" s="98">
        <v>4</v>
      </c>
      <c r="AE181" s="98">
        <v>3</v>
      </c>
    </row>
    <row r="182" spans="3:31">
      <c r="C182" s="95">
        <v>3537</v>
      </c>
      <c r="D182" s="102" t="s">
        <v>6198</v>
      </c>
      <c r="E182" s="97">
        <v>498</v>
      </c>
      <c r="F182" s="98">
        <v>1</v>
      </c>
      <c r="G182" s="99">
        <v>13</v>
      </c>
      <c r="H182" s="98">
        <v>20</v>
      </c>
      <c r="I182" s="99">
        <v>4</v>
      </c>
      <c r="J182" s="98">
        <v>0</v>
      </c>
      <c r="K182" s="98">
        <v>0</v>
      </c>
      <c r="L182" s="98">
        <v>0</v>
      </c>
      <c r="M182" s="98">
        <v>0</v>
      </c>
      <c r="N182" s="98">
        <v>1</v>
      </c>
      <c r="O182" s="98">
        <v>0</v>
      </c>
      <c r="P182" s="98">
        <v>108</v>
      </c>
      <c r="Q182" s="98">
        <v>286</v>
      </c>
      <c r="R182" s="98">
        <v>0</v>
      </c>
      <c r="S182" s="98">
        <v>0</v>
      </c>
      <c r="T182" s="98">
        <v>0</v>
      </c>
      <c r="U182" s="98">
        <v>3</v>
      </c>
      <c r="V182" s="98">
        <v>34</v>
      </c>
      <c r="W182" s="98">
        <v>0</v>
      </c>
      <c r="X182" s="98">
        <v>0</v>
      </c>
      <c r="Y182" s="98">
        <v>0</v>
      </c>
      <c r="Z182" s="98">
        <v>18</v>
      </c>
      <c r="AA182" s="98">
        <v>0</v>
      </c>
      <c r="AB182" s="98">
        <v>0</v>
      </c>
      <c r="AC182" s="98">
        <v>3</v>
      </c>
      <c r="AD182" s="98">
        <v>4</v>
      </c>
      <c r="AE182" s="98">
        <v>3</v>
      </c>
    </row>
    <row r="183" spans="3:31">
      <c r="C183" s="95">
        <v>3538</v>
      </c>
      <c r="D183" s="102" t="s">
        <v>6198</v>
      </c>
      <c r="E183" s="97">
        <v>498</v>
      </c>
      <c r="F183" s="98">
        <v>1</v>
      </c>
      <c r="G183" s="99">
        <v>13</v>
      </c>
      <c r="H183" s="98">
        <v>20</v>
      </c>
      <c r="I183" s="99">
        <v>4</v>
      </c>
      <c r="J183" s="98">
        <v>0</v>
      </c>
      <c r="K183" s="98">
        <v>0</v>
      </c>
      <c r="L183" s="98">
        <v>0</v>
      </c>
      <c r="M183" s="98">
        <v>0</v>
      </c>
      <c r="N183" s="98">
        <v>1</v>
      </c>
      <c r="O183" s="98">
        <v>0</v>
      </c>
      <c r="P183" s="98">
        <v>108</v>
      </c>
      <c r="Q183" s="98">
        <v>286</v>
      </c>
      <c r="R183" s="98">
        <v>0</v>
      </c>
      <c r="S183" s="98">
        <v>0</v>
      </c>
      <c r="T183" s="98">
        <v>0</v>
      </c>
      <c r="U183" s="98">
        <v>3</v>
      </c>
      <c r="V183" s="98">
        <v>34</v>
      </c>
      <c r="W183" s="98">
        <v>0</v>
      </c>
      <c r="X183" s="98">
        <v>0</v>
      </c>
      <c r="Y183" s="98">
        <v>0</v>
      </c>
      <c r="Z183" s="98">
        <v>18</v>
      </c>
      <c r="AA183" s="98">
        <v>0</v>
      </c>
      <c r="AB183" s="98">
        <v>0</v>
      </c>
      <c r="AC183" s="98">
        <v>3</v>
      </c>
      <c r="AD183" s="98">
        <v>4</v>
      </c>
      <c r="AE183" s="98">
        <v>3</v>
      </c>
    </row>
    <row r="184" spans="3:31">
      <c r="C184" s="95">
        <v>3539</v>
      </c>
      <c r="D184" s="102" t="s">
        <v>6198</v>
      </c>
      <c r="E184" s="97">
        <v>498</v>
      </c>
      <c r="F184" s="98">
        <v>1</v>
      </c>
      <c r="G184" s="99">
        <v>13</v>
      </c>
      <c r="H184" s="98">
        <v>20</v>
      </c>
      <c r="I184" s="99">
        <v>4</v>
      </c>
      <c r="J184" s="98">
        <v>0</v>
      </c>
      <c r="K184" s="98">
        <v>0</v>
      </c>
      <c r="L184" s="98">
        <v>0</v>
      </c>
      <c r="M184" s="98">
        <v>0</v>
      </c>
      <c r="N184" s="98">
        <v>1</v>
      </c>
      <c r="O184" s="98">
        <v>0</v>
      </c>
      <c r="P184" s="98">
        <v>108</v>
      </c>
      <c r="Q184" s="98">
        <v>286</v>
      </c>
      <c r="R184" s="98">
        <v>0</v>
      </c>
      <c r="S184" s="98">
        <v>0</v>
      </c>
      <c r="T184" s="98">
        <v>0</v>
      </c>
      <c r="U184" s="98">
        <v>3</v>
      </c>
      <c r="V184" s="98">
        <v>34</v>
      </c>
      <c r="W184" s="98">
        <v>0</v>
      </c>
      <c r="X184" s="98">
        <v>0</v>
      </c>
      <c r="Y184" s="98">
        <v>0</v>
      </c>
      <c r="Z184" s="98">
        <v>18</v>
      </c>
      <c r="AA184" s="98">
        <v>0</v>
      </c>
      <c r="AB184" s="98">
        <v>0</v>
      </c>
      <c r="AC184" s="98">
        <v>3</v>
      </c>
      <c r="AD184" s="98">
        <v>4</v>
      </c>
      <c r="AE184" s="98">
        <v>3</v>
      </c>
    </row>
    <row r="185" spans="3:31">
      <c r="C185" s="95">
        <v>3540</v>
      </c>
      <c r="D185" s="102" t="s">
        <v>6198</v>
      </c>
      <c r="E185" s="97">
        <v>498</v>
      </c>
      <c r="F185" s="98">
        <v>1</v>
      </c>
      <c r="G185" s="99">
        <v>13</v>
      </c>
      <c r="H185" s="98">
        <v>20</v>
      </c>
      <c r="I185" s="99">
        <v>4</v>
      </c>
      <c r="J185" s="98">
        <v>0</v>
      </c>
      <c r="K185" s="98">
        <v>0</v>
      </c>
      <c r="L185" s="98">
        <v>0</v>
      </c>
      <c r="M185" s="98">
        <v>0</v>
      </c>
      <c r="N185" s="98">
        <v>1</v>
      </c>
      <c r="O185" s="98">
        <v>0</v>
      </c>
      <c r="P185" s="98">
        <v>108</v>
      </c>
      <c r="Q185" s="98">
        <v>286</v>
      </c>
      <c r="R185" s="98">
        <v>0</v>
      </c>
      <c r="S185" s="98">
        <v>0</v>
      </c>
      <c r="T185" s="98">
        <v>0</v>
      </c>
      <c r="U185" s="98">
        <v>3</v>
      </c>
      <c r="V185" s="98">
        <v>34</v>
      </c>
      <c r="W185" s="98">
        <v>0</v>
      </c>
      <c r="X185" s="98">
        <v>0</v>
      </c>
      <c r="Y185" s="98">
        <v>0</v>
      </c>
      <c r="Z185" s="98">
        <v>18</v>
      </c>
      <c r="AA185" s="98">
        <v>0</v>
      </c>
      <c r="AB185" s="98">
        <v>0</v>
      </c>
      <c r="AC185" s="98">
        <v>3</v>
      </c>
      <c r="AD185" s="98">
        <v>4</v>
      </c>
      <c r="AE185" s="98">
        <v>3</v>
      </c>
    </row>
    <row r="186" spans="3:31">
      <c r="C186" s="95">
        <v>3579</v>
      </c>
      <c r="D186" s="102" t="s">
        <v>6198</v>
      </c>
      <c r="E186" s="97">
        <v>206</v>
      </c>
      <c r="F186" s="98">
        <v>0</v>
      </c>
      <c r="G186" s="99">
        <v>3</v>
      </c>
      <c r="H186" s="98">
        <v>24</v>
      </c>
      <c r="I186" s="99">
        <v>50</v>
      </c>
      <c r="J186" s="98">
        <v>24</v>
      </c>
      <c r="K186" s="98">
        <v>0</v>
      </c>
      <c r="L186" s="98">
        <v>0</v>
      </c>
      <c r="M186" s="98">
        <v>0</v>
      </c>
      <c r="N186" s="98">
        <v>1</v>
      </c>
      <c r="O186" s="98">
        <v>0</v>
      </c>
      <c r="P186" s="98">
        <v>0</v>
      </c>
      <c r="Q186" s="98">
        <v>3</v>
      </c>
      <c r="R186" s="98">
        <v>1</v>
      </c>
      <c r="S186" s="98">
        <v>0</v>
      </c>
      <c r="T186" s="98">
        <v>0</v>
      </c>
      <c r="U186" s="98">
        <v>0</v>
      </c>
      <c r="V186" s="98">
        <v>2</v>
      </c>
      <c r="W186" s="98">
        <v>13</v>
      </c>
      <c r="X186" s="98">
        <v>0</v>
      </c>
      <c r="Y186" s="98">
        <v>0</v>
      </c>
      <c r="Z186" s="98">
        <v>0</v>
      </c>
      <c r="AA186" s="98">
        <v>2</v>
      </c>
      <c r="AB186" s="98">
        <v>82</v>
      </c>
      <c r="AC186" s="98">
        <v>1</v>
      </c>
      <c r="AD186" s="98">
        <v>0</v>
      </c>
      <c r="AE186" s="98">
        <v>0</v>
      </c>
    </row>
    <row r="187" spans="3:31">
      <c r="C187" s="95">
        <v>3581</v>
      </c>
      <c r="D187" s="102" t="s">
        <v>6198</v>
      </c>
      <c r="E187" s="97">
        <v>1734</v>
      </c>
      <c r="F187" s="98">
        <v>0</v>
      </c>
      <c r="G187" s="99">
        <v>0</v>
      </c>
      <c r="H187" s="98">
        <v>0</v>
      </c>
      <c r="I187" s="99">
        <v>0</v>
      </c>
      <c r="J187" s="98">
        <v>0</v>
      </c>
      <c r="K187" s="98">
        <v>0</v>
      </c>
      <c r="L187" s="98">
        <v>0</v>
      </c>
      <c r="M187" s="98">
        <v>0</v>
      </c>
      <c r="N187" s="98">
        <v>0</v>
      </c>
      <c r="O187" s="98">
        <v>0</v>
      </c>
      <c r="P187" s="98">
        <v>0</v>
      </c>
      <c r="Q187" s="98">
        <v>0</v>
      </c>
      <c r="R187" s="98">
        <v>0</v>
      </c>
      <c r="S187" s="98">
        <v>21</v>
      </c>
      <c r="T187" s="98">
        <v>0</v>
      </c>
      <c r="U187" s="98">
        <v>0</v>
      </c>
      <c r="V187" s="98">
        <v>0</v>
      </c>
      <c r="W187" s="98">
        <v>513</v>
      </c>
      <c r="X187" s="98">
        <v>1092</v>
      </c>
      <c r="Y187" s="98">
        <v>108</v>
      </c>
      <c r="Z187" s="98">
        <v>0</v>
      </c>
      <c r="AA187" s="98">
        <v>0</v>
      </c>
      <c r="AB187" s="98">
        <v>0</v>
      </c>
      <c r="AC187" s="98">
        <v>0</v>
      </c>
      <c r="AD187" s="98">
        <v>0</v>
      </c>
      <c r="AE187" s="98">
        <v>0</v>
      </c>
    </row>
    <row r="188" spans="3:31">
      <c r="C188" s="95">
        <v>3360</v>
      </c>
      <c r="D188" s="102" t="s">
        <v>6198</v>
      </c>
      <c r="E188" s="97">
        <v>272</v>
      </c>
      <c r="F188" s="98">
        <v>2</v>
      </c>
      <c r="G188" s="99">
        <v>36</v>
      </c>
      <c r="H188" s="98">
        <v>31</v>
      </c>
      <c r="I188" s="99">
        <v>18</v>
      </c>
      <c r="J188" s="98">
        <v>0</v>
      </c>
      <c r="K188" s="98">
        <v>0</v>
      </c>
      <c r="L188" s="98">
        <v>0</v>
      </c>
      <c r="M188" s="98">
        <v>0</v>
      </c>
      <c r="N188" s="98">
        <v>1</v>
      </c>
      <c r="O188" s="98">
        <v>0</v>
      </c>
      <c r="P188" s="98">
        <v>15</v>
      </c>
      <c r="Q188" s="98">
        <v>44</v>
      </c>
      <c r="R188" s="98">
        <v>0</v>
      </c>
      <c r="S188" s="98">
        <v>6</v>
      </c>
      <c r="T188" s="98">
        <v>0</v>
      </c>
      <c r="U188" s="98">
        <v>0</v>
      </c>
      <c r="V188" s="98">
        <v>0</v>
      </c>
      <c r="W188" s="98">
        <v>0</v>
      </c>
      <c r="X188" s="98">
        <v>0</v>
      </c>
      <c r="Y188" s="98">
        <v>0</v>
      </c>
      <c r="Z188" s="98">
        <v>1</v>
      </c>
      <c r="AA188" s="98">
        <v>0</v>
      </c>
      <c r="AB188" s="98">
        <v>115</v>
      </c>
      <c r="AC188" s="98">
        <v>3</v>
      </c>
      <c r="AD188" s="98">
        <v>0</v>
      </c>
      <c r="AE188" s="98">
        <v>0</v>
      </c>
    </row>
    <row r="189" spans="3:31">
      <c r="C189" s="95">
        <v>3361</v>
      </c>
      <c r="D189" s="102" t="s">
        <v>6198</v>
      </c>
      <c r="E189" s="97">
        <v>46</v>
      </c>
      <c r="F189" s="98">
        <v>0</v>
      </c>
      <c r="G189" s="99">
        <v>2</v>
      </c>
      <c r="H189" s="98">
        <v>3</v>
      </c>
      <c r="I189" s="99">
        <v>4</v>
      </c>
      <c r="J189" s="98">
        <v>0</v>
      </c>
      <c r="K189" s="98">
        <v>0</v>
      </c>
      <c r="L189" s="98">
        <v>0</v>
      </c>
      <c r="M189" s="98">
        <v>0</v>
      </c>
      <c r="N189" s="98">
        <v>1</v>
      </c>
      <c r="O189" s="98">
        <v>0</v>
      </c>
      <c r="P189" s="98">
        <v>1</v>
      </c>
      <c r="Q189" s="98">
        <v>25</v>
      </c>
      <c r="R189" s="98">
        <v>0</v>
      </c>
      <c r="S189" s="98">
        <v>0</v>
      </c>
      <c r="T189" s="98">
        <v>0</v>
      </c>
      <c r="U189" s="98">
        <v>0</v>
      </c>
      <c r="V189" s="98">
        <v>0</v>
      </c>
      <c r="W189" s="98">
        <v>2</v>
      </c>
      <c r="X189" s="98">
        <v>0</v>
      </c>
      <c r="Y189" s="98">
        <v>0</v>
      </c>
      <c r="Z189" s="98">
        <v>1</v>
      </c>
      <c r="AA189" s="98">
        <v>0</v>
      </c>
      <c r="AB189" s="98">
        <v>5</v>
      </c>
      <c r="AC189" s="98">
        <v>2</v>
      </c>
      <c r="AD189" s="98">
        <v>0</v>
      </c>
      <c r="AE189" s="98">
        <v>0</v>
      </c>
    </row>
    <row r="190" spans="3:31">
      <c r="C190" s="95">
        <v>3362</v>
      </c>
      <c r="D190" s="102" t="s">
        <v>6198</v>
      </c>
      <c r="E190" s="97">
        <v>274</v>
      </c>
      <c r="F190" s="98">
        <v>10</v>
      </c>
      <c r="G190" s="99">
        <v>21</v>
      </c>
      <c r="H190" s="98">
        <v>39</v>
      </c>
      <c r="I190" s="99">
        <v>33</v>
      </c>
      <c r="J190" s="98">
        <v>0</v>
      </c>
      <c r="K190" s="98">
        <v>0</v>
      </c>
      <c r="L190" s="98">
        <v>0</v>
      </c>
      <c r="M190" s="98">
        <v>0</v>
      </c>
      <c r="N190" s="98">
        <v>2</v>
      </c>
      <c r="O190" s="98">
        <v>2</v>
      </c>
      <c r="P190" s="98">
        <v>2</v>
      </c>
      <c r="Q190" s="98">
        <v>31</v>
      </c>
      <c r="R190" s="98">
        <v>0</v>
      </c>
      <c r="S190" s="98">
        <v>3</v>
      </c>
      <c r="T190" s="98">
        <v>0</v>
      </c>
      <c r="U190" s="98">
        <v>0</v>
      </c>
      <c r="V190" s="98">
        <v>0</v>
      </c>
      <c r="W190" s="98">
        <v>72</v>
      </c>
      <c r="X190" s="98">
        <v>13</v>
      </c>
      <c r="Y190" s="98">
        <v>3</v>
      </c>
      <c r="Z190" s="98">
        <v>1</v>
      </c>
      <c r="AA190" s="98">
        <v>27</v>
      </c>
      <c r="AB190" s="98">
        <v>13</v>
      </c>
      <c r="AC190" s="98">
        <v>2</v>
      </c>
      <c r="AD190" s="98">
        <v>0</v>
      </c>
      <c r="AE190" s="98">
        <v>0</v>
      </c>
    </row>
    <row r="191" spans="3:31">
      <c r="C191" s="95">
        <v>3363</v>
      </c>
      <c r="D191" s="102" t="s">
        <v>6198</v>
      </c>
      <c r="E191" s="97">
        <v>63</v>
      </c>
      <c r="F191" s="98">
        <v>0</v>
      </c>
      <c r="G191" s="99">
        <v>0</v>
      </c>
      <c r="H191" s="98">
        <v>4</v>
      </c>
      <c r="I191" s="99">
        <v>2</v>
      </c>
      <c r="J191" s="98">
        <v>0</v>
      </c>
      <c r="K191" s="98">
        <v>0</v>
      </c>
      <c r="L191" s="98">
        <v>0</v>
      </c>
      <c r="M191" s="98">
        <v>0</v>
      </c>
      <c r="N191" s="98">
        <v>1</v>
      </c>
      <c r="O191" s="98">
        <v>1</v>
      </c>
      <c r="P191" s="98">
        <v>3</v>
      </c>
      <c r="Q191" s="98">
        <v>35</v>
      </c>
      <c r="R191" s="98">
        <v>0</v>
      </c>
      <c r="S191" s="98">
        <v>3</v>
      </c>
      <c r="T191" s="98">
        <v>0</v>
      </c>
      <c r="U191" s="98">
        <v>0</v>
      </c>
      <c r="V191" s="98">
        <v>0</v>
      </c>
      <c r="W191" s="98">
        <v>10</v>
      </c>
      <c r="X191" s="98">
        <v>0</v>
      </c>
      <c r="Y191" s="98">
        <v>1</v>
      </c>
      <c r="Z191" s="98">
        <v>1</v>
      </c>
      <c r="AA191" s="98">
        <v>0</v>
      </c>
      <c r="AB191" s="98">
        <v>0</v>
      </c>
      <c r="AC191" s="98">
        <v>2</v>
      </c>
      <c r="AD191" s="98">
        <v>0</v>
      </c>
      <c r="AE191" s="98">
        <v>0</v>
      </c>
    </row>
    <row r="192" spans="3:31">
      <c r="C192" s="95">
        <v>3364</v>
      </c>
      <c r="D192" s="102" t="s">
        <v>6198</v>
      </c>
      <c r="E192" s="97">
        <v>23</v>
      </c>
      <c r="F192" s="98">
        <v>0</v>
      </c>
      <c r="G192" s="99">
        <v>1</v>
      </c>
      <c r="H192" s="98">
        <v>0</v>
      </c>
      <c r="I192" s="99">
        <v>1</v>
      </c>
      <c r="J192" s="98">
        <v>0</v>
      </c>
      <c r="K192" s="98">
        <v>0</v>
      </c>
      <c r="L192" s="98">
        <v>0</v>
      </c>
      <c r="M192" s="98">
        <v>0</v>
      </c>
      <c r="N192" s="98">
        <v>3</v>
      </c>
      <c r="O192" s="98">
        <v>6</v>
      </c>
      <c r="P192" s="98">
        <v>0</v>
      </c>
      <c r="Q192" s="98">
        <v>7</v>
      </c>
      <c r="R192" s="98">
        <v>3</v>
      </c>
      <c r="S192" s="98">
        <v>0</v>
      </c>
      <c r="T192" s="98">
        <v>0</v>
      </c>
      <c r="U192" s="98">
        <v>0</v>
      </c>
      <c r="V192" s="98">
        <v>0</v>
      </c>
      <c r="W192" s="98">
        <v>1</v>
      </c>
      <c r="X192" s="98">
        <v>0</v>
      </c>
      <c r="Y192" s="98">
        <v>0</v>
      </c>
      <c r="Z192" s="98">
        <v>0</v>
      </c>
      <c r="AA192" s="98">
        <v>1</v>
      </c>
      <c r="AB192" s="98">
        <v>0</v>
      </c>
      <c r="AC192" s="98">
        <v>0</v>
      </c>
      <c r="AD192" s="98">
        <v>0</v>
      </c>
      <c r="AE192" s="98">
        <v>0</v>
      </c>
    </row>
    <row r="193" spans="3:31">
      <c r="C193" s="95">
        <v>3366</v>
      </c>
      <c r="D193" s="102" t="s">
        <v>6198</v>
      </c>
      <c r="E193" s="97">
        <v>11</v>
      </c>
      <c r="F193" s="98">
        <v>0</v>
      </c>
      <c r="G193" s="99">
        <v>4</v>
      </c>
      <c r="H193" s="98">
        <v>1</v>
      </c>
      <c r="I193" s="99">
        <v>2</v>
      </c>
      <c r="J193" s="98">
        <v>0</v>
      </c>
      <c r="K193" s="98">
        <v>0</v>
      </c>
      <c r="L193" s="98">
        <v>0</v>
      </c>
      <c r="M193" s="98">
        <v>0</v>
      </c>
      <c r="N193" s="98">
        <v>1</v>
      </c>
      <c r="O193" s="98">
        <v>0</v>
      </c>
      <c r="P193" s="98">
        <v>0</v>
      </c>
      <c r="Q193" s="98">
        <v>0</v>
      </c>
      <c r="R193" s="98">
        <v>0</v>
      </c>
      <c r="S193" s="98">
        <v>0</v>
      </c>
      <c r="T193" s="98">
        <v>0</v>
      </c>
      <c r="U193" s="98">
        <v>0</v>
      </c>
      <c r="V193" s="98">
        <v>0</v>
      </c>
      <c r="W193" s="98">
        <v>2</v>
      </c>
      <c r="X193" s="98">
        <v>0</v>
      </c>
      <c r="Y193" s="98">
        <v>0</v>
      </c>
      <c r="Z193" s="98">
        <v>0</v>
      </c>
      <c r="AA193" s="98">
        <v>1</v>
      </c>
      <c r="AB193" s="98">
        <v>0</v>
      </c>
      <c r="AC193" s="98">
        <v>0</v>
      </c>
      <c r="AD193" s="98">
        <v>0</v>
      </c>
      <c r="AE193" s="98">
        <v>0</v>
      </c>
    </row>
    <row r="194" spans="3:31">
      <c r="C194" s="95">
        <v>3367</v>
      </c>
      <c r="D194" s="102" t="s">
        <v>6198</v>
      </c>
      <c r="E194" s="97">
        <v>62</v>
      </c>
      <c r="F194" s="98">
        <v>1</v>
      </c>
      <c r="G194" s="99">
        <v>3</v>
      </c>
      <c r="H194" s="98">
        <v>2</v>
      </c>
      <c r="I194" s="99">
        <v>3</v>
      </c>
      <c r="J194" s="98">
        <v>0</v>
      </c>
      <c r="K194" s="98">
        <v>0</v>
      </c>
      <c r="L194" s="98">
        <v>0</v>
      </c>
      <c r="M194" s="98">
        <v>0</v>
      </c>
      <c r="N194" s="98">
        <v>4</v>
      </c>
      <c r="O194" s="98">
        <v>0</v>
      </c>
      <c r="P194" s="98">
        <v>7</v>
      </c>
      <c r="Q194" s="98">
        <v>25</v>
      </c>
      <c r="R194" s="98">
        <v>0</v>
      </c>
      <c r="S194" s="98">
        <v>4</v>
      </c>
      <c r="T194" s="98">
        <v>0</v>
      </c>
      <c r="U194" s="98">
        <v>0</v>
      </c>
      <c r="V194" s="98">
        <v>0</v>
      </c>
      <c r="W194" s="98">
        <v>10</v>
      </c>
      <c r="X194" s="98">
        <v>0</v>
      </c>
      <c r="Y194" s="98">
        <v>0</v>
      </c>
      <c r="Z194" s="98">
        <v>1</v>
      </c>
      <c r="AA194" s="98">
        <v>2</v>
      </c>
      <c r="AB194" s="98">
        <v>0</v>
      </c>
      <c r="AC194" s="98">
        <v>0</v>
      </c>
      <c r="AD194" s="98">
        <v>0</v>
      </c>
      <c r="AE194" s="98">
        <v>0</v>
      </c>
    </row>
    <row r="195" spans="3:31">
      <c r="C195" s="95">
        <v>3553</v>
      </c>
      <c r="D195" s="102" t="s">
        <v>6198</v>
      </c>
      <c r="E195" s="97">
        <v>51</v>
      </c>
      <c r="F195" s="98">
        <v>1</v>
      </c>
      <c r="G195" s="99">
        <v>2</v>
      </c>
      <c r="H195" s="98">
        <v>2</v>
      </c>
      <c r="I195" s="99">
        <v>3</v>
      </c>
      <c r="J195" s="98">
        <v>0</v>
      </c>
      <c r="K195" s="98">
        <v>0</v>
      </c>
      <c r="L195" s="98">
        <v>0</v>
      </c>
      <c r="M195" s="98">
        <v>0</v>
      </c>
      <c r="N195" s="98">
        <v>2</v>
      </c>
      <c r="O195" s="98">
        <v>0</v>
      </c>
      <c r="P195" s="98">
        <v>5</v>
      </c>
      <c r="Q195" s="98">
        <v>20</v>
      </c>
      <c r="R195" s="98">
        <v>0</v>
      </c>
      <c r="S195" s="98">
        <v>1</v>
      </c>
      <c r="T195" s="98">
        <v>0</v>
      </c>
      <c r="U195" s="98">
        <v>0</v>
      </c>
      <c r="V195" s="98">
        <v>0</v>
      </c>
      <c r="W195" s="98">
        <v>9</v>
      </c>
      <c r="X195" s="98">
        <v>1</v>
      </c>
      <c r="Y195" s="98">
        <v>0</v>
      </c>
      <c r="Z195" s="98">
        <v>0</v>
      </c>
      <c r="AA195" s="98">
        <v>5</v>
      </c>
      <c r="AB195" s="98">
        <v>0</v>
      </c>
      <c r="AC195" s="98">
        <v>0</v>
      </c>
      <c r="AD195" s="98">
        <v>0</v>
      </c>
      <c r="AE195" s="98">
        <v>0</v>
      </c>
    </row>
    <row r="196" spans="3:31">
      <c r="C196" s="95">
        <v>3460</v>
      </c>
      <c r="D196" s="102" t="s">
        <v>6198</v>
      </c>
      <c r="E196" s="97">
        <v>723</v>
      </c>
      <c r="F196" s="98">
        <v>9</v>
      </c>
      <c r="G196" s="99">
        <v>8</v>
      </c>
      <c r="H196" s="98">
        <v>87</v>
      </c>
      <c r="I196" s="99">
        <v>24</v>
      </c>
      <c r="J196" s="98">
        <v>0</v>
      </c>
      <c r="K196" s="98">
        <v>0</v>
      </c>
      <c r="L196" s="98">
        <v>0</v>
      </c>
      <c r="M196" s="98">
        <v>0</v>
      </c>
      <c r="N196" s="98">
        <v>7</v>
      </c>
      <c r="O196" s="98">
        <v>15</v>
      </c>
      <c r="P196" s="98">
        <v>148</v>
      </c>
      <c r="Q196" s="98">
        <v>288</v>
      </c>
      <c r="R196" s="98">
        <v>8</v>
      </c>
      <c r="S196" s="98">
        <v>24</v>
      </c>
      <c r="T196" s="98">
        <v>0</v>
      </c>
      <c r="U196" s="98">
        <v>3</v>
      </c>
      <c r="V196" s="98">
        <v>0</v>
      </c>
      <c r="W196" s="98">
        <v>16</v>
      </c>
      <c r="X196" s="98">
        <v>5</v>
      </c>
      <c r="Y196" s="98">
        <v>0</v>
      </c>
      <c r="Z196" s="98">
        <v>7</v>
      </c>
      <c r="AA196" s="98">
        <v>66</v>
      </c>
      <c r="AB196" s="98">
        <v>0</v>
      </c>
      <c r="AC196" s="98">
        <v>0</v>
      </c>
      <c r="AD196" s="98">
        <v>5</v>
      </c>
      <c r="AE196" s="98">
        <v>3</v>
      </c>
    </row>
    <row r="197" spans="3:31">
      <c r="C197" s="95">
        <v>3466</v>
      </c>
      <c r="D197" s="102" t="s">
        <v>6198</v>
      </c>
      <c r="E197" s="97">
        <v>1243</v>
      </c>
      <c r="F197" s="98">
        <v>18</v>
      </c>
      <c r="G197" s="99">
        <v>85</v>
      </c>
      <c r="H197" s="98">
        <v>198</v>
      </c>
      <c r="I197" s="99">
        <v>88</v>
      </c>
      <c r="J197" s="98">
        <v>0</v>
      </c>
      <c r="K197" s="98">
        <v>0</v>
      </c>
      <c r="L197" s="98">
        <v>32</v>
      </c>
      <c r="M197" s="98">
        <v>0</v>
      </c>
      <c r="N197" s="98">
        <v>55</v>
      </c>
      <c r="O197" s="98">
        <v>6</v>
      </c>
      <c r="P197" s="98">
        <v>69</v>
      </c>
      <c r="Q197" s="98">
        <v>380</v>
      </c>
      <c r="R197" s="98">
        <v>7</v>
      </c>
      <c r="S197" s="98">
        <v>39</v>
      </c>
      <c r="T197" s="98">
        <v>0</v>
      </c>
      <c r="U197" s="98">
        <v>2</v>
      </c>
      <c r="V197" s="98">
        <v>0</v>
      </c>
      <c r="W197" s="98">
        <v>112</v>
      </c>
      <c r="X197" s="98">
        <v>1</v>
      </c>
      <c r="Y197" s="98">
        <v>1</v>
      </c>
      <c r="Z197" s="98">
        <v>12</v>
      </c>
      <c r="AA197" s="98">
        <v>46</v>
      </c>
      <c r="AB197" s="98">
        <v>74</v>
      </c>
      <c r="AC197" s="98">
        <v>11</v>
      </c>
      <c r="AD197" s="98">
        <v>5</v>
      </c>
      <c r="AE197" s="98">
        <v>2</v>
      </c>
    </row>
    <row r="198" spans="3:31">
      <c r="C198" s="95">
        <v>3467</v>
      </c>
      <c r="D198" s="102" t="s">
        <v>6198</v>
      </c>
      <c r="E198" s="97">
        <v>2400</v>
      </c>
      <c r="F198" s="98">
        <v>23</v>
      </c>
      <c r="G198" s="99">
        <v>55</v>
      </c>
      <c r="H198" s="98">
        <v>183</v>
      </c>
      <c r="I198" s="99">
        <v>91</v>
      </c>
      <c r="J198" s="98">
        <v>0</v>
      </c>
      <c r="K198" s="98">
        <v>0</v>
      </c>
      <c r="L198" s="98">
        <v>0</v>
      </c>
      <c r="M198" s="98">
        <v>0</v>
      </c>
      <c r="N198" s="98">
        <v>43</v>
      </c>
      <c r="O198" s="98">
        <v>9</v>
      </c>
      <c r="P198" s="98">
        <v>369</v>
      </c>
      <c r="Q198" s="98">
        <v>1144</v>
      </c>
      <c r="R198" s="98">
        <v>0</v>
      </c>
      <c r="S198" s="98">
        <v>204</v>
      </c>
      <c r="T198" s="98">
        <v>0</v>
      </c>
      <c r="U198" s="98">
        <v>10</v>
      </c>
      <c r="V198" s="98">
        <v>0</v>
      </c>
      <c r="W198" s="98">
        <v>88</v>
      </c>
      <c r="X198" s="98">
        <v>0</v>
      </c>
      <c r="Y198" s="98">
        <v>6</v>
      </c>
      <c r="Z198" s="98">
        <v>59</v>
      </c>
      <c r="AA198" s="98">
        <v>10</v>
      </c>
      <c r="AB198" s="98">
        <v>2</v>
      </c>
      <c r="AC198" s="98">
        <v>9</v>
      </c>
      <c r="AD198" s="98">
        <v>65</v>
      </c>
      <c r="AE198" s="98">
        <v>30</v>
      </c>
    </row>
    <row r="199" spans="3:31">
      <c r="C199" s="95">
        <v>3468</v>
      </c>
      <c r="D199" s="102" t="s">
        <v>6198</v>
      </c>
      <c r="E199" s="97">
        <v>2233</v>
      </c>
      <c r="F199" s="98">
        <v>57</v>
      </c>
      <c r="G199" s="99">
        <v>376</v>
      </c>
      <c r="H199" s="98">
        <v>266</v>
      </c>
      <c r="I199" s="99">
        <v>197</v>
      </c>
      <c r="J199" s="98">
        <v>21</v>
      </c>
      <c r="K199" s="98">
        <v>0</v>
      </c>
      <c r="L199" s="98">
        <v>0</v>
      </c>
      <c r="M199" s="98">
        <v>0</v>
      </c>
      <c r="N199" s="98">
        <v>48</v>
      </c>
      <c r="O199" s="98">
        <v>16</v>
      </c>
      <c r="P199" s="98">
        <v>155</v>
      </c>
      <c r="Q199" s="98">
        <v>652</v>
      </c>
      <c r="R199" s="98">
        <v>13</v>
      </c>
      <c r="S199" s="98">
        <v>87</v>
      </c>
      <c r="T199" s="98">
        <v>0</v>
      </c>
      <c r="U199" s="98">
        <v>7</v>
      </c>
      <c r="V199" s="98">
        <v>0</v>
      </c>
      <c r="W199" s="98">
        <v>125</v>
      </c>
      <c r="X199" s="98">
        <v>2</v>
      </c>
      <c r="Y199" s="98">
        <v>3</v>
      </c>
      <c r="Z199" s="98">
        <v>43</v>
      </c>
      <c r="AA199" s="98">
        <v>79</v>
      </c>
      <c r="AB199" s="98">
        <v>40</v>
      </c>
      <c r="AC199" s="98">
        <v>12</v>
      </c>
      <c r="AD199" s="98">
        <v>18</v>
      </c>
      <c r="AE199" s="98">
        <v>16</v>
      </c>
    </row>
    <row r="200" spans="3:31">
      <c r="C200" s="95">
        <v>3469</v>
      </c>
      <c r="D200" s="102" t="s">
        <v>6198</v>
      </c>
      <c r="E200" s="97">
        <v>1936</v>
      </c>
      <c r="F200" s="98">
        <v>41</v>
      </c>
      <c r="G200" s="99">
        <v>305</v>
      </c>
      <c r="H200" s="98">
        <v>288</v>
      </c>
      <c r="I200" s="99">
        <v>276</v>
      </c>
      <c r="J200" s="98">
        <v>2</v>
      </c>
      <c r="K200" s="98">
        <v>0</v>
      </c>
      <c r="L200" s="98">
        <v>0</v>
      </c>
      <c r="M200" s="98">
        <v>0</v>
      </c>
      <c r="N200" s="98">
        <v>22</v>
      </c>
      <c r="O200" s="98">
        <v>29</v>
      </c>
      <c r="P200" s="98">
        <v>257</v>
      </c>
      <c r="Q200" s="98">
        <v>439</v>
      </c>
      <c r="R200" s="98">
        <v>15</v>
      </c>
      <c r="S200" s="98">
        <v>68</v>
      </c>
      <c r="T200" s="98">
        <v>0</v>
      </c>
      <c r="U200" s="98">
        <v>31</v>
      </c>
      <c r="V200" s="98">
        <v>0</v>
      </c>
      <c r="W200" s="98">
        <v>19</v>
      </c>
      <c r="X200" s="98">
        <v>26</v>
      </c>
      <c r="Y200" s="98">
        <v>0</v>
      </c>
      <c r="Z200" s="98">
        <v>22</v>
      </c>
      <c r="AA200" s="98">
        <v>66</v>
      </c>
      <c r="AB200" s="98">
        <v>0</v>
      </c>
      <c r="AC200" s="98">
        <v>18</v>
      </c>
      <c r="AD200" s="98">
        <v>12</v>
      </c>
      <c r="AE200" s="98">
        <v>0</v>
      </c>
    </row>
    <row r="201" spans="3:31">
      <c r="C201" s="95">
        <v>3558</v>
      </c>
      <c r="D201" s="102" t="s">
        <v>6198</v>
      </c>
      <c r="E201" s="97">
        <v>578</v>
      </c>
      <c r="F201" s="98">
        <v>6</v>
      </c>
      <c r="G201" s="99">
        <v>84</v>
      </c>
      <c r="H201" s="98">
        <v>64</v>
      </c>
      <c r="I201" s="99">
        <v>56</v>
      </c>
      <c r="J201" s="98">
        <v>1</v>
      </c>
      <c r="K201" s="98">
        <v>0</v>
      </c>
      <c r="L201" s="98">
        <v>0</v>
      </c>
      <c r="M201" s="98">
        <v>0</v>
      </c>
      <c r="N201" s="98">
        <v>8</v>
      </c>
      <c r="O201" s="98">
        <v>1</v>
      </c>
      <c r="P201" s="98">
        <v>11</v>
      </c>
      <c r="Q201" s="98">
        <v>113</v>
      </c>
      <c r="R201" s="98">
        <v>0</v>
      </c>
      <c r="S201" s="98">
        <v>11</v>
      </c>
      <c r="T201" s="98">
        <v>120</v>
      </c>
      <c r="U201" s="98">
        <v>1</v>
      </c>
      <c r="V201" s="98">
        <v>0</v>
      </c>
      <c r="W201" s="98">
        <v>36</v>
      </c>
      <c r="X201" s="98">
        <v>3</v>
      </c>
      <c r="Y201" s="98">
        <v>4</v>
      </c>
      <c r="Z201" s="98">
        <v>6</v>
      </c>
      <c r="AA201" s="98">
        <v>9</v>
      </c>
      <c r="AB201" s="98">
        <v>25</v>
      </c>
      <c r="AC201" s="98">
        <v>15</v>
      </c>
      <c r="AD201" s="98">
        <v>1</v>
      </c>
      <c r="AE201" s="98">
        <v>3</v>
      </c>
    </row>
    <row r="202" spans="3:31">
      <c r="C202" s="95">
        <v>3578</v>
      </c>
      <c r="D202" s="102" t="s">
        <v>6198</v>
      </c>
      <c r="E202" s="97">
        <v>198</v>
      </c>
      <c r="F202" s="98">
        <v>3</v>
      </c>
      <c r="G202" s="99">
        <v>17</v>
      </c>
      <c r="H202" s="98">
        <v>19</v>
      </c>
      <c r="I202" s="99">
        <v>16</v>
      </c>
      <c r="J202" s="98">
        <v>2</v>
      </c>
      <c r="K202" s="98">
        <v>0</v>
      </c>
      <c r="L202" s="98">
        <v>0</v>
      </c>
      <c r="M202" s="98">
        <v>0</v>
      </c>
      <c r="N202" s="98">
        <v>1</v>
      </c>
      <c r="O202" s="98">
        <v>1</v>
      </c>
      <c r="P202" s="98">
        <v>5</v>
      </c>
      <c r="Q202" s="98">
        <v>31</v>
      </c>
      <c r="R202" s="98">
        <v>0</v>
      </c>
      <c r="S202" s="98">
        <v>31</v>
      </c>
      <c r="T202" s="98">
        <v>0</v>
      </c>
      <c r="U202" s="98">
        <v>0</v>
      </c>
      <c r="V202" s="98">
        <v>0</v>
      </c>
      <c r="W202" s="98">
        <v>25</v>
      </c>
      <c r="X202" s="98">
        <v>15</v>
      </c>
      <c r="Y202" s="98">
        <v>4</v>
      </c>
      <c r="Z202" s="98">
        <v>3</v>
      </c>
      <c r="AA202" s="98">
        <v>12</v>
      </c>
      <c r="AB202" s="98">
        <v>2</v>
      </c>
      <c r="AC202" s="98">
        <v>8</v>
      </c>
      <c r="AD202" s="98">
        <v>2</v>
      </c>
      <c r="AE202" s="98">
        <v>1</v>
      </c>
    </row>
    <row r="203" spans="3:31">
      <c r="C203" s="95">
        <v>3470</v>
      </c>
      <c r="D203" s="102" t="s">
        <v>6198</v>
      </c>
      <c r="E203" s="97">
        <v>230</v>
      </c>
      <c r="F203" s="98">
        <v>0</v>
      </c>
      <c r="G203" s="99">
        <v>10</v>
      </c>
      <c r="H203" s="98">
        <v>20</v>
      </c>
      <c r="I203" s="99">
        <v>53</v>
      </c>
      <c r="J203" s="98">
        <v>0</v>
      </c>
      <c r="K203" s="98">
        <v>0</v>
      </c>
      <c r="L203" s="98">
        <v>0</v>
      </c>
      <c r="M203" s="98">
        <v>0</v>
      </c>
      <c r="N203" s="98">
        <v>2</v>
      </c>
      <c r="O203" s="98">
        <v>0</v>
      </c>
      <c r="P203" s="98">
        <v>0</v>
      </c>
      <c r="Q203" s="98">
        <v>3</v>
      </c>
      <c r="R203" s="98">
        <v>0</v>
      </c>
      <c r="S203" s="98">
        <v>4</v>
      </c>
      <c r="T203" s="98">
        <v>0</v>
      </c>
      <c r="U203" s="98">
        <v>0</v>
      </c>
      <c r="V203" s="98">
        <v>0</v>
      </c>
      <c r="W203" s="98">
        <v>9</v>
      </c>
      <c r="X203" s="98">
        <v>0</v>
      </c>
      <c r="Y203" s="98">
        <v>2</v>
      </c>
      <c r="Z203" s="98">
        <v>1</v>
      </c>
      <c r="AA203" s="98">
        <v>1</v>
      </c>
      <c r="AB203" s="98">
        <v>118</v>
      </c>
      <c r="AC203" s="98">
        <v>7</v>
      </c>
      <c r="AD203" s="98">
        <v>0</v>
      </c>
      <c r="AE203" s="98">
        <v>0</v>
      </c>
    </row>
    <row r="204" spans="3:31">
      <c r="C204" s="95">
        <v>3420</v>
      </c>
      <c r="D204" s="102" t="s">
        <v>6198</v>
      </c>
      <c r="E204" s="97">
        <v>301</v>
      </c>
      <c r="F204" s="98">
        <v>1</v>
      </c>
      <c r="G204" s="99">
        <v>2</v>
      </c>
      <c r="H204" s="98">
        <v>33</v>
      </c>
      <c r="I204" s="99">
        <v>19</v>
      </c>
      <c r="J204" s="98">
        <v>0</v>
      </c>
      <c r="K204" s="98">
        <v>0</v>
      </c>
      <c r="L204" s="98">
        <v>0</v>
      </c>
      <c r="M204" s="98">
        <v>0</v>
      </c>
      <c r="N204" s="98">
        <v>6</v>
      </c>
      <c r="O204" s="98">
        <v>0</v>
      </c>
      <c r="P204" s="98">
        <v>19</v>
      </c>
      <c r="Q204" s="98">
        <v>179</v>
      </c>
      <c r="R204" s="98">
        <v>1</v>
      </c>
      <c r="S204" s="98">
        <v>19</v>
      </c>
      <c r="T204" s="98">
        <v>0</v>
      </c>
      <c r="U204" s="98">
        <v>0</v>
      </c>
      <c r="V204" s="98">
        <v>0</v>
      </c>
      <c r="W204" s="98">
        <v>11</v>
      </c>
      <c r="X204" s="98">
        <v>0</v>
      </c>
      <c r="Y204" s="98">
        <v>0</v>
      </c>
      <c r="Z204" s="98">
        <v>7</v>
      </c>
      <c r="AA204" s="98">
        <v>0</v>
      </c>
      <c r="AB204" s="98">
        <v>0</v>
      </c>
      <c r="AC204" s="98">
        <v>2</v>
      </c>
      <c r="AD204" s="98">
        <v>1</v>
      </c>
      <c r="AE204" s="98">
        <v>1</v>
      </c>
    </row>
    <row r="205" spans="3:31">
      <c r="C205" s="95">
        <v>3442</v>
      </c>
      <c r="D205" s="102" t="s">
        <v>6198</v>
      </c>
      <c r="E205" s="97">
        <v>2343</v>
      </c>
      <c r="F205" s="98">
        <v>3</v>
      </c>
      <c r="G205" s="99">
        <v>91</v>
      </c>
      <c r="H205" s="98">
        <v>256</v>
      </c>
      <c r="I205" s="99">
        <v>539</v>
      </c>
      <c r="J205" s="98">
        <v>0</v>
      </c>
      <c r="K205" s="98">
        <v>0</v>
      </c>
      <c r="L205" s="98">
        <v>0</v>
      </c>
      <c r="M205" s="98">
        <v>0</v>
      </c>
      <c r="N205" s="98">
        <v>23</v>
      </c>
      <c r="O205" s="98">
        <v>1</v>
      </c>
      <c r="P205" s="98">
        <v>0</v>
      </c>
      <c r="Q205" s="98">
        <v>45</v>
      </c>
      <c r="R205" s="98">
        <v>0</v>
      </c>
      <c r="S205" s="98">
        <v>38</v>
      </c>
      <c r="T205" s="98">
        <v>0</v>
      </c>
      <c r="U205" s="98">
        <v>0</v>
      </c>
      <c r="V205" s="98">
        <v>0</v>
      </c>
      <c r="W205" s="98">
        <v>92</v>
      </c>
      <c r="X205" s="98">
        <v>0</v>
      </c>
      <c r="Y205" s="98">
        <v>16</v>
      </c>
      <c r="Z205" s="98">
        <v>12</v>
      </c>
      <c r="AA205" s="98">
        <v>9</v>
      </c>
      <c r="AB205" s="98">
        <v>1152</v>
      </c>
      <c r="AC205" s="98">
        <v>62</v>
      </c>
      <c r="AD205" s="98">
        <v>4</v>
      </c>
      <c r="AE205" s="98">
        <v>0</v>
      </c>
    </row>
    <row r="206" spans="3:31">
      <c r="C206" s="95">
        <v>3506</v>
      </c>
      <c r="D206" s="102" t="s">
        <v>6198</v>
      </c>
      <c r="E206" s="97">
        <v>442</v>
      </c>
      <c r="F206" s="98">
        <v>1</v>
      </c>
      <c r="G206" s="99">
        <v>18</v>
      </c>
      <c r="H206" s="98">
        <v>41</v>
      </c>
      <c r="I206" s="99">
        <v>104</v>
      </c>
      <c r="J206" s="98">
        <v>0</v>
      </c>
      <c r="K206" s="98">
        <v>0</v>
      </c>
      <c r="L206" s="98">
        <v>0</v>
      </c>
      <c r="M206" s="98">
        <v>0</v>
      </c>
      <c r="N206" s="98">
        <v>3</v>
      </c>
      <c r="O206" s="98">
        <v>0</v>
      </c>
      <c r="P206" s="98">
        <v>0</v>
      </c>
      <c r="Q206" s="98">
        <v>6</v>
      </c>
      <c r="R206" s="98">
        <v>0</v>
      </c>
      <c r="S206" s="98">
        <v>7</v>
      </c>
      <c r="T206" s="98">
        <v>0</v>
      </c>
      <c r="U206" s="98">
        <v>0</v>
      </c>
      <c r="V206" s="98">
        <v>0</v>
      </c>
      <c r="W206" s="98">
        <v>18</v>
      </c>
      <c r="X206" s="98">
        <v>0</v>
      </c>
      <c r="Y206" s="98">
        <v>3</v>
      </c>
      <c r="Z206" s="98">
        <v>2</v>
      </c>
      <c r="AA206" s="98">
        <v>2</v>
      </c>
      <c r="AB206" s="98">
        <v>225</v>
      </c>
      <c r="AC206" s="98">
        <v>11</v>
      </c>
      <c r="AD206" s="98">
        <v>1</v>
      </c>
      <c r="AE206" s="98">
        <v>0</v>
      </c>
    </row>
    <row r="207" spans="3:31">
      <c r="C207" s="95">
        <v>3512</v>
      </c>
      <c r="D207" s="102" t="s">
        <v>6198</v>
      </c>
      <c r="E207" s="97">
        <v>37</v>
      </c>
      <c r="F207" s="98">
        <v>0</v>
      </c>
      <c r="G207" s="99">
        <v>0</v>
      </c>
      <c r="H207" s="98">
        <v>0</v>
      </c>
      <c r="I207" s="99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1</v>
      </c>
      <c r="O207" s="98">
        <v>0</v>
      </c>
      <c r="P207" s="98">
        <v>3</v>
      </c>
      <c r="Q207" s="98">
        <v>19</v>
      </c>
      <c r="R207" s="98">
        <v>0</v>
      </c>
      <c r="S207" s="98">
        <v>3</v>
      </c>
      <c r="T207" s="98">
        <v>0</v>
      </c>
      <c r="U207" s="98">
        <v>0</v>
      </c>
      <c r="V207" s="98">
        <v>0</v>
      </c>
      <c r="W207" s="98">
        <v>7</v>
      </c>
      <c r="X207" s="98">
        <v>0</v>
      </c>
      <c r="Y207" s="98">
        <v>2</v>
      </c>
      <c r="Z207" s="98">
        <v>2</v>
      </c>
      <c r="AA207" s="98">
        <v>0</v>
      </c>
      <c r="AB207" s="98">
        <v>0</v>
      </c>
      <c r="AC207" s="98">
        <v>0</v>
      </c>
      <c r="AD207" s="98">
        <v>0</v>
      </c>
      <c r="AE207" s="98">
        <v>0</v>
      </c>
    </row>
    <row r="208" spans="3:31">
      <c r="C208" s="95">
        <v>3513</v>
      </c>
      <c r="D208" s="102" t="s">
        <v>6198</v>
      </c>
      <c r="E208" s="97">
        <v>37</v>
      </c>
      <c r="F208" s="98">
        <v>0</v>
      </c>
      <c r="G208" s="99">
        <v>0</v>
      </c>
      <c r="H208" s="98">
        <v>0</v>
      </c>
      <c r="I208" s="99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1</v>
      </c>
      <c r="O208" s="98">
        <v>0</v>
      </c>
      <c r="P208" s="98">
        <v>3</v>
      </c>
      <c r="Q208" s="98">
        <v>19</v>
      </c>
      <c r="R208" s="98">
        <v>0</v>
      </c>
      <c r="S208" s="98">
        <v>3</v>
      </c>
      <c r="T208" s="98">
        <v>0</v>
      </c>
      <c r="U208" s="98">
        <v>0</v>
      </c>
      <c r="V208" s="98">
        <v>0</v>
      </c>
      <c r="W208" s="98">
        <v>7</v>
      </c>
      <c r="X208" s="98">
        <v>0</v>
      </c>
      <c r="Y208" s="98">
        <v>2</v>
      </c>
      <c r="Z208" s="98">
        <v>2</v>
      </c>
      <c r="AA208" s="98">
        <v>0</v>
      </c>
      <c r="AB208" s="98">
        <v>0</v>
      </c>
      <c r="AC208" s="98">
        <v>0</v>
      </c>
      <c r="AD208" s="98">
        <v>0</v>
      </c>
      <c r="AE208" s="98">
        <v>0</v>
      </c>
    </row>
    <row r="209" spans="3:31">
      <c r="C209" s="95">
        <v>3561</v>
      </c>
      <c r="D209" s="102" t="s">
        <v>6198</v>
      </c>
      <c r="E209" s="97">
        <v>5</v>
      </c>
      <c r="F209" s="98">
        <v>0</v>
      </c>
      <c r="G209" s="99">
        <v>0</v>
      </c>
      <c r="H209" s="98">
        <v>0</v>
      </c>
      <c r="I209" s="99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8">
        <v>0</v>
      </c>
      <c r="P209" s="98">
        <v>0</v>
      </c>
      <c r="Q209" s="98">
        <v>2</v>
      </c>
      <c r="R209" s="98">
        <v>0</v>
      </c>
      <c r="S209" s="98">
        <v>0</v>
      </c>
      <c r="T209" s="98">
        <v>0</v>
      </c>
      <c r="U209" s="98">
        <v>0</v>
      </c>
      <c r="V209" s="98">
        <v>0</v>
      </c>
      <c r="W209" s="98">
        <v>2</v>
      </c>
      <c r="X209" s="98">
        <v>0</v>
      </c>
      <c r="Y209" s="98">
        <v>1</v>
      </c>
      <c r="Z209" s="98">
        <v>0</v>
      </c>
      <c r="AA209" s="98">
        <v>0</v>
      </c>
      <c r="AB209" s="98">
        <v>0</v>
      </c>
      <c r="AC209" s="98">
        <v>0</v>
      </c>
      <c r="AD209" s="98">
        <v>0</v>
      </c>
      <c r="AE209" s="98">
        <v>0</v>
      </c>
    </row>
    <row r="210" spans="3:31">
      <c r="C210" s="95">
        <v>3568</v>
      </c>
      <c r="D210" s="102" t="s">
        <v>6198</v>
      </c>
      <c r="E210" s="97">
        <v>85</v>
      </c>
      <c r="F210" s="98">
        <v>3</v>
      </c>
      <c r="G210" s="99">
        <v>53</v>
      </c>
      <c r="H210" s="98">
        <v>8</v>
      </c>
      <c r="I210" s="99">
        <v>4</v>
      </c>
      <c r="J210" s="98">
        <v>0</v>
      </c>
      <c r="K210" s="98">
        <v>0</v>
      </c>
      <c r="L210" s="98">
        <v>0</v>
      </c>
      <c r="M210" s="98">
        <v>0</v>
      </c>
      <c r="N210" s="98">
        <v>0</v>
      </c>
      <c r="O210" s="98">
        <v>0</v>
      </c>
      <c r="P210" s="98">
        <v>0</v>
      </c>
      <c r="Q210" s="98">
        <v>0</v>
      </c>
      <c r="R210" s="98">
        <v>1</v>
      </c>
      <c r="S210" s="98">
        <v>0</v>
      </c>
      <c r="T210" s="98">
        <v>0</v>
      </c>
      <c r="U210" s="98">
        <v>0</v>
      </c>
      <c r="V210" s="98">
        <v>0</v>
      </c>
      <c r="W210" s="98">
        <v>2</v>
      </c>
      <c r="X210" s="98">
        <v>0</v>
      </c>
      <c r="Y210" s="98">
        <v>0</v>
      </c>
      <c r="Z210" s="98">
        <v>0</v>
      </c>
      <c r="AA210" s="98">
        <v>4</v>
      </c>
      <c r="AB210" s="98">
        <v>10</v>
      </c>
      <c r="AC210" s="98">
        <v>0</v>
      </c>
      <c r="AD210" s="98">
        <v>0</v>
      </c>
      <c r="AE210" s="98">
        <v>0</v>
      </c>
    </row>
    <row r="211" spans="3:31">
      <c r="C211" s="95">
        <v>3421</v>
      </c>
      <c r="D211" s="102" t="s">
        <v>6198</v>
      </c>
      <c r="E211" s="97">
        <v>366</v>
      </c>
      <c r="F211" s="98">
        <v>1</v>
      </c>
      <c r="G211" s="99">
        <v>9</v>
      </c>
      <c r="H211" s="98">
        <v>21</v>
      </c>
      <c r="I211" s="99">
        <v>25</v>
      </c>
      <c r="J211" s="98">
        <v>0</v>
      </c>
      <c r="K211" s="98">
        <v>0</v>
      </c>
      <c r="L211" s="98">
        <v>0</v>
      </c>
      <c r="M211" s="98">
        <v>0</v>
      </c>
      <c r="N211" s="98">
        <v>4</v>
      </c>
      <c r="O211" s="98">
        <v>1</v>
      </c>
      <c r="P211" s="98">
        <v>20</v>
      </c>
      <c r="Q211" s="98">
        <v>230</v>
      </c>
      <c r="R211" s="98">
        <v>0</v>
      </c>
      <c r="S211" s="98">
        <v>18</v>
      </c>
      <c r="T211" s="98">
        <v>0</v>
      </c>
      <c r="U211" s="98">
        <v>2</v>
      </c>
      <c r="V211" s="98">
        <v>0</v>
      </c>
      <c r="W211" s="98">
        <v>0</v>
      </c>
      <c r="X211" s="98">
        <v>0</v>
      </c>
      <c r="Y211" s="98">
        <v>0</v>
      </c>
      <c r="Z211" s="98">
        <v>7</v>
      </c>
      <c r="AA211" s="98">
        <v>0</v>
      </c>
      <c r="AB211" s="98">
        <v>3</v>
      </c>
      <c r="AC211" s="98">
        <v>24</v>
      </c>
      <c r="AD211" s="98">
        <v>1</v>
      </c>
      <c r="AE211" s="98">
        <v>0</v>
      </c>
    </row>
    <row r="212" spans="3:31">
      <c r="C212" s="95">
        <v>3566</v>
      </c>
      <c r="D212" s="102" t="s">
        <v>6198</v>
      </c>
      <c r="E212" s="97">
        <v>389</v>
      </c>
      <c r="F212" s="98">
        <v>12</v>
      </c>
      <c r="G212" s="99">
        <v>102</v>
      </c>
      <c r="H212" s="98">
        <v>60</v>
      </c>
      <c r="I212" s="99">
        <v>31</v>
      </c>
      <c r="J212" s="98">
        <v>2</v>
      </c>
      <c r="K212" s="98">
        <v>0</v>
      </c>
      <c r="L212" s="98">
        <v>0</v>
      </c>
      <c r="M212" s="98">
        <v>0</v>
      </c>
      <c r="N212" s="98">
        <v>8</v>
      </c>
      <c r="O212" s="98">
        <v>8</v>
      </c>
      <c r="P212" s="98">
        <v>12</v>
      </c>
      <c r="Q212" s="98">
        <v>59</v>
      </c>
      <c r="R212" s="98">
        <v>8</v>
      </c>
      <c r="S212" s="98">
        <v>4</v>
      </c>
      <c r="T212" s="98">
        <v>0</v>
      </c>
      <c r="U212" s="98">
        <v>0</v>
      </c>
      <c r="V212" s="98">
        <v>0</v>
      </c>
      <c r="W212" s="98">
        <v>43</v>
      </c>
      <c r="X212" s="98">
        <v>7</v>
      </c>
      <c r="Y212" s="98">
        <v>1</v>
      </c>
      <c r="Z212" s="98">
        <v>1</v>
      </c>
      <c r="AA212" s="98">
        <v>12</v>
      </c>
      <c r="AB212" s="98">
        <v>16</v>
      </c>
      <c r="AC212" s="98">
        <v>3</v>
      </c>
      <c r="AD212" s="98">
        <v>0</v>
      </c>
      <c r="AE212" s="98">
        <v>0</v>
      </c>
    </row>
    <row r="213" spans="3:31">
      <c r="C213" s="95">
        <v>3422</v>
      </c>
      <c r="D213" s="102" t="s">
        <v>6198</v>
      </c>
      <c r="E213" s="97">
        <v>145</v>
      </c>
      <c r="F213" s="98">
        <v>0</v>
      </c>
      <c r="G213" s="99">
        <v>0</v>
      </c>
      <c r="H213" s="98">
        <v>0</v>
      </c>
      <c r="I213" s="99">
        <v>0</v>
      </c>
      <c r="J213" s="98">
        <v>0</v>
      </c>
      <c r="K213" s="98">
        <v>0</v>
      </c>
      <c r="L213" s="98">
        <v>0</v>
      </c>
      <c r="M213" s="98">
        <v>0</v>
      </c>
      <c r="N213" s="98">
        <v>7</v>
      </c>
      <c r="O213" s="98">
        <v>0</v>
      </c>
      <c r="P213" s="98">
        <v>15</v>
      </c>
      <c r="Q213" s="98">
        <v>81</v>
      </c>
      <c r="R213" s="98">
        <v>0</v>
      </c>
      <c r="S213" s="98">
        <v>17</v>
      </c>
      <c r="T213" s="98">
        <v>0</v>
      </c>
      <c r="U213" s="98">
        <v>0</v>
      </c>
      <c r="V213" s="98">
        <v>0</v>
      </c>
      <c r="W213" s="98">
        <v>19</v>
      </c>
      <c r="X213" s="98">
        <v>0</v>
      </c>
      <c r="Y213" s="98">
        <v>1</v>
      </c>
      <c r="Z213" s="98">
        <v>3</v>
      </c>
      <c r="AA213" s="98">
        <v>0</v>
      </c>
      <c r="AB213" s="98">
        <v>0</v>
      </c>
      <c r="AC213" s="98">
        <v>0</v>
      </c>
      <c r="AD213" s="98">
        <v>1</v>
      </c>
      <c r="AE213" s="98">
        <v>1</v>
      </c>
    </row>
    <row r="214" spans="3:31">
      <c r="C214" s="95">
        <v>3567</v>
      </c>
      <c r="D214" s="102" t="s">
        <v>6198</v>
      </c>
      <c r="E214" s="97">
        <v>211</v>
      </c>
      <c r="F214" s="98">
        <v>7</v>
      </c>
      <c r="G214" s="99">
        <v>32</v>
      </c>
      <c r="H214" s="98">
        <v>79</v>
      </c>
      <c r="I214" s="99">
        <v>11</v>
      </c>
      <c r="J214" s="98">
        <v>16</v>
      </c>
      <c r="K214" s="98">
        <v>0</v>
      </c>
      <c r="L214" s="98">
        <v>0</v>
      </c>
      <c r="M214" s="98">
        <v>0</v>
      </c>
      <c r="N214" s="98">
        <v>4</v>
      </c>
      <c r="O214" s="98">
        <v>0</v>
      </c>
      <c r="P214" s="98">
        <v>7</v>
      </c>
      <c r="Q214" s="98">
        <v>30</v>
      </c>
      <c r="R214" s="98">
        <v>0</v>
      </c>
      <c r="S214" s="98">
        <v>5</v>
      </c>
      <c r="T214" s="98">
        <v>0</v>
      </c>
      <c r="U214" s="98">
        <v>0</v>
      </c>
      <c r="V214" s="98">
        <v>0</v>
      </c>
      <c r="W214" s="98">
        <v>12</v>
      </c>
      <c r="X214" s="98">
        <v>0</v>
      </c>
      <c r="Y214" s="98">
        <v>1</v>
      </c>
      <c r="Z214" s="98">
        <v>1</v>
      </c>
      <c r="AA214" s="98">
        <v>5</v>
      </c>
      <c r="AB214" s="98">
        <v>1</v>
      </c>
      <c r="AC214" s="98">
        <v>0</v>
      </c>
      <c r="AD214" s="98">
        <v>0</v>
      </c>
      <c r="AE214" s="98">
        <v>0</v>
      </c>
    </row>
    <row r="215" spans="3:31">
      <c r="C215" s="95">
        <v>3564</v>
      </c>
      <c r="D215" s="102" t="s">
        <v>6198</v>
      </c>
      <c r="E215" s="97">
        <v>1221</v>
      </c>
      <c r="F215" s="98">
        <v>22</v>
      </c>
      <c r="G215" s="99">
        <v>94</v>
      </c>
      <c r="H215" s="98">
        <v>149</v>
      </c>
      <c r="I215" s="99">
        <v>107</v>
      </c>
      <c r="J215" s="98">
        <v>5</v>
      </c>
      <c r="K215" s="98">
        <v>0</v>
      </c>
      <c r="L215" s="98">
        <v>0</v>
      </c>
      <c r="M215" s="98">
        <v>0</v>
      </c>
      <c r="N215" s="98">
        <v>9</v>
      </c>
      <c r="O215" s="98">
        <v>2</v>
      </c>
      <c r="P215" s="98">
        <v>45</v>
      </c>
      <c r="Q215" s="98">
        <v>545</v>
      </c>
      <c r="R215" s="98">
        <v>0</v>
      </c>
      <c r="S215" s="98">
        <v>18</v>
      </c>
      <c r="T215" s="98">
        <v>0</v>
      </c>
      <c r="U215" s="98">
        <v>0</v>
      </c>
      <c r="V215" s="98">
        <v>0</v>
      </c>
      <c r="W215" s="98">
        <v>3</v>
      </c>
      <c r="X215" s="98">
        <v>6</v>
      </c>
      <c r="Y215" s="98">
        <v>1</v>
      </c>
      <c r="Z215" s="98">
        <v>2</v>
      </c>
      <c r="AA215" s="98">
        <v>29</v>
      </c>
      <c r="AB215" s="98">
        <v>164</v>
      </c>
      <c r="AC215" s="98">
        <v>19</v>
      </c>
      <c r="AD215" s="98">
        <v>1</v>
      </c>
      <c r="AE215" s="98">
        <v>0</v>
      </c>
    </row>
    <row r="216" spans="3:31">
      <c r="C216" s="95">
        <v>3565</v>
      </c>
      <c r="D216" s="102" t="s">
        <v>6198</v>
      </c>
      <c r="E216" s="97">
        <v>90</v>
      </c>
      <c r="F216" s="98">
        <v>2</v>
      </c>
      <c r="G216" s="99">
        <v>6</v>
      </c>
      <c r="H216" s="98">
        <v>15</v>
      </c>
      <c r="I216" s="99">
        <v>7</v>
      </c>
      <c r="J216" s="98">
        <v>0</v>
      </c>
      <c r="K216" s="98">
        <v>0</v>
      </c>
      <c r="L216" s="98">
        <v>0</v>
      </c>
      <c r="M216" s="98">
        <v>0</v>
      </c>
      <c r="N216" s="98">
        <v>2</v>
      </c>
      <c r="O216" s="98">
        <v>0</v>
      </c>
      <c r="P216" s="98">
        <v>4</v>
      </c>
      <c r="Q216" s="98">
        <v>35</v>
      </c>
      <c r="R216" s="98">
        <v>0</v>
      </c>
      <c r="S216" s="98">
        <v>4</v>
      </c>
      <c r="T216" s="98">
        <v>0</v>
      </c>
      <c r="U216" s="98">
        <v>0</v>
      </c>
      <c r="V216" s="98">
        <v>0</v>
      </c>
      <c r="W216" s="98">
        <v>7</v>
      </c>
      <c r="X216" s="98">
        <v>0</v>
      </c>
      <c r="Y216" s="98">
        <v>0</v>
      </c>
      <c r="Z216" s="98">
        <v>1</v>
      </c>
      <c r="AA216" s="98">
        <v>5</v>
      </c>
      <c r="AB216" s="98">
        <v>1</v>
      </c>
      <c r="AC216" s="98">
        <v>1</v>
      </c>
      <c r="AD216" s="98">
        <v>0</v>
      </c>
      <c r="AE216" s="98">
        <v>0</v>
      </c>
    </row>
    <row r="217" spans="3:31">
      <c r="C217" s="95">
        <v>3437</v>
      </c>
      <c r="D217" s="102" t="s">
        <v>6198</v>
      </c>
      <c r="E217" s="97">
        <v>2632</v>
      </c>
      <c r="F217" s="98">
        <v>9</v>
      </c>
      <c r="G217" s="99">
        <v>105</v>
      </c>
      <c r="H217" s="98">
        <v>452</v>
      </c>
      <c r="I217" s="99">
        <v>411</v>
      </c>
      <c r="J217" s="98">
        <v>8</v>
      </c>
      <c r="K217" s="98">
        <v>0</v>
      </c>
      <c r="L217" s="98">
        <v>0</v>
      </c>
      <c r="M217" s="98">
        <v>0</v>
      </c>
      <c r="N217" s="98">
        <v>37</v>
      </c>
      <c r="O217" s="98">
        <v>31</v>
      </c>
      <c r="P217" s="98">
        <v>37</v>
      </c>
      <c r="Q217" s="98">
        <v>395</v>
      </c>
      <c r="R217" s="98">
        <v>28</v>
      </c>
      <c r="S217" s="98">
        <v>41</v>
      </c>
      <c r="T217" s="98">
        <v>0</v>
      </c>
      <c r="U217" s="98">
        <v>0</v>
      </c>
      <c r="V217" s="98">
        <v>0</v>
      </c>
      <c r="W217" s="98">
        <v>304</v>
      </c>
      <c r="X217" s="98">
        <v>17</v>
      </c>
      <c r="Y217" s="98">
        <v>9</v>
      </c>
      <c r="Z217" s="98">
        <v>27</v>
      </c>
      <c r="AA217" s="98">
        <v>14</v>
      </c>
      <c r="AB217" s="98">
        <v>614</v>
      </c>
      <c r="AC217" s="98">
        <v>88</v>
      </c>
      <c r="AD217" s="98">
        <v>4</v>
      </c>
      <c r="AE217" s="98">
        <v>1</v>
      </c>
    </row>
    <row r="218" spans="3:31">
      <c r="C218" s="95">
        <v>3552</v>
      </c>
      <c r="D218" s="102" t="s">
        <v>6198</v>
      </c>
      <c r="E218" s="97">
        <v>287</v>
      </c>
      <c r="F218" s="98">
        <v>4</v>
      </c>
      <c r="G218" s="99">
        <v>27</v>
      </c>
      <c r="H218" s="98">
        <v>26</v>
      </c>
      <c r="I218" s="99">
        <v>20</v>
      </c>
      <c r="J218" s="98">
        <v>1</v>
      </c>
      <c r="K218" s="98">
        <v>0</v>
      </c>
      <c r="L218" s="98">
        <v>0</v>
      </c>
      <c r="M218" s="98">
        <v>0</v>
      </c>
      <c r="N218" s="98">
        <v>5</v>
      </c>
      <c r="O218" s="98">
        <v>2</v>
      </c>
      <c r="P218" s="98">
        <v>18</v>
      </c>
      <c r="Q218" s="98">
        <v>112</v>
      </c>
      <c r="R218" s="98">
        <v>0</v>
      </c>
      <c r="S218" s="98">
        <v>26</v>
      </c>
      <c r="T218" s="98">
        <v>0</v>
      </c>
      <c r="U218" s="98">
        <v>3</v>
      </c>
      <c r="V218" s="98">
        <v>0</v>
      </c>
      <c r="W218" s="98">
        <v>10</v>
      </c>
      <c r="X218" s="98">
        <v>0</v>
      </c>
      <c r="Y218" s="98">
        <v>0</v>
      </c>
      <c r="Z218" s="98">
        <v>5</v>
      </c>
      <c r="AA218" s="98">
        <v>0</v>
      </c>
      <c r="AB218" s="98">
        <v>24</v>
      </c>
      <c r="AC218" s="98">
        <v>1</v>
      </c>
      <c r="AD218" s="98">
        <v>1</v>
      </c>
      <c r="AE218" s="98">
        <v>2</v>
      </c>
    </row>
    <row r="219" spans="3:31">
      <c r="C219" s="95">
        <v>3556</v>
      </c>
      <c r="D219" s="102" t="s">
        <v>6198</v>
      </c>
      <c r="E219" s="97">
        <v>826</v>
      </c>
      <c r="F219" s="98">
        <v>2</v>
      </c>
      <c r="G219" s="99">
        <v>11</v>
      </c>
      <c r="H219" s="98">
        <v>97</v>
      </c>
      <c r="I219" s="99">
        <v>201</v>
      </c>
      <c r="J219" s="98">
        <v>96</v>
      </c>
      <c r="K219" s="98">
        <v>0</v>
      </c>
      <c r="L219" s="98">
        <v>0</v>
      </c>
      <c r="M219" s="98">
        <v>0</v>
      </c>
      <c r="N219" s="98">
        <v>5</v>
      </c>
      <c r="O219" s="98">
        <v>1</v>
      </c>
      <c r="P219" s="98">
        <v>0</v>
      </c>
      <c r="Q219" s="98">
        <v>11</v>
      </c>
      <c r="R219" s="98">
        <v>4</v>
      </c>
      <c r="S219" s="98">
        <v>1</v>
      </c>
      <c r="T219" s="98">
        <v>0</v>
      </c>
      <c r="U219" s="98">
        <v>0</v>
      </c>
      <c r="V219" s="98">
        <v>7</v>
      </c>
      <c r="W219" s="98">
        <v>53</v>
      </c>
      <c r="X219" s="98">
        <v>0</v>
      </c>
      <c r="Y219" s="98">
        <v>1</v>
      </c>
      <c r="Z219" s="98">
        <v>0</v>
      </c>
      <c r="AA219" s="98">
        <v>6</v>
      </c>
      <c r="AB219" s="98">
        <v>327</v>
      </c>
      <c r="AC219" s="98">
        <v>3</v>
      </c>
      <c r="AD219" s="98">
        <v>0</v>
      </c>
      <c r="AE219" s="98">
        <v>0</v>
      </c>
    </row>
    <row r="220" spans="3:31">
      <c r="C220" s="95">
        <v>3557</v>
      </c>
      <c r="D220" s="102" t="s">
        <v>6198</v>
      </c>
      <c r="E220" s="97">
        <v>2632</v>
      </c>
      <c r="F220" s="98">
        <v>9</v>
      </c>
      <c r="G220" s="99">
        <v>105</v>
      </c>
      <c r="H220" s="98">
        <v>452</v>
      </c>
      <c r="I220" s="99">
        <v>411</v>
      </c>
      <c r="J220" s="98">
        <v>8</v>
      </c>
      <c r="K220" s="98">
        <v>0</v>
      </c>
      <c r="L220" s="98">
        <v>0</v>
      </c>
      <c r="M220" s="98">
        <v>0</v>
      </c>
      <c r="N220" s="98">
        <v>37</v>
      </c>
      <c r="O220" s="98">
        <v>31</v>
      </c>
      <c r="P220" s="98">
        <v>37</v>
      </c>
      <c r="Q220" s="98">
        <v>395</v>
      </c>
      <c r="R220" s="98">
        <v>28</v>
      </c>
      <c r="S220" s="98">
        <v>41</v>
      </c>
      <c r="T220" s="98">
        <v>0</v>
      </c>
      <c r="U220" s="98">
        <v>0</v>
      </c>
      <c r="V220" s="98">
        <v>0</v>
      </c>
      <c r="W220" s="98">
        <v>304</v>
      </c>
      <c r="X220" s="98">
        <v>17</v>
      </c>
      <c r="Y220" s="98">
        <v>9</v>
      </c>
      <c r="Z220" s="98">
        <v>27</v>
      </c>
      <c r="AA220" s="98">
        <v>14</v>
      </c>
      <c r="AB220" s="98">
        <v>614</v>
      </c>
      <c r="AC220" s="98">
        <v>88</v>
      </c>
      <c r="AD220" s="98">
        <v>4</v>
      </c>
      <c r="AE220" s="98">
        <v>1</v>
      </c>
    </row>
    <row r="221" spans="3:31">
      <c r="C221" s="95">
        <v>3560</v>
      </c>
      <c r="D221" s="102" t="s">
        <v>6198</v>
      </c>
      <c r="E221" s="97">
        <v>258</v>
      </c>
      <c r="F221" s="98">
        <v>6</v>
      </c>
      <c r="G221" s="99">
        <v>11</v>
      </c>
      <c r="H221" s="98">
        <v>11</v>
      </c>
      <c r="I221" s="99">
        <v>13</v>
      </c>
      <c r="J221" s="98">
        <v>1</v>
      </c>
      <c r="K221" s="98">
        <v>0</v>
      </c>
      <c r="L221" s="98">
        <v>0</v>
      </c>
      <c r="M221" s="98">
        <v>0</v>
      </c>
      <c r="N221" s="98">
        <v>11</v>
      </c>
      <c r="O221" s="98">
        <v>0</v>
      </c>
      <c r="P221" s="98">
        <v>23</v>
      </c>
      <c r="Q221" s="98">
        <v>101</v>
      </c>
      <c r="R221" s="98">
        <v>0</v>
      </c>
      <c r="S221" s="98">
        <v>7</v>
      </c>
      <c r="T221" s="98">
        <v>0</v>
      </c>
      <c r="U221" s="98">
        <v>0</v>
      </c>
      <c r="V221" s="98">
        <v>0</v>
      </c>
      <c r="W221" s="98">
        <v>37</v>
      </c>
      <c r="X221" s="98">
        <v>5</v>
      </c>
      <c r="Y221" s="98">
        <v>2</v>
      </c>
      <c r="Z221" s="98">
        <v>0</v>
      </c>
      <c r="AA221" s="98">
        <v>27</v>
      </c>
      <c r="AB221" s="98">
        <v>2</v>
      </c>
      <c r="AC221" s="98">
        <v>1</v>
      </c>
      <c r="AD221" s="98">
        <v>0</v>
      </c>
      <c r="AE221" s="98">
        <v>0</v>
      </c>
    </row>
    <row r="222" spans="3:31">
      <c r="C222" s="95">
        <v>3423</v>
      </c>
      <c r="D222" s="102" t="s">
        <v>6198</v>
      </c>
      <c r="E222" s="97">
        <v>8914</v>
      </c>
      <c r="F222" s="98">
        <v>183</v>
      </c>
      <c r="G222" s="99">
        <v>694</v>
      </c>
      <c r="H222" s="98">
        <v>989</v>
      </c>
      <c r="I222" s="99">
        <v>711</v>
      </c>
      <c r="J222" s="98">
        <v>1</v>
      </c>
      <c r="K222" s="98">
        <v>0</v>
      </c>
      <c r="L222" s="98">
        <v>0</v>
      </c>
      <c r="M222" s="98">
        <v>3</v>
      </c>
      <c r="N222" s="98">
        <v>91</v>
      </c>
      <c r="O222" s="98">
        <v>13</v>
      </c>
      <c r="P222" s="98">
        <v>356</v>
      </c>
      <c r="Q222" s="98">
        <v>4244</v>
      </c>
      <c r="R222" s="98">
        <v>0</v>
      </c>
      <c r="S222" s="98">
        <v>106</v>
      </c>
      <c r="T222" s="98">
        <v>0</v>
      </c>
      <c r="U222" s="98">
        <v>0</v>
      </c>
      <c r="V222" s="98">
        <v>0</v>
      </c>
      <c r="W222" s="98">
        <v>13</v>
      </c>
      <c r="X222" s="98">
        <v>0</v>
      </c>
      <c r="Y222" s="98">
        <v>7</v>
      </c>
      <c r="Z222" s="98">
        <v>11</v>
      </c>
      <c r="AA222" s="98">
        <v>252</v>
      </c>
      <c r="AB222" s="98">
        <v>1060</v>
      </c>
      <c r="AC222" s="98">
        <v>173</v>
      </c>
      <c r="AD222" s="98">
        <v>6</v>
      </c>
      <c r="AE222" s="98">
        <v>1</v>
      </c>
    </row>
    <row r="223" spans="3:31">
      <c r="C223" s="95">
        <v>3424</v>
      </c>
      <c r="D223" s="102" t="s">
        <v>6198</v>
      </c>
      <c r="E223" s="97">
        <v>542</v>
      </c>
      <c r="F223" s="98">
        <v>13</v>
      </c>
      <c r="G223" s="99">
        <v>35</v>
      </c>
      <c r="H223" s="98">
        <v>82</v>
      </c>
      <c r="I223" s="99">
        <v>36</v>
      </c>
      <c r="J223" s="98">
        <v>0</v>
      </c>
      <c r="K223" s="98">
        <v>0</v>
      </c>
      <c r="L223" s="98">
        <v>0</v>
      </c>
      <c r="M223" s="98">
        <v>0</v>
      </c>
      <c r="N223" s="98">
        <v>13</v>
      </c>
      <c r="O223" s="98">
        <v>2</v>
      </c>
      <c r="P223" s="98">
        <v>27</v>
      </c>
      <c r="Q223" s="98">
        <v>201</v>
      </c>
      <c r="R223" s="98">
        <v>1</v>
      </c>
      <c r="S223" s="98">
        <v>25</v>
      </c>
      <c r="T223" s="98">
        <v>0</v>
      </c>
      <c r="U223" s="98">
        <v>0</v>
      </c>
      <c r="V223" s="98">
        <v>0</v>
      </c>
      <c r="W223" s="98">
        <v>56</v>
      </c>
      <c r="X223" s="98">
        <v>0</v>
      </c>
      <c r="Y223" s="98">
        <v>1</v>
      </c>
      <c r="Z223" s="98">
        <v>7</v>
      </c>
      <c r="AA223" s="98">
        <v>29</v>
      </c>
      <c r="AB223" s="98">
        <v>7</v>
      </c>
      <c r="AC223" s="98">
        <v>2</v>
      </c>
      <c r="AD223" s="98">
        <v>2</v>
      </c>
      <c r="AE223" s="98">
        <v>3</v>
      </c>
    </row>
    <row r="224" spans="3:31">
      <c r="C224" s="95">
        <v>3425</v>
      </c>
      <c r="D224" s="102" t="s">
        <v>6198</v>
      </c>
      <c r="E224" s="97">
        <v>334</v>
      </c>
      <c r="F224" s="98">
        <v>10</v>
      </c>
      <c r="G224" s="99">
        <v>38</v>
      </c>
      <c r="H224" s="98">
        <v>92</v>
      </c>
      <c r="I224" s="99">
        <v>59</v>
      </c>
      <c r="J224" s="98">
        <v>10</v>
      </c>
      <c r="K224" s="98">
        <v>0</v>
      </c>
      <c r="L224" s="98">
        <v>0</v>
      </c>
      <c r="M224" s="98">
        <v>0</v>
      </c>
      <c r="N224" s="98">
        <v>1</v>
      </c>
      <c r="O224" s="98">
        <v>1</v>
      </c>
      <c r="P224" s="98">
        <v>11</v>
      </c>
      <c r="Q224" s="98">
        <v>54</v>
      </c>
      <c r="R224" s="98">
        <v>1</v>
      </c>
      <c r="S224" s="98">
        <v>5</v>
      </c>
      <c r="T224" s="98">
        <v>0</v>
      </c>
      <c r="U224" s="98">
        <v>0</v>
      </c>
      <c r="V224" s="98">
        <v>0</v>
      </c>
      <c r="W224" s="98">
        <v>7</v>
      </c>
      <c r="X224" s="98">
        <v>0</v>
      </c>
      <c r="Y224" s="98">
        <v>0</v>
      </c>
      <c r="Z224" s="98">
        <v>1</v>
      </c>
      <c r="AA224" s="98">
        <v>12</v>
      </c>
      <c r="AB224" s="98">
        <v>27</v>
      </c>
      <c r="AC224" s="98">
        <v>5</v>
      </c>
      <c r="AD224" s="98">
        <v>0</v>
      </c>
      <c r="AE224" s="98">
        <v>0</v>
      </c>
    </row>
    <row r="225" spans="3:31">
      <c r="C225" s="95">
        <v>3428</v>
      </c>
      <c r="D225" s="102" t="s">
        <v>6198</v>
      </c>
      <c r="E225" s="97">
        <v>341</v>
      </c>
      <c r="F225" s="98">
        <v>13</v>
      </c>
      <c r="G225" s="99">
        <v>212</v>
      </c>
      <c r="H225" s="98">
        <v>31</v>
      </c>
      <c r="I225" s="99">
        <v>16</v>
      </c>
      <c r="J225" s="98">
        <v>0</v>
      </c>
      <c r="K225" s="98">
        <v>0</v>
      </c>
      <c r="L225" s="98">
        <v>0</v>
      </c>
      <c r="M225" s="98">
        <v>0</v>
      </c>
      <c r="N225" s="98">
        <v>1</v>
      </c>
      <c r="O225" s="98">
        <v>0</v>
      </c>
      <c r="P225" s="98">
        <v>0</v>
      </c>
      <c r="Q225" s="98">
        <v>0</v>
      </c>
      <c r="R225" s="98">
        <v>2</v>
      </c>
      <c r="S225" s="98">
        <v>0</v>
      </c>
      <c r="T225" s="98">
        <v>0</v>
      </c>
      <c r="U225" s="98">
        <v>1</v>
      </c>
      <c r="V225" s="98">
        <v>0</v>
      </c>
      <c r="W225" s="98">
        <v>8</v>
      </c>
      <c r="X225" s="98">
        <v>0</v>
      </c>
      <c r="Y225" s="98">
        <v>0</v>
      </c>
      <c r="Z225" s="98">
        <v>0</v>
      </c>
      <c r="AA225" s="98">
        <v>16</v>
      </c>
      <c r="AB225" s="98">
        <v>41</v>
      </c>
      <c r="AC225" s="98">
        <v>0</v>
      </c>
      <c r="AD225" s="98">
        <v>0</v>
      </c>
      <c r="AE225" s="98">
        <v>0</v>
      </c>
    </row>
    <row r="226" spans="3:31">
      <c r="C226" s="95">
        <v>3426</v>
      </c>
      <c r="D226" s="102" t="s">
        <v>6198</v>
      </c>
      <c r="E226" s="97">
        <v>1610</v>
      </c>
      <c r="F226" s="98">
        <v>49</v>
      </c>
      <c r="G226" s="99">
        <v>451</v>
      </c>
      <c r="H226" s="98">
        <v>226</v>
      </c>
      <c r="I226" s="99">
        <v>124</v>
      </c>
      <c r="J226" s="98">
        <v>7</v>
      </c>
      <c r="K226" s="98">
        <v>0</v>
      </c>
      <c r="L226" s="98">
        <v>0</v>
      </c>
      <c r="M226" s="98">
        <v>0</v>
      </c>
      <c r="N226" s="98">
        <v>30</v>
      </c>
      <c r="O226" s="98">
        <v>31</v>
      </c>
      <c r="P226" s="98">
        <v>48</v>
      </c>
      <c r="Q226" s="98">
        <v>236</v>
      </c>
      <c r="R226" s="98">
        <v>32</v>
      </c>
      <c r="S226" s="98">
        <v>15</v>
      </c>
      <c r="T226" s="98">
        <v>0</v>
      </c>
      <c r="U226" s="98">
        <v>0</v>
      </c>
      <c r="V226" s="98">
        <v>0</v>
      </c>
      <c r="W226" s="98">
        <v>198</v>
      </c>
      <c r="X226" s="98">
        <v>29</v>
      </c>
      <c r="Y226" s="98">
        <v>5</v>
      </c>
      <c r="Z226" s="98">
        <v>2</v>
      </c>
      <c r="AA226" s="98">
        <v>44</v>
      </c>
      <c r="AB226" s="98">
        <v>79</v>
      </c>
      <c r="AC226" s="98">
        <v>4</v>
      </c>
      <c r="AD226" s="98">
        <v>0</v>
      </c>
      <c r="AE226" s="98">
        <v>0</v>
      </c>
    </row>
    <row r="227" spans="3:31">
      <c r="C227" s="95">
        <v>3427</v>
      </c>
      <c r="D227" s="102" t="s">
        <v>6198</v>
      </c>
      <c r="E227" s="97">
        <v>838</v>
      </c>
      <c r="F227" s="98">
        <v>29</v>
      </c>
      <c r="G227" s="99">
        <v>126</v>
      </c>
      <c r="H227" s="98">
        <v>317</v>
      </c>
      <c r="I227" s="99">
        <v>45</v>
      </c>
      <c r="J227" s="98">
        <v>63</v>
      </c>
      <c r="K227" s="98">
        <v>0</v>
      </c>
      <c r="L227" s="98">
        <v>0</v>
      </c>
      <c r="M227" s="98">
        <v>0</v>
      </c>
      <c r="N227" s="98">
        <v>17</v>
      </c>
      <c r="O227" s="98">
        <v>0</v>
      </c>
      <c r="P227" s="98">
        <v>29</v>
      </c>
      <c r="Q227" s="98">
        <v>121</v>
      </c>
      <c r="R227" s="98">
        <v>0</v>
      </c>
      <c r="S227" s="98">
        <v>18</v>
      </c>
      <c r="T227" s="98">
        <v>0</v>
      </c>
      <c r="U227" s="98">
        <v>0</v>
      </c>
      <c r="V227" s="98">
        <v>0</v>
      </c>
      <c r="W227" s="98">
        <v>47</v>
      </c>
      <c r="X227" s="98">
        <v>0</v>
      </c>
      <c r="Y227" s="98">
        <v>2</v>
      </c>
      <c r="Z227" s="98">
        <v>2</v>
      </c>
      <c r="AA227" s="98">
        <v>18</v>
      </c>
      <c r="AB227" s="98">
        <v>2</v>
      </c>
      <c r="AC227" s="98">
        <v>0</v>
      </c>
      <c r="AD227" s="98">
        <v>1</v>
      </c>
      <c r="AE227" s="98">
        <v>1</v>
      </c>
    </row>
    <row r="228" spans="3:31">
      <c r="C228" s="95">
        <v>3436</v>
      </c>
      <c r="D228" s="102" t="s">
        <v>6198</v>
      </c>
      <c r="E228" s="97">
        <v>394</v>
      </c>
      <c r="F228" s="98">
        <v>14</v>
      </c>
      <c r="G228" s="99">
        <v>62</v>
      </c>
      <c r="H228" s="98">
        <v>43</v>
      </c>
      <c r="I228" s="99">
        <v>62</v>
      </c>
      <c r="J228" s="98">
        <v>2</v>
      </c>
      <c r="K228" s="98">
        <v>0</v>
      </c>
      <c r="L228" s="98">
        <v>0</v>
      </c>
      <c r="M228" s="98">
        <v>0</v>
      </c>
      <c r="N228" s="98">
        <v>3</v>
      </c>
      <c r="O228" s="98">
        <v>0</v>
      </c>
      <c r="P228" s="98">
        <v>41</v>
      </c>
      <c r="Q228" s="98">
        <v>53</v>
      </c>
      <c r="R228" s="98">
        <v>1</v>
      </c>
      <c r="S228" s="98">
        <v>5</v>
      </c>
      <c r="T228" s="98">
        <v>0</v>
      </c>
      <c r="U228" s="98">
        <v>1</v>
      </c>
      <c r="V228" s="98">
        <v>0</v>
      </c>
      <c r="W228" s="98">
        <v>3</v>
      </c>
      <c r="X228" s="98">
        <v>0</v>
      </c>
      <c r="Y228" s="98">
        <v>0</v>
      </c>
      <c r="Z228" s="98">
        <v>0</v>
      </c>
      <c r="AA228" s="98">
        <v>53</v>
      </c>
      <c r="AB228" s="98">
        <v>51</v>
      </c>
      <c r="AC228" s="98">
        <v>0</v>
      </c>
      <c r="AD228" s="98">
        <v>0</v>
      </c>
      <c r="AE228" s="98">
        <v>0</v>
      </c>
    </row>
    <row r="229" spans="3:31">
      <c r="C229" s="95">
        <v>3429</v>
      </c>
      <c r="D229" s="102" t="s">
        <v>6198</v>
      </c>
      <c r="E229" s="97">
        <v>1072</v>
      </c>
      <c r="F229" s="98">
        <v>8</v>
      </c>
      <c r="G229" s="99">
        <v>141</v>
      </c>
      <c r="H229" s="98">
        <v>124</v>
      </c>
      <c r="I229" s="99">
        <v>71</v>
      </c>
      <c r="J229" s="98">
        <v>0</v>
      </c>
      <c r="K229" s="98">
        <v>0</v>
      </c>
      <c r="L229" s="98">
        <v>0</v>
      </c>
      <c r="M229" s="98">
        <v>0</v>
      </c>
      <c r="N229" s="98">
        <v>2</v>
      </c>
      <c r="O229" s="98">
        <v>0</v>
      </c>
      <c r="P229" s="98">
        <v>60</v>
      </c>
      <c r="Q229" s="98">
        <v>177</v>
      </c>
      <c r="R229" s="98">
        <v>0</v>
      </c>
      <c r="S229" s="98">
        <v>22</v>
      </c>
      <c r="T229" s="98">
        <v>0</v>
      </c>
      <c r="U229" s="98">
        <v>0</v>
      </c>
      <c r="V229" s="98">
        <v>0</v>
      </c>
      <c r="W229" s="98">
        <v>0</v>
      </c>
      <c r="X229" s="98">
        <v>0</v>
      </c>
      <c r="Y229" s="98">
        <v>0</v>
      </c>
      <c r="Z229" s="98">
        <v>4</v>
      </c>
      <c r="AA229" s="98">
        <v>0</v>
      </c>
      <c r="AB229" s="98">
        <v>460</v>
      </c>
      <c r="AC229" s="98">
        <v>3</v>
      </c>
      <c r="AD229" s="98">
        <v>0</v>
      </c>
      <c r="AE229" s="98">
        <v>0</v>
      </c>
    </row>
    <row r="230" spans="3:31">
      <c r="C230" s="95">
        <v>3430</v>
      </c>
      <c r="D230" s="102" t="s">
        <v>6198</v>
      </c>
      <c r="E230" s="97">
        <v>198</v>
      </c>
      <c r="F230" s="98">
        <v>0</v>
      </c>
      <c r="G230" s="99">
        <v>8</v>
      </c>
      <c r="H230" s="98">
        <v>11</v>
      </c>
      <c r="I230" s="99">
        <v>18</v>
      </c>
      <c r="J230" s="98">
        <v>0</v>
      </c>
      <c r="K230" s="98">
        <v>0</v>
      </c>
      <c r="L230" s="98">
        <v>0</v>
      </c>
      <c r="M230" s="98">
        <v>0</v>
      </c>
      <c r="N230" s="98">
        <v>2</v>
      </c>
      <c r="O230" s="98">
        <v>0</v>
      </c>
      <c r="P230" s="98">
        <v>5</v>
      </c>
      <c r="Q230" s="98">
        <v>101</v>
      </c>
      <c r="R230" s="98">
        <v>1</v>
      </c>
      <c r="S230" s="98">
        <v>0</v>
      </c>
      <c r="T230" s="98">
        <v>0</v>
      </c>
      <c r="U230" s="98">
        <v>0</v>
      </c>
      <c r="V230" s="98">
        <v>0</v>
      </c>
      <c r="W230" s="98">
        <v>8</v>
      </c>
      <c r="X230" s="98">
        <v>0</v>
      </c>
      <c r="Y230" s="98">
        <v>0</v>
      </c>
      <c r="Z230" s="98">
        <v>6</v>
      </c>
      <c r="AA230" s="98">
        <v>0</v>
      </c>
      <c r="AB230" s="98">
        <v>18</v>
      </c>
      <c r="AC230" s="98">
        <v>19</v>
      </c>
      <c r="AD230" s="98">
        <v>0</v>
      </c>
      <c r="AE230" s="98">
        <v>1</v>
      </c>
    </row>
    <row r="231" spans="3:31">
      <c r="C231" s="95">
        <v>3431</v>
      </c>
      <c r="D231" s="102" t="s">
        <v>6198</v>
      </c>
      <c r="E231" s="97">
        <v>1098</v>
      </c>
      <c r="F231" s="98">
        <v>38</v>
      </c>
      <c r="G231" s="99">
        <v>82</v>
      </c>
      <c r="H231" s="98">
        <v>158</v>
      </c>
      <c r="I231" s="99">
        <v>131</v>
      </c>
      <c r="J231" s="98">
        <v>0</v>
      </c>
      <c r="K231" s="98">
        <v>0</v>
      </c>
      <c r="L231" s="98">
        <v>0</v>
      </c>
      <c r="M231" s="98">
        <v>0</v>
      </c>
      <c r="N231" s="98">
        <v>7</v>
      </c>
      <c r="O231" s="98">
        <v>8</v>
      </c>
      <c r="P231" s="98">
        <v>9</v>
      </c>
      <c r="Q231" s="98">
        <v>125</v>
      </c>
      <c r="R231" s="98">
        <v>1</v>
      </c>
      <c r="S231" s="98">
        <v>13</v>
      </c>
      <c r="T231" s="98">
        <v>0</v>
      </c>
      <c r="U231" s="98">
        <v>0</v>
      </c>
      <c r="V231" s="98">
        <v>0</v>
      </c>
      <c r="W231" s="98">
        <v>289</v>
      </c>
      <c r="X231" s="98">
        <v>53</v>
      </c>
      <c r="Y231" s="98">
        <v>14</v>
      </c>
      <c r="Z231" s="98">
        <v>3</v>
      </c>
      <c r="AA231" s="98">
        <v>105</v>
      </c>
      <c r="AB231" s="98">
        <v>52</v>
      </c>
      <c r="AC231" s="98">
        <v>10</v>
      </c>
      <c r="AD231" s="98">
        <v>0</v>
      </c>
      <c r="AE231" s="98">
        <v>0</v>
      </c>
    </row>
    <row r="232" spans="3:31">
      <c r="C232" s="95">
        <v>3432</v>
      </c>
      <c r="D232" s="102" t="s">
        <v>6198</v>
      </c>
      <c r="E232" s="97">
        <v>251</v>
      </c>
      <c r="F232" s="98">
        <v>0</v>
      </c>
      <c r="G232" s="99">
        <v>1</v>
      </c>
      <c r="H232" s="98">
        <v>15</v>
      </c>
      <c r="I232" s="99">
        <v>9</v>
      </c>
      <c r="J232" s="98">
        <v>0</v>
      </c>
      <c r="K232" s="98">
        <v>0</v>
      </c>
      <c r="L232" s="98">
        <v>0</v>
      </c>
      <c r="M232" s="98">
        <v>0</v>
      </c>
      <c r="N232" s="98">
        <v>4</v>
      </c>
      <c r="O232" s="98">
        <v>2</v>
      </c>
      <c r="P232" s="98">
        <v>11</v>
      </c>
      <c r="Q232" s="98">
        <v>142</v>
      </c>
      <c r="R232" s="98">
        <v>1</v>
      </c>
      <c r="S232" s="98">
        <v>11</v>
      </c>
      <c r="T232" s="98">
        <v>0</v>
      </c>
      <c r="U232" s="98">
        <v>0</v>
      </c>
      <c r="V232" s="98">
        <v>0</v>
      </c>
      <c r="W232" s="98">
        <v>39</v>
      </c>
      <c r="X232" s="98">
        <v>0</v>
      </c>
      <c r="Y232" s="98">
        <v>4</v>
      </c>
      <c r="Z232" s="98">
        <v>5</v>
      </c>
      <c r="AA232" s="98">
        <v>0</v>
      </c>
      <c r="AB232" s="98">
        <v>0</v>
      </c>
      <c r="AC232" s="98">
        <v>6</v>
      </c>
      <c r="AD232" s="98">
        <v>0</v>
      </c>
      <c r="AE232" s="98">
        <v>1</v>
      </c>
    </row>
    <row r="233" spans="3:31">
      <c r="C233" s="95">
        <v>3433</v>
      </c>
      <c r="D233" s="102" t="s">
        <v>6198</v>
      </c>
      <c r="E233" s="97">
        <v>97</v>
      </c>
      <c r="F233" s="98">
        <v>1</v>
      </c>
      <c r="G233" s="99">
        <v>5</v>
      </c>
      <c r="H233" s="98">
        <v>1</v>
      </c>
      <c r="I233" s="99">
        <v>2</v>
      </c>
      <c r="J233" s="98">
        <v>0</v>
      </c>
      <c r="K233" s="98">
        <v>0</v>
      </c>
      <c r="L233" s="98">
        <v>0</v>
      </c>
      <c r="M233" s="98">
        <v>0</v>
      </c>
      <c r="N233" s="98">
        <v>11</v>
      </c>
      <c r="O233" s="98">
        <v>25</v>
      </c>
      <c r="P233" s="98">
        <v>0</v>
      </c>
      <c r="Q233" s="98">
        <v>29</v>
      </c>
      <c r="R233" s="98">
        <v>13</v>
      </c>
      <c r="S233" s="98">
        <v>0</v>
      </c>
      <c r="T233" s="98">
        <v>0</v>
      </c>
      <c r="U233" s="98">
        <v>0</v>
      </c>
      <c r="V233" s="98">
        <v>0</v>
      </c>
      <c r="W233" s="98">
        <v>4</v>
      </c>
      <c r="X233" s="98">
        <v>0</v>
      </c>
      <c r="Y233" s="98">
        <v>0</v>
      </c>
      <c r="Z233" s="98">
        <v>0</v>
      </c>
      <c r="AA233" s="98">
        <v>6</v>
      </c>
      <c r="AB233" s="98">
        <v>0</v>
      </c>
      <c r="AC233" s="98">
        <v>0</v>
      </c>
      <c r="AD233" s="98">
        <v>0</v>
      </c>
      <c r="AE233" s="98">
        <v>0</v>
      </c>
    </row>
    <row r="234" spans="3:31">
      <c r="C234" s="95">
        <v>3434</v>
      </c>
      <c r="D234" s="102" t="s">
        <v>6198</v>
      </c>
      <c r="E234" s="97">
        <v>51</v>
      </c>
      <c r="F234" s="98">
        <v>1</v>
      </c>
      <c r="G234" s="99">
        <v>18</v>
      </c>
      <c r="H234" s="98">
        <v>3</v>
      </c>
      <c r="I234" s="99">
        <v>8</v>
      </c>
      <c r="J234" s="98">
        <v>0</v>
      </c>
      <c r="K234" s="98">
        <v>0</v>
      </c>
      <c r="L234" s="98">
        <v>0</v>
      </c>
      <c r="M234" s="98">
        <v>0</v>
      </c>
      <c r="N234" s="98">
        <v>2</v>
      </c>
      <c r="O234" s="98">
        <v>0</v>
      </c>
      <c r="P234" s="98">
        <v>0</v>
      </c>
      <c r="Q234" s="98">
        <v>2</v>
      </c>
      <c r="R234" s="98">
        <v>2</v>
      </c>
      <c r="S234" s="98">
        <v>2</v>
      </c>
      <c r="T234" s="98">
        <v>0</v>
      </c>
      <c r="U234" s="98">
        <v>0</v>
      </c>
      <c r="V234" s="98">
        <v>0</v>
      </c>
      <c r="W234" s="98">
        <v>9</v>
      </c>
      <c r="X234" s="98">
        <v>0</v>
      </c>
      <c r="Y234" s="98">
        <v>0</v>
      </c>
      <c r="Z234" s="98">
        <v>0</v>
      </c>
      <c r="AA234" s="98">
        <v>4</v>
      </c>
      <c r="AB234" s="98">
        <v>0</v>
      </c>
      <c r="AC234" s="98">
        <v>0</v>
      </c>
      <c r="AD234" s="98">
        <v>0</v>
      </c>
      <c r="AE234" s="98">
        <v>0</v>
      </c>
    </row>
    <row r="235" spans="3:31">
      <c r="C235" s="95">
        <v>3435</v>
      </c>
      <c r="D235" s="102" t="s">
        <v>6198</v>
      </c>
      <c r="E235" s="97">
        <v>564</v>
      </c>
      <c r="F235" s="98">
        <v>12</v>
      </c>
      <c r="G235" s="99">
        <v>63</v>
      </c>
      <c r="H235" s="98">
        <v>112</v>
      </c>
      <c r="I235" s="99">
        <v>32</v>
      </c>
      <c r="J235" s="98">
        <v>0</v>
      </c>
      <c r="K235" s="98">
        <v>0</v>
      </c>
      <c r="L235" s="98">
        <v>0</v>
      </c>
      <c r="M235" s="98">
        <v>0</v>
      </c>
      <c r="N235" s="98">
        <v>16</v>
      </c>
      <c r="O235" s="98">
        <v>2</v>
      </c>
      <c r="P235" s="98">
        <v>31</v>
      </c>
      <c r="Q235" s="98">
        <v>124</v>
      </c>
      <c r="R235" s="98">
        <v>0</v>
      </c>
      <c r="S235" s="98">
        <v>21</v>
      </c>
      <c r="T235" s="98">
        <v>0</v>
      </c>
      <c r="U235" s="98">
        <v>0</v>
      </c>
      <c r="V235" s="98">
        <v>0</v>
      </c>
      <c r="W235" s="98">
        <v>59</v>
      </c>
      <c r="X235" s="98">
        <v>0</v>
      </c>
      <c r="Y235" s="98">
        <v>3</v>
      </c>
      <c r="Z235" s="98">
        <v>3</v>
      </c>
      <c r="AA235" s="98">
        <v>7</v>
      </c>
      <c r="AB235" s="98">
        <v>76</v>
      </c>
      <c r="AC235" s="98">
        <v>0</v>
      </c>
      <c r="AD235" s="98">
        <v>2</v>
      </c>
      <c r="AE235" s="98">
        <v>1</v>
      </c>
    </row>
    <row r="236" spans="3:31">
      <c r="C236" s="95">
        <v>3418</v>
      </c>
      <c r="D236" s="102" t="s">
        <v>6198</v>
      </c>
      <c r="E236" s="97">
        <v>3501</v>
      </c>
      <c r="F236" s="98">
        <v>89</v>
      </c>
      <c r="G236" s="99">
        <v>528</v>
      </c>
      <c r="H236" s="98">
        <v>399</v>
      </c>
      <c r="I236" s="99">
        <v>293</v>
      </c>
      <c r="J236" s="98">
        <v>11</v>
      </c>
      <c r="K236" s="98">
        <v>0</v>
      </c>
      <c r="L236" s="98">
        <v>0</v>
      </c>
      <c r="M236" s="98">
        <v>0</v>
      </c>
      <c r="N236" s="98">
        <v>160</v>
      </c>
      <c r="O236" s="98">
        <v>34</v>
      </c>
      <c r="P236" s="98">
        <v>167</v>
      </c>
      <c r="Q236" s="98">
        <v>754</v>
      </c>
      <c r="R236" s="98">
        <v>24</v>
      </c>
      <c r="S236" s="98">
        <v>49</v>
      </c>
      <c r="T236" s="98">
        <v>0</v>
      </c>
      <c r="U236" s="98">
        <v>0</v>
      </c>
      <c r="V236" s="98">
        <v>0</v>
      </c>
      <c r="W236" s="98">
        <v>446</v>
      </c>
      <c r="X236" s="98">
        <v>23</v>
      </c>
      <c r="Y236" s="98">
        <v>17</v>
      </c>
      <c r="Z236" s="98">
        <v>10</v>
      </c>
      <c r="AA236" s="98">
        <v>360</v>
      </c>
      <c r="AB236" s="98">
        <v>131</v>
      </c>
      <c r="AC236" s="98">
        <v>4</v>
      </c>
      <c r="AD236" s="98">
        <v>2</v>
      </c>
      <c r="AE236" s="98">
        <v>0</v>
      </c>
    </row>
    <row r="237" spans="3:31">
      <c r="C237" s="95">
        <v>3510</v>
      </c>
      <c r="D237" s="102" t="s">
        <v>6198</v>
      </c>
      <c r="E237" s="97">
        <v>82</v>
      </c>
      <c r="F237" s="98">
        <v>6</v>
      </c>
      <c r="G237" s="99">
        <v>9</v>
      </c>
      <c r="H237" s="98">
        <v>4</v>
      </c>
      <c r="I237" s="99">
        <v>8</v>
      </c>
      <c r="J237" s="98">
        <v>0</v>
      </c>
      <c r="K237" s="98">
        <v>0</v>
      </c>
      <c r="L237" s="98">
        <v>0</v>
      </c>
      <c r="M237" s="98">
        <v>0</v>
      </c>
      <c r="N237" s="98">
        <v>6</v>
      </c>
      <c r="O237" s="98">
        <v>0</v>
      </c>
      <c r="P237" s="98">
        <v>6</v>
      </c>
      <c r="Q237" s="98">
        <v>31</v>
      </c>
      <c r="R237" s="98">
        <v>0</v>
      </c>
      <c r="S237" s="98">
        <v>6</v>
      </c>
      <c r="T237" s="98">
        <v>0</v>
      </c>
      <c r="U237" s="98">
        <v>0</v>
      </c>
      <c r="V237" s="98">
        <v>0</v>
      </c>
      <c r="W237" s="98">
        <v>2</v>
      </c>
      <c r="X237" s="98">
        <v>0</v>
      </c>
      <c r="Y237" s="98">
        <v>0</v>
      </c>
      <c r="Z237" s="98">
        <v>3</v>
      </c>
      <c r="AA237" s="98">
        <v>0</v>
      </c>
      <c r="AB237" s="98">
        <v>0</v>
      </c>
      <c r="AC237" s="98">
        <v>0</v>
      </c>
      <c r="AD237" s="98">
        <v>1</v>
      </c>
      <c r="AE237" s="98">
        <v>0</v>
      </c>
    </row>
    <row r="238" spans="3:31">
      <c r="C238" s="95">
        <v>3543</v>
      </c>
      <c r="D238" s="102" t="s">
        <v>6198</v>
      </c>
      <c r="E238" s="97">
        <v>838</v>
      </c>
      <c r="F238" s="98">
        <v>0</v>
      </c>
      <c r="G238" s="99">
        <v>111</v>
      </c>
      <c r="H238" s="98">
        <v>0</v>
      </c>
      <c r="I238" s="99">
        <v>15</v>
      </c>
      <c r="J238" s="98">
        <v>0</v>
      </c>
      <c r="K238" s="98">
        <v>0</v>
      </c>
      <c r="L238" s="98">
        <v>0</v>
      </c>
      <c r="M238" s="98">
        <v>0</v>
      </c>
      <c r="N238" s="98">
        <v>43</v>
      </c>
      <c r="O238" s="98">
        <v>0</v>
      </c>
      <c r="P238" s="98">
        <v>0</v>
      </c>
      <c r="Q238" s="98">
        <v>0</v>
      </c>
      <c r="R238" s="98">
        <v>0</v>
      </c>
      <c r="S238" s="98">
        <v>21</v>
      </c>
      <c r="T238" s="98">
        <v>0</v>
      </c>
      <c r="U238" s="98">
        <v>0</v>
      </c>
      <c r="V238" s="98">
        <v>0</v>
      </c>
      <c r="W238" s="98">
        <v>560</v>
      </c>
      <c r="X238" s="98">
        <v>0</v>
      </c>
      <c r="Y238" s="98">
        <v>34</v>
      </c>
      <c r="Z238" s="98">
        <v>0</v>
      </c>
      <c r="AA238" s="98">
        <v>0</v>
      </c>
      <c r="AB238" s="98">
        <v>0</v>
      </c>
      <c r="AC238" s="98">
        <v>54</v>
      </c>
      <c r="AD238" s="98">
        <v>0</v>
      </c>
      <c r="AE238" s="98">
        <v>0</v>
      </c>
    </row>
    <row r="239" spans="3:31">
      <c r="C239" s="95">
        <v>3544</v>
      </c>
      <c r="D239" s="102" t="s">
        <v>6198</v>
      </c>
      <c r="E239" s="97">
        <v>849</v>
      </c>
      <c r="F239" s="98">
        <v>9</v>
      </c>
      <c r="G239" s="99">
        <v>17</v>
      </c>
      <c r="H239" s="98">
        <v>34</v>
      </c>
      <c r="I239" s="99">
        <v>12</v>
      </c>
      <c r="J239" s="98">
        <v>0</v>
      </c>
      <c r="K239" s="98">
        <v>0</v>
      </c>
      <c r="L239" s="98">
        <v>48</v>
      </c>
      <c r="M239" s="98">
        <v>0</v>
      </c>
      <c r="N239" s="98">
        <v>2</v>
      </c>
      <c r="O239" s="98">
        <v>0</v>
      </c>
      <c r="P239" s="98">
        <v>3</v>
      </c>
      <c r="Q239" s="98">
        <v>9</v>
      </c>
      <c r="R239" s="98">
        <v>2</v>
      </c>
      <c r="S239" s="98">
        <v>29</v>
      </c>
      <c r="T239" s="98">
        <v>0</v>
      </c>
      <c r="U239" s="98">
        <v>0</v>
      </c>
      <c r="V239" s="98">
        <v>0</v>
      </c>
      <c r="W239" s="98">
        <v>621</v>
      </c>
      <c r="X239" s="98">
        <v>0</v>
      </c>
      <c r="Y239" s="98">
        <v>50</v>
      </c>
      <c r="Z239" s="98">
        <v>0</v>
      </c>
      <c r="AA239" s="98">
        <v>7</v>
      </c>
      <c r="AB239" s="98">
        <v>6</v>
      </c>
      <c r="AC239" s="98">
        <v>0</v>
      </c>
      <c r="AD239" s="98">
        <v>0</v>
      </c>
      <c r="AE239" s="98">
        <v>0</v>
      </c>
    </row>
    <row r="240" spans="3:31">
      <c r="C240" s="95">
        <v>3545</v>
      </c>
      <c r="D240" s="102" t="s">
        <v>6198</v>
      </c>
      <c r="E240" s="97">
        <v>1443</v>
      </c>
      <c r="F240" s="98">
        <v>0</v>
      </c>
      <c r="G240" s="99">
        <v>56</v>
      </c>
      <c r="H240" s="98">
        <v>69</v>
      </c>
      <c r="I240" s="99">
        <v>81</v>
      </c>
      <c r="J240" s="98">
        <v>0</v>
      </c>
      <c r="K240" s="98">
        <v>0</v>
      </c>
      <c r="L240" s="98">
        <v>0</v>
      </c>
      <c r="M240" s="98">
        <v>0</v>
      </c>
      <c r="N240" s="98">
        <v>55</v>
      </c>
      <c r="O240" s="98">
        <v>13</v>
      </c>
      <c r="P240" s="98">
        <v>128</v>
      </c>
      <c r="Q240" s="98">
        <v>548</v>
      </c>
      <c r="R240" s="98">
        <v>81</v>
      </c>
      <c r="S240" s="98">
        <v>4</v>
      </c>
      <c r="T240" s="98">
        <v>0</v>
      </c>
      <c r="U240" s="98">
        <v>0</v>
      </c>
      <c r="V240" s="98">
        <v>45</v>
      </c>
      <c r="W240" s="98">
        <v>38</v>
      </c>
      <c r="X240" s="98">
        <v>0</v>
      </c>
      <c r="Y240" s="98">
        <v>4</v>
      </c>
      <c r="Z240" s="98">
        <v>27</v>
      </c>
      <c r="AA240" s="98">
        <v>0</v>
      </c>
      <c r="AB240" s="98">
        <v>268</v>
      </c>
      <c r="AC240" s="98">
        <v>20</v>
      </c>
      <c r="AD240" s="98">
        <v>3</v>
      </c>
      <c r="AE240" s="98">
        <v>3</v>
      </c>
    </row>
    <row r="241" spans="3:31">
      <c r="C241" s="95">
        <v>3546</v>
      </c>
      <c r="D241" s="102" t="s">
        <v>6198</v>
      </c>
      <c r="E241" s="97">
        <v>781</v>
      </c>
      <c r="F241" s="98">
        <v>0</v>
      </c>
      <c r="G241" s="99">
        <v>9</v>
      </c>
      <c r="H241" s="98">
        <v>23</v>
      </c>
      <c r="I241" s="99">
        <v>194</v>
      </c>
      <c r="J241" s="98">
        <v>0</v>
      </c>
      <c r="K241" s="98">
        <v>0</v>
      </c>
      <c r="L241" s="98">
        <v>0</v>
      </c>
      <c r="M241" s="98">
        <v>0</v>
      </c>
      <c r="N241" s="98">
        <v>6</v>
      </c>
      <c r="O241" s="98">
        <v>0</v>
      </c>
      <c r="P241" s="98">
        <v>33</v>
      </c>
      <c r="Q241" s="98">
        <v>292</v>
      </c>
      <c r="R241" s="98">
        <v>0</v>
      </c>
      <c r="S241" s="98">
        <v>2</v>
      </c>
      <c r="T241" s="98">
        <v>0</v>
      </c>
      <c r="U241" s="98">
        <v>0</v>
      </c>
      <c r="V241" s="98">
        <v>15</v>
      </c>
      <c r="W241" s="98">
        <v>83</v>
      </c>
      <c r="X241" s="98">
        <v>0</v>
      </c>
      <c r="Y241" s="98">
        <v>25</v>
      </c>
      <c r="Z241" s="98">
        <v>21</v>
      </c>
      <c r="AA241" s="98">
        <v>0</v>
      </c>
      <c r="AB241" s="98">
        <v>44</v>
      </c>
      <c r="AC241" s="98">
        <v>28</v>
      </c>
      <c r="AD241" s="98">
        <v>3</v>
      </c>
      <c r="AE241" s="98">
        <v>3</v>
      </c>
    </row>
    <row r="242" spans="3:31">
      <c r="C242" s="95">
        <v>3547</v>
      </c>
      <c r="D242" s="102" t="s">
        <v>6198</v>
      </c>
      <c r="E242" s="97">
        <v>404</v>
      </c>
      <c r="F242" s="98">
        <v>3</v>
      </c>
      <c r="G242" s="99">
        <v>7</v>
      </c>
      <c r="H242" s="98">
        <v>14</v>
      </c>
      <c r="I242" s="99">
        <v>27</v>
      </c>
      <c r="J242" s="98">
        <v>0</v>
      </c>
      <c r="K242" s="98">
        <v>0</v>
      </c>
      <c r="L242" s="98">
        <v>0</v>
      </c>
      <c r="M242" s="98">
        <v>0</v>
      </c>
      <c r="N242" s="98">
        <v>6</v>
      </c>
      <c r="O242" s="98">
        <v>4</v>
      </c>
      <c r="P242" s="98">
        <v>37</v>
      </c>
      <c r="Q242" s="98">
        <v>165</v>
      </c>
      <c r="R242" s="98">
        <v>3</v>
      </c>
      <c r="S242" s="98">
        <v>0</v>
      </c>
      <c r="T242" s="98">
        <v>0</v>
      </c>
      <c r="U242" s="98">
        <v>0</v>
      </c>
      <c r="V242" s="98">
        <v>1</v>
      </c>
      <c r="W242" s="98">
        <v>90</v>
      </c>
      <c r="X242" s="98">
        <v>0</v>
      </c>
      <c r="Y242" s="98">
        <v>7</v>
      </c>
      <c r="Z242" s="98">
        <v>8</v>
      </c>
      <c r="AA242" s="98">
        <v>2</v>
      </c>
      <c r="AB242" s="98">
        <v>27</v>
      </c>
      <c r="AC242" s="98">
        <v>1</v>
      </c>
      <c r="AD242" s="98">
        <v>2</v>
      </c>
      <c r="AE242" s="98">
        <v>0</v>
      </c>
    </row>
    <row r="243" spans="3:31">
      <c r="C243" s="95">
        <v>3548</v>
      </c>
      <c r="D243" s="102" t="s">
        <v>6198</v>
      </c>
      <c r="E243" s="97">
        <v>876</v>
      </c>
      <c r="F243" s="98">
        <v>6</v>
      </c>
      <c r="G243" s="99">
        <v>14</v>
      </c>
      <c r="H243" s="98">
        <v>72</v>
      </c>
      <c r="I243" s="99">
        <v>124</v>
      </c>
      <c r="J243" s="98">
        <v>0</v>
      </c>
      <c r="K243" s="98">
        <v>0</v>
      </c>
      <c r="L243" s="98">
        <v>0</v>
      </c>
      <c r="M243" s="98">
        <v>0</v>
      </c>
      <c r="N243" s="98">
        <v>20</v>
      </c>
      <c r="O243" s="98">
        <v>13</v>
      </c>
      <c r="P243" s="98">
        <v>28</v>
      </c>
      <c r="Q243" s="98">
        <v>216</v>
      </c>
      <c r="R243" s="98">
        <v>27</v>
      </c>
      <c r="S243" s="98">
        <v>23</v>
      </c>
      <c r="T243" s="98">
        <v>0</v>
      </c>
      <c r="U243" s="98">
        <v>0</v>
      </c>
      <c r="V243" s="98">
        <v>12</v>
      </c>
      <c r="W243" s="98">
        <v>138</v>
      </c>
      <c r="X243" s="98">
        <v>0</v>
      </c>
      <c r="Y243" s="98">
        <v>12</v>
      </c>
      <c r="Z243" s="98">
        <v>18</v>
      </c>
      <c r="AA243" s="98">
        <v>1</v>
      </c>
      <c r="AB243" s="98">
        <v>137</v>
      </c>
      <c r="AC243" s="98">
        <v>10</v>
      </c>
      <c r="AD243" s="98">
        <v>3</v>
      </c>
      <c r="AE243" s="98">
        <v>2</v>
      </c>
    </row>
    <row r="244" spans="3:31">
      <c r="C244" s="95">
        <v>3549</v>
      </c>
      <c r="D244" s="102" t="s">
        <v>6198</v>
      </c>
      <c r="E244" s="97">
        <v>2534</v>
      </c>
      <c r="F244" s="98">
        <v>37</v>
      </c>
      <c r="G244" s="99">
        <v>78</v>
      </c>
      <c r="H244" s="98">
        <v>456</v>
      </c>
      <c r="I244" s="99">
        <v>490</v>
      </c>
      <c r="J244" s="98">
        <v>6</v>
      </c>
      <c r="K244" s="98">
        <v>0</v>
      </c>
      <c r="L244" s="98">
        <v>0</v>
      </c>
      <c r="M244" s="98">
        <v>0</v>
      </c>
      <c r="N244" s="98">
        <v>32</v>
      </c>
      <c r="O244" s="98">
        <v>30</v>
      </c>
      <c r="P244" s="98">
        <v>143</v>
      </c>
      <c r="Q244" s="98">
        <v>746</v>
      </c>
      <c r="R244" s="98">
        <v>16</v>
      </c>
      <c r="S244" s="98">
        <v>20</v>
      </c>
      <c r="T244" s="98">
        <v>0</v>
      </c>
      <c r="U244" s="98">
        <v>20</v>
      </c>
      <c r="V244" s="98">
        <v>34</v>
      </c>
      <c r="W244" s="98">
        <v>6</v>
      </c>
      <c r="X244" s="98">
        <v>0</v>
      </c>
      <c r="Y244" s="98">
        <v>6</v>
      </c>
      <c r="Z244" s="98">
        <v>34</v>
      </c>
      <c r="AA244" s="98">
        <v>15</v>
      </c>
      <c r="AB244" s="98">
        <v>329</v>
      </c>
      <c r="AC244" s="98">
        <v>21</v>
      </c>
      <c r="AD244" s="98">
        <v>4</v>
      </c>
      <c r="AE244" s="98">
        <v>11</v>
      </c>
    </row>
    <row r="245" spans="3:31">
      <c r="C245" s="95">
        <v>3550</v>
      </c>
      <c r="D245" s="102" t="s">
        <v>6198</v>
      </c>
      <c r="E245" s="97">
        <v>10407</v>
      </c>
      <c r="F245" s="98">
        <v>3</v>
      </c>
      <c r="G245" s="99">
        <v>1153</v>
      </c>
      <c r="H245" s="98">
        <v>46</v>
      </c>
      <c r="I245" s="99">
        <v>34</v>
      </c>
      <c r="J245" s="98">
        <v>0</v>
      </c>
      <c r="K245" s="98">
        <v>0</v>
      </c>
      <c r="L245" s="98">
        <v>0</v>
      </c>
      <c r="M245" s="98">
        <v>0</v>
      </c>
      <c r="N245" s="98">
        <v>259</v>
      </c>
      <c r="O245" s="98">
        <v>0</v>
      </c>
      <c r="P245" s="98">
        <v>1573</v>
      </c>
      <c r="Q245" s="98">
        <v>1345</v>
      </c>
      <c r="R245" s="98">
        <v>3</v>
      </c>
      <c r="S245" s="98">
        <v>1311</v>
      </c>
      <c r="T245" s="98">
        <v>0</v>
      </c>
      <c r="U245" s="98">
        <v>0</v>
      </c>
      <c r="V245" s="98">
        <v>0</v>
      </c>
      <c r="W245" s="98">
        <v>2721</v>
      </c>
      <c r="X245" s="98">
        <v>0</v>
      </c>
      <c r="Y245" s="98">
        <v>85</v>
      </c>
      <c r="Z245" s="98">
        <v>594</v>
      </c>
      <c r="AA245" s="98">
        <v>6</v>
      </c>
      <c r="AB245" s="98">
        <v>11</v>
      </c>
      <c r="AC245" s="98">
        <v>281</v>
      </c>
      <c r="AD245" s="98">
        <v>239</v>
      </c>
      <c r="AE245" s="98">
        <v>743</v>
      </c>
    </row>
    <row r="246" spans="3:31">
      <c r="C246" s="95">
        <v>3551</v>
      </c>
      <c r="D246" s="102" t="s">
        <v>6198</v>
      </c>
      <c r="E246" s="97">
        <v>294</v>
      </c>
      <c r="F246" s="98">
        <v>5</v>
      </c>
      <c r="G246" s="99">
        <v>1</v>
      </c>
      <c r="H246" s="98">
        <v>28</v>
      </c>
      <c r="I246" s="99">
        <v>17</v>
      </c>
      <c r="J246" s="98">
        <v>0</v>
      </c>
      <c r="K246" s="98">
        <v>0</v>
      </c>
      <c r="L246" s="98">
        <v>0</v>
      </c>
      <c r="M246" s="98">
        <v>0</v>
      </c>
      <c r="N246" s="98">
        <v>46</v>
      </c>
      <c r="O246" s="98">
        <v>0</v>
      </c>
      <c r="P246" s="98">
        <v>20</v>
      </c>
      <c r="Q246" s="98">
        <v>91</v>
      </c>
      <c r="R246" s="98">
        <v>0</v>
      </c>
      <c r="S246" s="98">
        <v>17</v>
      </c>
      <c r="T246" s="98">
        <v>0</v>
      </c>
      <c r="U246" s="98">
        <v>5</v>
      </c>
      <c r="V246" s="98">
        <v>8</v>
      </c>
      <c r="W246" s="98">
        <v>28</v>
      </c>
      <c r="X246" s="98">
        <v>0</v>
      </c>
      <c r="Y246" s="98">
        <v>2</v>
      </c>
      <c r="Z246" s="98">
        <v>6</v>
      </c>
      <c r="AA246" s="98">
        <v>0</v>
      </c>
      <c r="AB246" s="98">
        <v>18</v>
      </c>
      <c r="AC246" s="98">
        <v>1</v>
      </c>
      <c r="AD246" s="98">
        <v>1</v>
      </c>
      <c r="AE246" s="98">
        <v>0</v>
      </c>
    </row>
    <row r="247" spans="3:31">
      <c r="C247" s="95">
        <v>3555</v>
      </c>
      <c r="D247" s="102" t="s">
        <v>6198</v>
      </c>
      <c r="E247" s="97">
        <v>332</v>
      </c>
      <c r="F247" s="98">
        <v>1</v>
      </c>
      <c r="G247" s="99">
        <v>13</v>
      </c>
      <c r="H247" s="98">
        <v>31</v>
      </c>
      <c r="I247" s="99">
        <v>78</v>
      </c>
      <c r="J247" s="98">
        <v>0</v>
      </c>
      <c r="K247" s="98">
        <v>0</v>
      </c>
      <c r="L247" s="98">
        <v>0</v>
      </c>
      <c r="M247" s="98">
        <v>0</v>
      </c>
      <c r="N247" s="98">
        <v>2</v>
      </c>
      <c r="O247" s="98">
        <v>0</v>
      </c>
      <c r="P247" s="98">
        <v>0</v>
      </c>
      <c r="Q247" s="98">
        <v>5</v>
      </c>
      <c r="R247" s="98">
        <v>0</v>
      </c>
      <c r="S247" s="98">
        <v>5</v>
      </c>
      <c r="T247" s="98">
        <v>0</v>
      </c>
      <c r="U247" s="98">
        <v>0</v>
      </c>
      <c r="V247" s="98">
        <v>0</v>
      </c>
      <c r="W247" s="98">
        <v>14</v>
      </c>
      <c r="X247" s="98">
        <v>0</v>
      </c>
      <c r="Y247" s="98">
        <v>2</v>
      </c>
      <c r="Z247" s="98">
        <v>1</v>
      </c>
      <c r="AA247" s="98">
        <v>1</v>
      </c>
      <c r="AB247" s="98">
        <v>169</v>
      </c>
      <c r="AC247" s="98">
        <v>9</v>
      </c>
      <c r="AD247" s="98">
        <v>1</v>
      </c>
      <c r="AE247" s="98">
        <v>0</v>
      </c>
    </row>
    <row r="248" spans="3:31">
      <c r="C248" s="95">
        <v>3419</v>
      </c>
      <c r="D248" s="102" t="s">
        <v>6198</v>
      </c>
      <c r="E248" s="97">
        <v>353</v>
      </c>
      <c r="F248" s="98">
        <v>4</v>
      </c>
      <c r="G248" s="99">
        <v>18</v>
      </c>
      <c r="H248" s="98">
        <v>88</v>
      </c>
      <c r="I248" s="99">
        <v>32</v>
      </c>
      <c r="J248" s="98">
        <v>0</v>
      </c>
      <c r="K248" s="98">
        <v>0</v>
      </c>
      <c r="L248" s="98">
        <v>0</v>
      </c>
      <c r="M248" s="98">
        <v>0</v>
      </c>
      <c r="N248" s="98">
        <v>3</v>
      </c>
      <c r="O248" s="98">
        <v>1</v>
      </c>
      <c r="P248" s="98">
        <v>19</v>
      </c>
      <c r="Q248" s="98">
        <v>86</v>
      </c>
      <c r="R248" s="98">
        <v>0</v>
      </c>
      <c r="S248" s="98">
        <v>10</v>
      </c>
      <c r="T248" s="98">
        <v>0</v>
      </c>
      <c r="U248" s="98">
        <v>0</v>
      </c>
      <c r="V248" s="98">
        <v>0</v>
      </c>
      <c r="W248" s="98">
        <v>56</v>
      </c>
      <c r="X248" s="98">
        <v>0</v>
      </c>
      <c r="Y248" s="98">
        <v>7</v>
      </c>
      <c r="Z248" s="98">
        <v>2</v>
      </c>
      <c r="AA248" s="98">
        <v>6</v>
      </c>
      <c r="AB248" s="98">
        <v>18</v>
      </c>
      <c r="AC248" s="98">
        <v>2</v>
      </c>
      <c r="AD248" s="98">
        <v>1</v>
      </c>
      <c r="AE248" s="98">
        <v>0</v>
      </c>
    </row>
    <row r="249" spans="3:31">
      <c r="C249" s="95">
        <v>3511</v>
      </c>
      <c r="D249" s="102" t="s">
        <v>6198</v>
      </c>
      <c r="E249" s="97">
        <v>1888</v>
      </c>
      <c r="F249" s="98">
        <v>7</v>
      </c>
      <c r="G249" s="99">
        <v>130</v>
      </c>
      <c r="H249" s="98">
        <v>244</v>
      </c>
      <c r="I249" s="99">
        <v>325</v>
      </c>
      <c r="J249" s="98">
        <v>0</v>
      </c>
      <c r="K249" s="98">
        <v>0</v>
      </c>
      <c r="L249" s="98">
        <v>0</v>
      </c>
      <c r="M249" s="98">
        <v>0</v>
      </c>
      <c r="N249" s="98">
        <v>20</v>
      </c>
      <c r="O249" s="98">
        <v>14</v>
      </c>
      <c r="P249" s="98">
        <v>15</v>
      </c>
      <c r="Q249" s="98">
        <v>254</v>
      </c>
      <c r="R249" s="98">
        <v>7</v>
      </c>
      <c r="S249" s="98">
        <v>35</v>
      </c>
      <c r="T249" s="98">
        <v>4</v>
      </c>
      <c r="U249" s="98">
        <v>2</v>
      </c>
      <c r="V249" s="98">
        <v>0</v>
      </c>
      <c r="W249" s="98">
        <v>228</v>
      </c>
      <c r="X249" s="98">
        <v>53</v>
      </c>
      <c r="Y249" s="98">
        <v>20</v>
      </c>
      <c r="Z249" s="98">
        <v>15</v>
      </c>
      <c r="AA249" s="98">
        <v>23</v>
      </c>
      <c r="AB249" s="98">
        <v>445</v>
      </c>
      <c r="AC249" s="98">
        <v>43</v>
      </c>
      <c r="AD249" s="98">
        <v>2</v>
      </c>
      <c r="AE249" s="98">
        <v>2</v>
      </c>
    </row>
    <row r="250" spans="3:31">
      <c r="C250" s="95">
        <v>3563</v>
      </c>
      <c r="D250" s="102" t="s">
        <v>6198</v>
      </c>
      <c r="E250" s="97">
        <v>5</v>
      </c>
      <c r="F250" s="98">
        <v>0</v>
      </c>
      <c r="G250" s="99">
        <v>0</v>
      </c>
      <c r="H250" s="98">
        <v>0</v>
      </c>
      <c r="I250" s="99">
        <v>0</v>
      </c>
      <c r="J250" s="98">
        <v>0</v>
      </c>
      <c r="K250" s="98">
        <v>0</v>
      </c>
      <c r="L250" s="98">
        <v>0</v>
      </c>
      <c r="M250" s="98">
        <v>0</v>
      </c>
      <c r="N250" s="98">
        <v>0</v>
      </c>
      <c r="O250" s="98">
        <v>0</v>
      </c>
      <c r="P250" s="98">
        <v>0</v>
      </c>
      <c r="Q250" s="98">
        <v>2</v>
      </c>
      <c r="R250" s="98">
        <v>0</v>
      </c>
      <c r="S250" s="98">
        <v>0</v>
      </c>
      <c r="T250" s="98">
        <v>0</v>
      </c>
      <c r="U250" s="98">
        <v>0</v>
      </c>
      <c r="V250" s="98">
        <v>0</v>
      </c>
      <c r="W250" s="98">
        <v>2</v>
      </c>
      <c r="X250" s="98">
        <v>0</v>
      </c>
      <c r="Y250" s="98">
        <v>1</v>
      </c>
      <c r="Z250" s="98">
        <v>0</v>
      </c>
      <c r="AA250" s="98">
        <v>0</v>
      </c>
      <c r="AB250" s="98">
        <v>0</v>
      </c>
      <c r="AC250" s="98">
        <v>0</v>
      </c>
      <c r="AD250" s="98">
        <v>0</v>
      </c>
      <c r="AE250" s="98">
        <v>0</v>
      </c>
    </row>
    <row r="251" spans="3:31">
      <c r="C251" s="95">
        <v>3571</v>
      </c>
      <c r="D251" s="102" t="s">
        <v>6198</v>
      </c>
      <c r="E251" s="97">
        <v>85</v>
      </c>
      <c r="F251" s="98">
        <v>3</v>
      </c>
      <c r="G251" s="99">
        <v>53</v>
      </c>
      <c r="H251" s="98">
        <v>8</v>
      </c>
      <c r="I251" s="99">
        <v>4</v>
      </c>
      <c r="J251" s="98">
        <v>0</v>
      </c>
      <c r="K251" s="98">
        <v>0</v>
      </c>
      <c r="L251" s="98">
        <v>0</v>
      </c>
      <c r="M251" s="98">
        <v>0</v>
      </c>
      <c r="N251" s="98">
        <v>0</v>
      </c>
      <c r="O251" s="98">
        <v>0</v>
      </c>
      <c r="P251" s="98">
        <v>0</v>
      </c>
      <c r="Q251" s="98">
        <v>0</v>
      </c>
      <c r="R251" s="98">
        <v>1</v>
      </c>
      <c r="S251" s="98">
        <v>0</v>
      </c>
      <c r="T251" s="98">
        <v>0</v>
      </c>
      <c r="U251" s="98">
        <v>0</v>
      </c>
      <c r="V251" s="98">
        <v>0</v>
      </c>
      <c r="W251" s="98">
        <v>2</v>
      </c>
      <c r="X251" s="98">
        <v>0</v>
      </c>
      <c r="Y251" s="98">
        <v>0</v>
      </c>
      <c r="Z251" s="98">
        <v>0</v>
      </c>
      <c r="AA251" s="98">
        <v>4</v>
      </c>
      <c r="AB251" s="98">
        <v>10</v>
      </c>
      <c r="AC251" s="98">
        <v>0</v>
      </c>
      <c r="AD251" s="98">
        <v>0</v>
      </c>
      <c r="AE251" s="98">
        <v>0</v>
      </c>
    </row>
    <row r="252" spans="3:31">
      <c r="C252" s="95">
        <v>3572</v>
      </c>
      <c r="D252" s="102" t="s">
        <v>6198</v>
      </c>
      <c r="E252" s="97">
        <v>54</v>
      </c>
      <c r="F252" s="98">
        <v>0</v>
      </c>
      <c r="G252" s="99">
        <v>0</v>
      </c>
      <c r="H252" s="98">
        <v>6</v>
      </c>
      <c r="I252" s="99">
        <v>4</v>
      </c>
      <c r="J252" s="98">
        <v>0</v>
      </c>
      <c r="K252" s="98">
        <v>0</v>
      </c>
      <c r="L252" s="98">
        <v>0</v>
      </c>
      <c r="M252" s="98">
        <v>0</v>
      </c>
      <c r="N252" s="98">
        <v>1</v>
      </c>
      <c r="O252" s="98">
        <v>0</v>
      </c>
      <c r="P252" s="98">
        <v>4</v>
      </c>
      <c r="Q252" s="98">
        <v>33</v>
      </c>
      <c r="R252" s="98">
        <v>0</v>
      </c>
      <c r="S252" s="98">
        <v>3</v>
      </c>
      <c r="T252" s="98">
        <v>0</v>
      </c>
      <c r="U252" s="98">
        <v>0</v>
      </c>
      <c r="V252" s="98">
        <v>0</v>
      </c>
      <c r="W252" s="98">
        <v>2</v>
      </c>
      <c r="X252" s="98">
        <v>0</v>
      </c>
      <c r="Y252" s="98">
        <v>0</v>
      </c>
      <c r="Z252" s="98">
        <v>1</v>
      </c>
      <c r="AA252" s="98">
        <v>0</v>
      </c>
      <c r="AB252" s="98">
        <v>0</v>
      </c>
      <c r="AC252" s="98">
        <v>0</v>
      </c>
      <c r="AD252" s="98">
        <v>0</v>
      </c>
      <c r="AE252" s="98">
        <v>0</v>
      </c>
    </row>
    <row r="253" spans="3:31">
      <c r="C253" s="95">
        <v>3569</v>
      </c>
      <c r="D253" s="102" t="s">
        <v>6198</v>
      </c>
      <c r="E253" s="97">
        <v>389</v>
      </c>
      <c r="F253" s="98">
        <v>12</v>
      </c>
      <c r="G253" s="99">
        <v>102</v>
      </c>
      <c r="H253" s="98">
        <v>60</v>
      </c>
      <c r="I253" s="99">
        <v>31</v>
      </c>
      <c r="J253" s="98">
        <v>2</v>
      </c>
      <c r="K253" s="98">
        <v>0</v>
      </c>
      <c r="L253" s="98">
        <v>0</v>
      </c>
      <c r="M253" s="98">
        <v>0</v>
      </c>
      <c r="N253" s="98">
        <v>8</v>
      </c>
      <c r="O253" s="98">
        <v>8</v>
      </c>
      <c r="P253" s="98">
        <v>12</v>
      </c>
      <c r="Q253" s="98">
        <v>59</v>
      </c>
      <c r="R253" s="98">
        <v>8</v>
      </c>
      <c r="S253" s="98">
        <v>4</v>
      </c>
      <c r="T253" s="98">
        <v>0</v>
      </c>
      <c r="U253" s="98">
        <v>0</v>
      </c>
      <c r="V253" s="98">
        <v>0</v>
      </c>
      <c r="W253" s="98">
        <v>43</v>
      </c>
      <c r="X253" s="98">
        <v>7</v>
      </c>
      <c r="Y253" s="98">
        <v>1</v>
      </c>
      <c r="Z253" s="98">
        <v>1</v>
      </c>
      <c r="AA253" s="98">
        <v>12</v>
      </c>
      <c r="AB253" s="98">
        <v>16</v>
      </c>
      <c r="AC253" s="98">
        <v>3</v>
      </c>
      <c r="AD253" s="98">
        <v>0</v>
      </c>
      <c r="AE253" s="98">
        <v>0</v>
      </c>
    </row>
    <row r="254" spans="3:31">
      <c r="C254" s="95">
        <v>3573</v>
      </c>
      <c r="D254" s="102" t="s">
        <v>6198</v>
      </c>
      <c r="E254" s="97">
        <v>57</v>
      </c>
      <c r="F254" s="98">
        <v>0</v>
      </c>
      <c r="G254" s="99">
        <v>3</v>
      </c>
      <c r="H254" s="98">
        <v>3</v>
      </c>
      <c r="I254" s="99">
        <v>3</v>
      </c>
      <c r="J254" s="98">
        <v>0</v>
      </c>
      <c r="K254" s="98">
        <v>0</v>
      </c>
      <c r="L254" s="98">
        <v>0</v>
      </c>
      <c r="M254" s="98">
        <v>0</v>
      </c>
      <c r="N254" s="98">
        <v>1</v>
      </c>
      <c r="O254" s="98">
        <v>0</v>
      </c>
      <c r="P254" s="98">
        <v>3</v>
      </c>
      <c r="Q254" s="98">
        <v>36</v>
      </c>
      <c r="R254" s="98">
        <v>0</v>
      </c>
      <c r="S254" s="98">
        <v>3</v>
      </c>
      <c r="T254" s="98">
        <v>0</v>
      </c>
      <c r="U254" s="98">
        <v>0</v>
      </c>
      <c r="V254" s="98">
        <v>0</v>
      </c>
      <c r="W254" s="98">
        <v>0</v>
      </c>
      <c r="X254" s="98">
        <v>0</v>
      </c>
      <c r="Y254" s="98">
        <v>0</v>
      </c>
      <c r="Z254" s="98">
        <v>1</v>
      </c>
      <c r="AA254" s="98">
        <v>0</v>
      </c>
      <c r="AB254" s="98">
        <v>0</v>
      </c>
      <c r="AC254" s="98">
        <v>4</v>
      </c>
      <c r="AD254" s="98">
        <v>0</v>
      </c>
      <c r="AE254" s="98">
        <v>0</v>
      </c>
    </row>
    <row r="255" spans="3:31">
      <c r="C255" s="95">
        <v>3570</v>
      </c>
      <c r="D255" s="102" t="s">
        <v>6198</v>
      </c>
      <c r="E255" s="97">
        <v>211</v>
      </c>
      <c r="F255" s="98">
        <v>7</v>
      </c>
      <c r="G255" s="99">
        <v>32</v>
      </c>
      <c r="H255" s="98">
        <v>79</v>
      </c>
      <c r="I255" s="99">
        <v>11</v>
      </c>
      <c r="J255" s="98">
        <v>16</v>
      </c>
      <c r="K255" s="98">
        <v>0</v>
      </c>
      <c r="L255" s="98">
        <v>0</v>
      </c>
      <c r="M255" s="98">
        <v>0</v>
      </c>
      <c r="N255" s="98">
        <v>4</v>
      </c>
      <c r="O255" s="98">
        <v>0</v>
      </c>
      <c r="P255" s="98">
        <v>7</v>
      </c>
      <c r="Q255" s="98">
        <v>30</v>
      </c>
      <c r="R255" s="98">
        <v>0</v>
      </c>
      <c r="S255" s="98">
        <v>5</v>
      </c>
      <c r="T255" s="98">
        <v>0</v>
      </c>
      <c r="U255" s="98">
        <v>0</v>
      </c>
      <c r="V255" s="98">
        <v>0</v>
      </c>
      <c r="W255" s="98">
        <v>12</v>
      </c>
      <c r="X255" s="98">
        <v>0</v>
      </c>
      <c r="Y255" s="98">
        <v>1</v>
      </c>
      <c r="Z255" s="98">
        <v>1</v>
      </c>
      <c r="AA255" s="98">
        <v>5</v>
      </c>
      <c r="AB255" s="98">
        <v>1</v>
      </c>
      <c r="AC255" s="98">
        <v>0</v>
      </c>
      <c r="AD255" s="98">
        <v>0</v>
      </c>
      <c r="AE255" s="98">
        <v>0</v>
      </c>
    </row>
    <row r="256" spans="3:31">
      <c r="C256" s="95">
        <v>3574</v>
      </c>
      <c r="D256" s="102" t="s">
        <v>6198</v>
      </c>
      <c r="E256" s="97">
        <v>26</v>
      </c>
      <c r="F256" s="98">
        <v>0</v>
      </c>
      <c r="G256" s="99">
        <v>0</v>
      </c>
      <c r="H256" s="98">
        <v>0</v>
      </c>
      <c r="I256" s="99">
        <v>0</v>
      </c>
      <c r="J256" s="98">
        <v>0</v>
      </c>
      <c r="K256" s="98">
        <v>0</v>
      </c>
      <c r="L256" s="98">
        <v>0</v>
      </c>
      <c r="M256" s="98">
        <v>0</v>
      </c>
      <c r="N256" s="98">
        <v>1</v>
      </c>
      <c r="O256" s="98">
        <v>0</v>
      </c>
      <c r="P256" s="98">
        <v>3</v>
      </c>
      <c r="Q256" s="98">
        <v>15</v>
      </c>
      <c r="R256" s="98">
        <v>0</v>
      </c>
      <c r="S256" s="98">
        <v>3</v>
      </c>
      <c r="T256" s="98">
        <v>0</v>
      </c>
      <c r="U256" s="98">
        <v>0</v>
      </c>
      <c r="V256" s="98">
        <v>0</v>
      </c>
      <c r="W256" s="98">
        <v>3</v>
      </c>
      <c r="X256" s="98">
        <v>0</v>
      </c>
      <c r="Y256" s="98">
        <v>0</v>
      </c>
      <c r="Z256" s="98">
        <v>1</v>
      </c>
      <c r="AA256" s="98">
        <v>0</v>
      </c>
      <c r="AB256" s="98">
        <v>0</v>
      </c>
      <c r="AC256" s="98">
        <v>0</v>
      </c>
      <c r="AD256" s="98">
        <v>0</v>
      </c>
      <c r="AE256" s="98">
        <v>0</v>
      </c>
    </row>
    <row r="257" spans="3:31">
      <c r="C257" s="95">
        <v>3575</v>
      </c>
      <c r="D257" s="102" t="s">
        <v>6198</v>
      </c>
      <c r="E257" s="97">
        <v>1221</v>
      </c>
      <c r="F257" s="98">
        <v>22</v>
      </c>
      <c r="G257" s="99">
        <v>94</v>
      </c>
      <c r="H257" s="98">
        <v>149</v>
      </c>
      <c r="I257" s="99">
        <v>107</v>
      </c>
      <c r="J257" s="98">
        <v>5</v>
      </c>
      <c r="K257" s="98">
        <v>0</v>
      </c>
      <c r="L257" s="98">
        <v>0</v>
      </c>
      <c r="M257" s="98">
        <v>0</v>
      </c>
      <c r="N257" s="98">
        <v>9</v>
      </c>
      <c r="O257" s="98">
        <v>2</v>
      </c>
      <c r="P257" s="98">
        <v>45</v>
      </c>
      <c r="Q257" s="98">
        <v>545</v>
      </c>
      <c r="R257" s="98">
        <v>0</v>
      </c>
      <c r="S257" s="98">
        <v>18</v>
      </c>
      <c r="T257" s="98">
        <v>0</v>
      </c>
      <c r="U257" s="98">
        <v>0</v>
      </c>
      <c r="V257" s="98">
        <v>0</v>
      </c>
      <c r="W257" s="98">
        <v>3</v>
      </c>
      <c r="X257" s="98">
        <v>6</v>
      </c>
      <c r="Y257" s="98">
        <v>1</v>
      </c>
      <c r="Z257" s="98">
        <v>2</v>
      </c>
      <c r="AA257" s="98">
        <v>29</v>
      </c>
      <c r="AB257" s="98">
        <v>164</v>
      </c>
      <c r="AC257" s="98">
        <v>19</v>
      </c>
      <c r="AD257" s="98">
        <v>1</v>
      </c>
      <c r="AE257" s="98">
        <v>0</v>
      </c>
    </row>
    <row r="258" spans="3:31">
      <c r="C258" s="95">
        <v>3576</v>
      </c>
      <c r="D258" s="102" t="s">
        <v>6198</v>
      </c>
      <c r="E258" s="97">
        <v>90</v>
      </c>
      <c r="F258" s="98">
        <v>2</v>
      </c>
      <c r="G258" s="99">
        <v>6</v>
      </c>
      <c r="H258" s="98">
        <v>15</v>
      </c>
      <c r="I258" s="99">
        <v>7</v>
      </c>
      <c r="J258" s="98">
        <v>0</v>
      </c>
      <c r="K258" s="98">
        <v>0</v>
      </c>
      <c r="L258" s="98">
        <v>0</v>
      </c>
      <c r="M258" s="98">
        <v>0</v>
      </c>
      <c r="N258" s="98">
        <v>2</v>
      </c>
      <c r="O258" s="98">
        <v>0</v>
      </c>
      <c r="P258" s="98">
        <v>4</v>
      </c>
      <c r="Q258" s="98">
        <v>35</v>
      </c>
      <c r="R258" s="98">
        <v>0</v>
      </c>
      <c r="S258" s="98">
        <v>4</v>
      </c>
      <c r="T258" s="98">
        <v>0</v>
      </c>
      <c r="U258" s="98">
        <v>0</v>
      </c>
      <c r="V258" s="98">
        <v>0</v>
      </c>
      <c r="W258" s="98">
        <v>7</v>
      </c>
      <c r="X258" s="98">
        <v>0</v>
      </c>
      <c r="Y258" s="98">
        <v>0</v>
      </c>
      <c r="Z258" s="98">
        <v>1</v>
      </c>
      <c r="AA258" s="98">
        <v>5</v>
      </c>
      <c r="AB258" s="98">
        <v>1</v>
      </c>
      <c r="AC258" s="98">
        <v>1</v>
      </c>
      <c r="AD258" s="98">
        <v>0</v>
      </c>
      <c r="AE258" s="98">
        <v>0</v>
      </c>
    </row>
    <row r="259" spans="3:31">
      <c r="C259" s="95">
        <v>3562</v>
      </c>
      <c r="D259" s="102" t="s">
        <v>6198</v>
      </c>
      <c r="E259" s="97">
        <v>258</v>
      </c>
      <c r="F259" s="98">
        <v>6</v>
      </c>
      <c r="G259" s="99">
        <v>11</v>
      </c>
      <c r="H259" s="98">
        <v>11</v>
      </c>
      <c r="I259" s="99">
        <v>13</v>
      </c>
      <c r="J259" s="98">
        <v>1</v>
      </c>
      <c r="K259" s="98">
        <v>0</v>
      </c>
      <c r="L259" s="98">
        <v>0</v>
      </c>
      <c r="M259" s="98">
        <v>0</v>
      </c>
      <c r="N259" s="98">
        <v>11</v>
      </c>
      <c r="O259" s="98">
        <v>0</v>
      </c>
      <c r="P259" s="98">
        <v>23</v>
      </c>
      <c r="Q259" s="98">
        <v>101</v>
      </c>
      <c r="R259" s="98">
        <v>0</v>
      </c>
      <c r="S259" s="98">
        <v>7</v>
      </c>
      <c r="T259" s="98">
        <v>0</v>
      </c>
      <c r="U259" s="98">
        <v>0</v>
      </c>
      <c r="V259" s="98">
        <v>0</v>
      </c>
      <c r="W259" s="98">
        <v>37</v>
      </c>
      <c r="X259" s="98">
        <v>5</v>
      </c>
      <c r="Y259" s="98">
        <v>2</v>
      </c>
      <c r="Z259" s="98">
        <v>0</v>
      </c>
      <c r="AA259" s="98">
        <v>27</v>
      </c>
      <c r="AB259" s="98">
        <v>2</v>
      </c>
      <c r="AC259" s="98">
        <v>1</v>
      </c>
      <c r="AD259" s="98">
        <v>0</v>
      </c>
      <c r="AE259" s="98">
        <v>0</v>
      </c>
    </row>
    <row r="260" spans="3:31">
      <c r="C260" s="95">
        <v>3505</v>
      </c>
      <c r="D260" s="102" t="s">
        <v>6198</v>
      </c>
      <c r="E260" s="97">
        <v>201</v>
      </c>
      <c r="F260" s="98">
        <v>0</v>
      </c>
      <c r="G260" s="99">
        <v>6</v>
      </c>
      <c r="H260" s="98">
        <v>11</v>
      </c>
      <c r="I260" s="99">
        <v>32</v>
      </c>
      <c r="J260" s="98">
        <v>0</v>
      </c>
      <c r="K260" s="98">
        <v>0</v>
      </c>
      <c r="L260" s="98">
        <v>0</v>
      </c>
      <c r="M260" s="98">
        <v>0</v>
      </c>
      <c r="N260" s="98">
        <v>12</v>
      </c>
      <c r="O260" s="98">
        <v>0</v>
      </c>
      <c r="P260" s="98">
        <v>6</v>
      </c>
      <c r="Q260" s="98">
        <v>44</v>
      </c>
      <c r="R260" s="98">
        <v>1</v>
      </c>
      <c r="S260" s="98">
        <v>0</v>
      </c>
      <c r="T260" s="98">
        <v>0</v>
      </c>
      <c r="U260" s="98">
        <v>0</v>
      </c>
      <c r="V260" s="98">
        <v>3</v>
      </c>
      <c r="W260" s="98">
        <v>24</v>
      </c>
      <c r="X260" s="98">
        <v>4</v>
      </c>
      <c r="Y260" s="98">
        <v>5</v>
      </c>
      <c r="Z260" s="98">
        <v>5</v>
      </c>
      <c r="AA260" s="98">
        <v>0</v>
      </c>
      <c r="AB260" s="98">
        <v>31</v>
      </c>
      <c r="AC260" s="98">
        <v>17</v>
      </c>
      <c r="AD260" s="98">
        <v>0</v>
      </c>
      <c r="AE260" s="98">
        <v>0</v>
      </c>
    </row>
  </sheetData>
  <mergeCells count="20">
    <mergeCell ref="E26:AE26"/>
    <mergeCell ref="A28:A120"/>
    <mergeCell ref="B121:D121"/>
    <mergeCell ref="B122:D122"/>
    <mergeCell ref="B123:D123"/>
    <mergeCell ref="B124:D124"/>
    <mergeCell ref="A7:A20"/>
    <mergeCell ref="A21:D21"/>
    <mergeCell ref="A22:D22"/>
    <mergeCell ref="A23:D23"/>
    <mergeCell ref="A26:A27"/>
    <mergeCell ref="B26:B27"/>
    <mergeCell ref="C26:C27"/>
    <mergeCell ref="D26:D27"/>
    <mergeCell ref="A3:AE3"/>
    <mergeCell ref="A5:A6"/>
    <mergeCell ref="B5:B6"/>
    <mergeCell ref="C5:C6"/>
    <mergeCell ref="D5:D6"/>
    <mergeCell ref="E5:AE5"/>
  </mergeCells>
  <printOptions horizontalCentered="1"/>
  <pageMargins left="0" right="0" top="0" bottom="0" header="0" footer="0"/>
  <pageSetup paperSize="8" scale="39" fitToHeight="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3073" r:id="rId4" name="Button 1">
              <controlPr defaultSize="0" print="0" autoFill="0" autoPict="0" macro="[0]!changeTaskStatus">
                <anchor moveWithCells="1" sizeWithCells="1"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3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074" r:id="rId5" name="Button 2">
              <controlPr defaultSize="0" print="0" autoFill="0" autoPict="0" macro="[0]!PlanSheet.paintSheet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3</xdr:col>
                    <xdr:colOff>19050</xdr:colOff>
                    <xdr:row>2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075" r:id="rId6" name="Button 3">
              <controlPr defaultSize="0" print="0" autoFill="0" autoPict="0" macro="[0]!TimingSheet.paintSheet_showTaskPriority">
                <anchor moveWithCells="1" sizeWithCells="1">
                  <from>
                    <xdr:col>3</xdr:col>
                    <xdr:colOff>9525</xdr:colOff>
                    <xdr:row>3</xdr:row>
                    <xdr:rowOff>542925</xdr:rowOff>
                  </from>
                  <to>
                    <xdr:col>3</xdr:col>
                    <xdr:colOff>4505325</xdr:colOff>
                    <xdr:row>5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1"/>
  <dimension ref="A1:D182"/>
  <sheetViews>
    <sheetView topLeftCell="A103" workbookViewId="0">
      <selection activeCell="J32" sqref="J32"/>
    </sheetView>
  </sheetViews>
  <sheetFormatPr defaultRowHeight="12.75"/>
  <cols>
    <col min="3" max="3" width="13.42578125" customWidth="1"/>
    <col min="4" max="4" width="11.7109375" customWidth="1"/>
  </cols>
  <sheetData>
    <row r="1" spans="1:4">
      <c r="A1" t="s">
        <v>496</v>
      </c>
      <c r="B1" t="s">
        <v>497</v>
      </c>
      <c r="C1" t="s">
        <v>498</v>
      </c>
      <c r="D1" t="s">
        <v>499</v>
      </c>
    </row>
    <row r="2" spans="1:4">
      <c r="A2">
        <v>3442</v>
      </c>
      <c r="B2" t="s">
        <v>5243</v>
      </c>
    </row>
    <row r="3" spans="1:4">
      <c r="A3">
        <v>3446</v>
      </c>
      <c r="B3" t="s">
        <v>5243</v>
      </c>
    </row>
    <row r="4" spans="1:4">
      <c r="A4">
        <v>3445</v>
      </c>
      <c r="B4" t="s">
        <v>5243</v>
      </c>
    </row>
    <row r="5" spans="1:4">
      <c r="A5">
        <v>3444</v>
      </c>
      <c r="B5" t="s">
        <v>5243</v>
      </c>
    </row>
    <row r="6" spans="1:4">
      <c r="A6">
        <v>3417</v>
      </c>
      <c r="B6" t="s">
        <v>5077</v>
      </c>
      <c r="C6" s="198">
        <v>44599</v>
      </c>
      <c r="D6" s="198">
        <v>44651</v>
      </c>
    </row>
    <row r="7" spans="1:4">
      <c r="A7">
        <v>3416</v>
      </c>
      <c r="B7" t="s">
        <v>5243</v>
      </c>
    </row>
    <row r="8" spans="1:4">
      <c r="A8">
        <v>3415</v>
      </c>
      <c r="B8" t="s">
        <v>5243</v>
      </c>
    </row>
    <row r="9" spans="1:4">
      <c r="A9">
        <v>3414</v>
      </c>
      <c r="B9" t="s">
        <v>5243</v>
      </c>
    </row>
    <row r="10" spans="1:4">
      <c r="A10">
        <v>3413</v>
      </c>
      <c r="B10" t="s">
        <v>5243</v>
      </c>
    </row>
    <row r="11" spans="1:4">
      <c r="A11">
        <v>3412</v>
      </c>
      <c r="B11" t="s">
        <v>5243</v>
      </c>
    </row>
    <row r="12" spans="1:4">
      <c r="A12">
        <v>3411</v>
      </c>
      <c r="B12" t="s">
        <v>5243</v>
      </c>
    </row>
    <row r="13" spans="1:4">
      <c r="A13">
        <v>3355</v>
      </c>
      <c r="B13" t="s">
        <v>5077</v>
      </c>
      <c r="C13" s="198">
        <v>44575</v>
      </c>
      <c r="D13" s="198">
        <v>44651</v>
      </c>
    </row>
    <row r="14" spans="1:4">
      <c r="A14">
        <v>3354</v>
      </c>
      <c r="B14" t="s">
        <v>5077</v>
      </c>
      <c r="C14" s="198">
        <v>44575</v>
      </c>
      <c r="D14" s="198">
        <v>44617</v>
      </c>
    </row>
    <row r="15" spans="1:4">
      <c r="A15">
        <v>3441</v>
      </c>
      <c r="B15" t="s">
        <v>5077</v>
      </c>
      <c r="C15" s="198">
        <v>44575</v>
      </c>
      <c r="D15" s="198">
        <v>44651</v>
      </c>
    </row>
    <row r="16" spans="1:4">
      <c r="A16">
        <v>3353</v>
      </c>
      <c r="B16" t="s">
        <v>5077</v>
      </c>
      <c r="C16" s="198">
        <v>44575</v>
      </c>
      <c r="D16" s="198">
        <v>44606</v>
      </c>
    </row>
    <row r="17" spans="1:4">
      <c r="A17">
        <v>3440</v>
      </c>
      <c r="B17" t="s">
        <v>5077</v>
      </c>
      <c r="C17" s="198">
        <v>44575</v>
      </c>
      <c r="D17" s="198">
        <v>44651</v>
      </c>
    </row>
    <row r="18" spans="1:4">
      <c r="A18">
        <v>3380</v>
      </c>
      <c r="B18" t="s">
        <v>5076</v>
      </c>
      <c r="C18" s="198">
        <v>44585</v>
      </c>
      <c r="D18" s="198">
        <v>44607</v>
      </c>
    </row>
    <row r="19" spans="1:4">
      <c r="A19">
        <v>3352</v>
      </c>
      <c r="B19" t="s">
        <v>5077</v>
      </c>
      <c r="C19" s="198">
        <v>44574</v>
      </c>
      <c r="D19" s="198">
        <v>44617</v>
      </c>
    </row>
    <row r="20" spans="1:4">
      <c r="A20">
        <v>3439</v>
      </c>
      <c r="B20" t="s">
        <v>5077</v>
      </c>
      <c r="C20" s="198">
        <v>44573</v>
      </c>
      <c r="D20" s="198">
        <v>44606</v>
      </c>
    </row>
    <row r="21" spans="1:4">
      <c r="A21">
        <v>3438</v>
      </c>
      <c r="B21" t="s">
        <v>5077</v>
      </c>
      <c r="C21" s="198">
        <v>44574</v>
      </c>
      <c r="D21" s="198">
        <v>44589</v>
      </c>
    </row>
    <row r="22" spans="1:4">
      <c r="A22">
        <v>3407</v>
      </c>
      <c r="B22" t="s">
        <v>5076</v>
      </c>
      <c r="C22" s="198">
        <v>44585</v>
      </c>
      <c r="D22" s="198">
        <v>44607</v>
      </c>
    </row>
    <row r="23" spans="1:4">
      <c r="A23">
        <v>3406</v>
      </c>
      <c r="B23" t="s">
        <v>5076</v>
      </c>
      <c r="C23" s="198">
        <v>44630</v>
      </c>
      <c r="D23" s="198">
        <v>44655</v>
      </c>
    </row>
    <row r="24" spans="1:4">
      <c r="A24">
        <v>3351</v>
      </c>
      <c r="B24" t="s">
        <v>5076</v>
      </c>
      <c r="C24" s="198">
        <v>44617</v>
      </c>
      <c r="D24" s="198">
        <v>44680</v>
      </c>
    </row>
    <row r="25" spans="1:4">
      <c r="A25">
        <v>3011</v>
      </c>
      <c r="B25" t="s">
        <v>5076</v>
      </c>
      <c r="C25" s="198">
        <v>44585</v>
      </c>
      <c r="D25" s="198">
        <v>44607</v>
      </c>
    </row>
    <row r="26" spans="1:4">
      <c r="A26">
        <v>3443</v>
      </c>
      <c r="B26" t="s">
        <v>5077</v>
      </c>
      <c r="C26" s="198">
        <v>44578</v>
      </c>
      <c r="D26" s="198">
        <v>44596</v>
      </c>
    </row>
    <row r="27" spans="1:4">
      <c r="A27">
        <v>3409</v>
      </c>
      <c r="B27" t="s">
        <v>5077</v>
      </c>
      <c r="C27" s="198">
        <v>44580</v>
      </c>
      <c r="D27" s="198">
        <v>44651</v>
      </c>
    </row>
    <row r="28" spans="1:4">
      <c r="A28">
        <v>3340</v>
      </c>
      <c r="B28" t="s">
        <v>5076</v>
      </c>
      <c r="C28" s="198">
        <v>44579</v>
      </c>
      <c r="D28" s="198">
        <v>44676</v>
      </c>
    </row>
    <row r="29" spans="1:4">
      <c r="A29">
        <v>3331</v>
      </c>
      <c r="B29" t="s">
        <v>5076</v>
      </c>
      <c r="C29" s="198">
        <v>44610</v>
      </c>
      <c r="D29" s="198">
        <v>44676</v>
      </c>
    </row>
    <row r="30" spans="1:4">
      <c r="A30">
        <v>3327</v>
      </c>
      <c r="B30" t="s">
        <v>5076</v>
      </c>
      <c r="C30" s="198">
        <v>44610</v>
      </c>
      <c r="D30" s="198">
        <v>44676</v>
      </c>
    </row>
    <row r="31" spans="1:4">
      <c r="A31">
        <v>3286</v>
      </c>
      <c r="B31" t="s">
        <v>5076</v>
      </c>
      <c r="C31" s="198">
        <v>44616</v>
      </c>
      <c r="D31" s="198">
        <v>44673</v>
      </c>
    </row>
    <row r="32" spans="1:4">
      <c r="A32">
        <v>3284</v>
      </c>
      <c r="B32" t="s">
        <v>5076</v>
      </c>
      <c r="C32" s="198">
        <v>44616</v>
      </c>
      <c r="D32" s="198">
        <v>44673</v>
      </c>
    </row>
    <row r="33" spans="1:4">
      <c r="A33">
        <v>3144</v>
      </c>
      <c r="B33" t="s">
        <v>5077</v>
      </c>
      <c r="C33" s="198">
        <v>44575</v>
      </c>
      <c r="D33" s="198">
        <v>44613</v>
      </c>
    </row>
    <row r="34" spans="1:4">
      <c r="A34">
        <v>3321</v>
      </c>
      <c r="B34" t="s">
        <v>5077</v>
      </c>
      <c r="D34" s="198">
        <v>44651</v>
      </c>
    </row>
    <row r="35" spans="1:4">
      <c r="A35">
        <v>3401</v>
      </c>
      <c r="B35" t="s">
        <v>5077</v>
      </c>
      <c r="C35" s="198">
        <v>44545</v>
      </c>
      <c r="D35" s="198">
        <v>44581</v>
      </c>
    </row>
    <row r="36" spans="1:4">
      <c r="A36">
        <v>3404</v>
      </c>
      <c r="B36" t="s">
        <v>5077</v>
      </c>
    </row>
    <row r="37" spans="1:4">
      <c r="A37">
        <v>3410</v>
      </c>
      <c r="B37" t="s">
        <v>5077</v>
      </c>
      <c r="C37" s="198">
        <v>44557</v>
      </c>
      <c r="D37" s="198">
        <v>44578</v>
      </c>
    </row>
    <row r="38" spans="1:4">
      <c r="A38">
        <v>3297</v>
      </c>
      <c r="B38" t="s">
        <v>5077</v>
      </c>
      <c r="C38" s="198">
        <v>44557</v>
      </c>
      <c r="D38" s="198">
        <v>44651</v>
      </c>
    </row>
    <row r="39" spans="1:4">
      <c r="A39">
        <v>3298</v>
      </c>
      <c r="B39" t="s">
        <v>5077</v>
      </c>
      <c r="C39" s="198">
        <v>44558</v>
      </c>
      <c r="D39" s="198">
        <v>44585</v>
      </c>
    </row>
    <row r="40" spans="1:4">
      <c r="A40">
        <v>3281</v>
      </c>
      <c r="B40" t="s">
        <v>5077</v>
      </c>
      <c r="C40" s="198">
        <v>44557</v>
      </c>
      <c r="D40" s="198">
        <v>44651</v>
      </c>
    </row>
    <row r="41" spans="1:4">
      <c r="A41">
        <v>3299</v>
      </c>
      <c r="B41" t="s">
        <v>5076</v>
      </c>
      <c r="C41" s="198">
        <v>44634</v>
      </c>
      <c r="D41" s="198">
        <v>44666</v>
      </c>
    </row>
    <row r="42" spans="1:4">
      <c r="A42">
        <v>3300</v>
      </c>
      <c r="B42" t="s">
        <v>5077</v>
      </c>
      <c r="C42" s="198">
        <v>44557</v>
      </c>
      <c r="D42" s="198">
        <v>44580</v>
      </c>
    </row>
    <row r="43" spans="1:4">
      <c r="A43">
        <v>3302</v>
      </c>
      <c r="B43" t="s">
        <v>5077</v>
      </c>
      <c r="D43" s="198">
        <v>44581</v>
      </c>
    </row>
    <row r="44" spans="1:4">
      <c r="A44">
        <v>3303</v>
      </c>
      <c r="B44" t="s">
        <v>5077</v>
      </c>
      <c r="D44" s="198">
        <v>44575</v>
      </c>
    </row>
    <row r="45" spans="1:4">
      <c r="A45">
        <v>3301</v>
      </c>
      <c r="B45" t="s">
        <v>5077</v>
      </c>
      <c r="C45" s="198">
        <v>44557</v>
      </c>
      <c r="D45" s="198">
        <v>44603</v>
      </c>
    </row>
    <row r="46" spans="1:4">
      <c r="A46">
        <v>3304</v>
      </c>
      <c r="B46" t="s">
        <v>5077</v>
      </c>
      <c r="D46" s="198">
        <v>44651</v>
      </c>
    </row>
    <row r="47" spans="1:4">
      <c r="A47">
        <v>3305</v>
      </c>
      <c r="B47" t="s">
        <v>5077</v>
      </c>
      <c r="D47" s="198">
        <v>44581</v>
      </c>
    </row>
    <row r="48" spans="1:4">
      <c r="A48">
        <v>3346</v>
      </c>
      <c r="B48" t="s">
        <v>5077</v>
      </c>
    </row>
    <row r="49" spans="1:4">
      <c r="A49">
        <v>3399</v>
      </c>
      <c r="B49" t="s">
        <v>5077</v>
      </c>
      <c r="C49" s="198">
        <v>44558</v>
      </c>
      <c r="D49" s="198">
        <v>44585</v>
      </c>
    </row>
    <row r="50" spans="1:4">
      <c r="A50">
        <v>3459</v>
      </c>
      <c r="B50" t="s">
        <v>5077</v>
      </c>
      <c r="C50" s="198">
        <v>44571</v>
      </c>
      <c r="D50" s="198">
        <v>44620</v>
      </c>
    </row>
    <row r="51" spans="1:4">
      <c r="A51">
        <v>3452</v>
      </c>
      <c r="B51" t="s">
        <v>5077</v>
      </c>
      <c r="C51" s="198">
        <v>44572</v>
      </c>
      <c r="D51" s="198">
        <v>44651</v>
      </c>
    </row>
    <row r="52" spans="1:4">
      <c r="A52">
        <v>3289</v>
      </c>
      <c r="B52" t="s">
        <v>5077</v>
      </c>
      <c r="C52" s="198">
        <v>44617</v>
      </c>
      <c r="D52" s="198">
        <v>44638</v>
      </c>
    </row>
    <row r="53" spans="1:4">
      <c r="A53">
        <v>3276</v>
      </c>
      <c r="B53" t="s">
        <v>5077</v>
      </c>
      <c r="C53" s="198">
        <v>44621</v>
      </c>
      <c r="D53" s="198">
        <v>44635</v>
      </c>
    </row>
    <row r="54" spans="1:4">
      <c r="A54">
        <v>3275</v>
      </c>
      <c r="B54" t="s">
        <v>5077</v>
      </c>
      <c r="C54" s="198">
        <v>44617</v>
      </c>
      <c r="D54" s="198">
        <v>44634</v>
      </c>
    </row>
    <row r="55" spans="1:4">
      <c r="A55">
        <v>3257</v>
      </c>
      <c r="B55" t="s">
        <v>5077</v>
      </c>
      <c r="C55" s="198">
        <v>44557</v>
      </c>
      <c r="D55" s="198">
        <v>44607</v>
      </c>
    </row>
    <row r="56" spans="1:4">
      <c r="A56">
        <v>3256</v>
      </c>
      <c r="B56" t="s">
        <v>5077</v>
      </c>
      <c r="C56" s="198">
        <v>44578</v>
      </c>
      <c r="D56" s="198">
        <v>44607</v>
      </c>
    </row>
    <row r="57" spans="1:4">
      <c r="A57">
        <v>3259</v>
      </c>
      <c r="B57" t="s">
        <v>5243</v>
      </c>
      <c r="C57" s="198">
        <v>44622</v>
      </c>
      <c r="D57" s="198">
        <v>44634</v>
      </c>
    </row>
    <row r="58" spans="1:4">
      <c r="A58">
        <v>3258</v>
      </c>
      <c r="B58" t="s">
        <v>5077</v>
      </c>
      <c r="C58" s="198">
        <v>44624</v>
      </c>
      <c r="D58" s="198">
        <v>44631</v>
      </c>
    </row>
    <row r="59" spans="1:4">
      <c r="A59">
        <v>3255</v>
      </c>
      <c r="B59" t="s">
        <v>5243</v>
      </c>
      <c r="C59" s="198">
        <v>44624</v>
      </c>
      <c r="D59" s="198">
        <v>44631</v>
      </c>
    </row>
    <row r="60" spans="1:4">
      <c r="A60">
        <v>3253</v>
      </c>
      <c r="B60" t="s">
        <v>5077</v>
      </c>
      <c r="C60" s="198">
        <v>44578</v>
      </c>
      <c r="D60" s="198">
        <v>44613</v>
      </c>
    </row>
    <row r="61" spans="1:4">
      <c r="A61">
        <v>3251</v>
      </c>
      <c r="B61" t="s">
        <v>5077</v>
      </c>
      <c r="C61" s="198">
        <v>44575</v>
      </c>
      <c r="D61" s="198">
        <v>44617</v>
      </c>
    </row>
    <row r="62" spans="1:4">
      <c r="A62">
        <v>3389</v>
      </c>
      <c r="B62" t="s">
        <v>5076</v>
      </c>
      <c r="C62" s="198">
        <v>44610</v>
      </c>
      <c r="D62" s="198">
        <v>44680</v>
      </c>
    </row>
    <row r="63" spans="1:4">
      <c r="A63">
        <v>3390</v>
      </c>
      <c r="B63" t="s">
        <v>5076</v>
      </c>
      <c r="C63" s="198">
        <v>44610</v>
      </c>
      <c r="D63" s="198">
        <v>44680</v>
      </c>
    </row>
    <row r="64" spans="1:4">
      <c r="A64">
        <v>3316</v>
      </c>
      <c r="B64" t="s">
        <v>5076</v>
      </c>
      <c r="C64" s="198">
        <v>44583</v>
      </c>
      <c r="D64" s="198">
        <v>44614</v>
      </c>
    </row>
    <row r="65" spans="1:4">
      <c r="A65">
        <v>3386</v>
      </c>
      <c r="B65" t="s">
        <v>5077</v>
      </c>
      <c r="C65" s="198">
        <v>44582</v>
      </c>
      <c r="D65" s="198">
        <v>44620</v>
      </c>
    </row>
    <row r="66" spans="1:4">
      <c r="A66">
        <v>3385</v>
      </c>
      <c r="B66" t="s">
        <v>5077</v>
      </c>
      <c r="C66" s="198">
        <v>44582</v>
      </c>
      <c r="D66" s="198">
        <v>44651</v>
      </c>
    </row>
    <row r="67" spans="1:4">
      <c r="A67">
        <v>3384</v>
      </c>
      <c r="B67" t="s">
        <v>5077</v>
      </c>
      <c r="C67" s="198">
        <v>44580</v>
      </c>
      <c r="D67" s="198">
        <v>44620</v>
      </c>
    </row>
    <row r="68" spans="1:4">
      <c r="A68">
        <v>3350</v>
      </c>
      <c r="B68" t="s">
        <v>5077</v>
      </c>
      <c r="C68" s="198">
        <v>44600</v>
      </c>
      <c r="D68" s="198">
        <v>44651</v>
      </c>
    </row>
    <row r="69" spans="1:4">
      <c r="A69">
        <v>3292</v>
      </c>
      <c r="B69" t="s">
        <v>5077</v>
      </c>
      <c r="D69" s="198">
        <v>44559</v>
      </c>
    </row>
    <row r="70" spans="1:4">
      <c r="A70">
        <v>3328</v>
      </c>
      <c r="B70" t="s">
        <v>5077</v>
      </c>
      <c r="D70" s="198">
        <v>44589</v>
      </c>
    </row>
    <row r="71" spans="1:4">
      <c r="A71">
        <v>3325</v>
      </c>
      <c r="B71" t="s">
        <v>5076</v>
      </c>
      <c r="C71" s="198">
        <v>44634</v>
      </c>
      <c r="D71" s="198">
        <v>44676</v>
      </c>
    </row>
    <row r="72" spans="1:4">
      <c r="A72">
        <v>3334</v>
      </c>
      <c r="B72" t="s">
        <v>5076</v>
      </c>
      <c r="C72" s="198">
        <v>44634</v>
      </c>
      <c r="D72" s="198">
        <v>44676</v>
      </c>
    </row>
    <row r="73" spans="1:4">
      <c r="A73">
        <v>3336</v>
      </c>
      <c r="B73" t="s">
        <v>5077</v>
      </c>
      <c r="D73" s="198">
        <v>44589</v>
      </c>
    </row>
    <row r="74" spans="1:4">
      <c r="A74">
        <v>3329</v>
      </c>
      <c r="B74" t="s">
        <v>5076</v>
      </c>
      <c r="C74" s="198">
        <v>44596</v>
      </c>
      <c r="D74" s="198">
        <v>44676</v>
      </c>
    </row>
    <row r="75" spans="1:4">
      <c r="A75">
        <v>3339</v>
      </c>
      <c r="B75" t="s">
        <v>5076</v>
      </c>
      <c r="C75" s="198">
        <v>44596</v>
      </c>
      <c r="D75" s="198">
        <v>44676</v>
      </c>
    </row>
    <row r="76" spans="1:4">
      <c r="A76">
        <v>3342</v>
      </c>
      <c r="B76" t="s">
        <v>5076</v>
      </c>
      <c r="C76" s="198">
        <v>44582</v>
      </c>
      <c r="D76" s="198">
        <v>44676</v>
      </c>
    </row>
    <row r="77" spans="1:4">
      <c r="A77">
        <v>3344</v>
      </c>
      <c r="B77" t="s">
        <v>5076</v>
      </c>
      <c r="C77" s="198">
        <v>44635</v>
      </c>
      <c r="D77" s="198">
        <v>44655</v>
      </c>
    </row>
    <row r="78" spans="1:4">
      <c r="A78">
        <v>3330</v>
      </c>
      <c r="B78" t="s">
        <v>5076</v>
      </c>
      <c r="C78" s="198">
        <v>44607</v>
      </c>
      <c r="D78" s="198">
        <v>44676</v>
      </c>
    </row>
    <row r="79" spans="1:4">
      <c r="A79">
        <v>3323</v>
      </c>
      <c r="B79" t="s">
        <v>5077</v>
      </c>
      <c r="C79" s="198">
        <v>44593</v>
      </c>
      <c r="D79" s="198">
        <v>44651</v>
      </c>
    </row>
    <row r="80" spans="1:4">
      <c r="A80">
        <v>3326</v>
      </c>
      <c r="B80" t="s">
        <v>5076</v>
      </c>
      <c r="C80" s="198">
        <v>44634</v>
      </c>
      <c r="D80" s="198">
        <v>44676</v>
      </c>
    </row>
    <row r="81" spans="1:4">
      <c r="A81">
        <v>3461</v>
      </c>
      <c r="B81" t="s">
        <v>5077</v>
      </c>
    </row>
    <row r="82" spans="1:4">
      <c r="A82">
        <v>3366</v>
      </c>
      <c r="B82" t="s">
        <v>5243</v>
      </c>
    </row>
    <row r="83" spans="1:4">
      <c r="A83">
        <v>3359</v>
      </c>
      <c r="B83" t="s">
        <v>5076</v>
      </c>
      <c r="C83" s="198">
        <v>44634</v>
      </c>
      <c r="D83" s="198">
        <v>44666</v>
      </c>
    </row>
    <row r="84" spans="1:4">
      <c r="A84">
        <v>3475</v>
      </c>
      <c r="B84" t="s">
        <v>5076</v>
      </c>
      <c r="C84" s="198">
        <v>44635</v>
      </c>
      <c r="D84" s="198">
        <v>44666</v>
      </c>
    </row>
    <row r="85" spans="1:4">
      <c r="A85">
        <v>3462</v>
      </c>
      <c r="B85" t="s">
        <v>5077</v>
      </c>
      <c r="C85" s="198">
        <v>44599</v>
      </c>
      <c r="D85" s="198">
        <v>44606</v>
      </c>
    </row>
    <row r="86" spans="1:4">
      <c r="A86">
        <v>3013</v>
      </c>
      <c r="B86" t="s">
        <v>5076</v>
      </c>
    </row>
    <row r="87" spans="1:4">
      <c r="A87">
        <v>3012</v>
      </c>
      <c r="B87" t="s">
        <v>5076</v>
      </c>
    </row>
    <row r="88" spans="1:4">
      <c r="A88">
        <v>3464</v>
      </c>
      <c r="B88" t="s">
        <v>5077</v>
      </c>
      <c r="C88" s="198">
        <v>44596</v>
      </c>
      <c r="D88" s="198">
        <v>44651</v>
      </c>
    </row>
    <row r="89" spans="1:4">
      <c r="A89">
        <v>3471</v>
      </c>
      <c r="B89" t="s">
        <v>5077</v>
      </c>
      <c r="C89" s="198">
        <v>44592</v>
      </c>
      <c r="D89" s="198">
        <v>44607</v>
      </c>
    </row>
    <row r="90" spans="1:4">
      <c r="A90">
        <v>3010</v>
      </c>
      <c r="B90" t="s">
        <v>5076</v>
      </c>
    </row>
    <row r="91" spans="1:4">
      <c r="A91">
        <v>3009</v>
      </c>
      <c r="B91" t="s">
        <v>5076</v>
      </c>
    </row>
    <row r="92" spans="1:4">
      <c r="A92">
        <v>3008</v>
      </c>
      <c r="B92" t="s">
        <v>5076</v>
      </c>
    </row>
    <row r="93" spans="1:4">
      <c r="A93">
        <v>3007</v>
      </c>
      <c r="B93" t="s">
        <v>5076</v>
      </c>
    </row>
    <row r="94" spans="1:4">
      <c r="A94">
        <v>3006</v>
      </c>
      <c r="B94" t="s">
        <v>5076</v>
      </c>
    </row>
    <row r="95" spans="1:4">
      <c r="A95">
        <v>3005</v>
      </c>
      <c r="B95" t="s">
        <v>5076</v>
      </c>
    </row>
    <row r="96" spans="1:4">
      <c r="A96">
        <v>3004</v>
      </c>
      <c r="B96" t="s">
        <v>5076</v>
      </c>
    </row>
    <row r="97" spans="1:4">
      <c r="A97">
        <v>3455</v>
      </c>
      <c r="B97" t="s">
        <v>5076</v>
      </c>
      <c r="C97" s="198">
        <v>44607</v>
      </c>
      <c r="D97" s="198">
        <v>44676</v>
      </c>
    </row>
    <row r="98" spans="1:4">
      <c r="A98">
        <v>3454</v>
      </c>
      <c r="B98" t="s">
        <v>5076</v>
      </c>
      <c r="C98" s="198">
        <v>44607</v>
      </c>
      <c r="D98" s="198">
        <v>44676</v>
      </c>
    </row>
    <row r="99" spans="1:4">
      <c r="A99">
        <v>3453</v>
      </c>
      <c r="B99" t="s">
        <v>5076</v>
      </c>
      <c r="C99" s="198">
        <v>44607</v>
      </c>
      <c r="D99" s="198">
        <v>44676</v>
      </c>
    </row>
    <row r="100" spans="1:4">
      <c r="A100">
        <v>3472</v>
      </c>
      <c r="B100" t="s">
        <v>5077</v>
      </c>
      <c r="D100" s="198">
        <v>44593</v>
      </c>
    </row>
    <row r="101" spans="1:4">
      <c r="A101">
        <v>3473</v>
      </c>
      <c r="B101" t="s">
        <v>5076</v>
      </c>
      <c r="C101" s="198">
        <v>44631</v>
      </c>
      <c r="D101" s="198">
        <v>44655</v>
      </c>
    </row>
    <row r="102" spans="1:4">
      <c r="A102">
        <v>3447</v>
      </c>
      <c r="B102" t="s">
        <v>5077</v>
      </c>
      <c r="D102" s="198">
        <v>44559</v>
      </c>
    </row>
    <row r="103" spans="1:4">
      <c r="A103">
        <v>3244</v>
      </c>
      <c r="B103" t="s">
        <v>5077</v>
      </c>
      <c r="C103" s="198">
        <v>44616</v>
      </c>
      <c r="D103" s="198">
        <v>44634</v>
      </c>
    </row>
    <row r="104" spans="1:4">
      <c r="A104">
        <v>3245</v>
      </c>
      <c r="B104" t="s">
        <v>5077</v>
      </c>
      <c r="C104" s="198">
        <v>44617</v>
      </c>
      <c r="D104" s="198">
        <v>44631</v>
      </c>
    </row>
    <row r="105" spans="1:4">
      <c r="A105">
        <v>3247</v>
      </c>
      <c r="B105" t="s">
        <v>5077</v>
      </c>
      <c r="C105" s="198">
        <v>44616</v>
      </c>
      <c r="D105" s="198">
        <v>44628</v>
      </c>
    </row>
    <row r="106" spans="1:4">
      <c r="A106">
        <v>3248</v>
      </c>
      <c r="B106" t="s">
        <v>5077</v>
      </c>
      <c r="C106" s="198">
        <v>44617</v>
      </c>
      <c r="D106" s="198">
        <v>44631</v>
      </c>
    </row>
    <row r="107" spans="1:4">
      <c r="A107">
        <v>3249</v>
      </c>
      <c r="B107" t="s">
        <v>5077</v>
      </c>
      <c r="C107" s="198">
        <v>44621</v>
      </c>
      <c r="D107" s="198">
        <v>44634</v>
      </c>
    </row>
    <row r="108" spans="1:4">
      <c r="A108">
        <v>3250</v>
      </c>
      <c r="B108" t="s">
        <v>5077</v>
      </c>
      <c r="C108" s="198">
        <v>44621</v>
      </c>
      <c r="D108" s="198">
        <v>44634</v>
      </c>
    </row>
    <row r="109" spans="1:4">
      <c r="A109">
        <v>3252</v>
      </c>
      <c r="B109" t="s">
        <v>5077</v>
      </c>
      <c r="C109" s="198">
        <v>44617</v>
      </c>
      <c r="D109" s="198">
        <v>44634</v>
      </c>
    </row>
    <row r="110" spans="1:4">
      <c r="A110">
        <v>3254</v>
      </c>
      <c r="B110" t="s">
        <v>5243</v>
      </c>
      <c r="C110" s="198">
        <v>44624</v>
      </c>
      <c r="D110" s="198">
        <v>44628</v>
      </c>
    </row>
    <row r="111" spans="1:4">
      <c r="A111">
        <v>3263</v>
      </c>
      <c r="B111" t="s">
        <v>5243</v>
      </c>
      <c r="C111" s="198">
        <v>44628</v>
      </c>
      <c r="D111" s="198">
        <v>44650</v>
      </c>
    </row>
    <row r="112" spans="1:4">
      <c r="A112">
        <v>3264</v>
      </c>
      <c r="B112" t="s">
        <v>5243</v>
      </c>
      <c r="C112" s="198">
        <v>44629</v>
      </c>
      <c r="D112" s="198">
        <v>44650</v>
      </c>
    </row>
    <row r="113" spans="1:4">
      <c r="A113">
        <v>3266</v>
      </c>
      <c r="B113" t="s">
        <v>5243</v>
      </c>
      <c r="C113" s="198">
        <v>44634</v>
      </c>
      <c r="D113" s="198">
        <v>44648</v>
      </c>
    </row>
    <row r="114" spans="1:4">
      <c r="A114">
        <v>3267</v>
      </c>
      <c r="B114" t="s">
        <v>5243</v>
      </c>
      <c r="C114" s="198">
        <v>44627</v>
      </c>
      <c r="D114" s="198">
        <v>44650</v>
      </c>
    </row>
    <row r="115" spans="1:4">
      <c r="A115">
        <v>3268</v>
      </c>
      <c r="B115" t="s">
        <v>5243</v>
      </c>
      <c r="C115" s="198">
        <v>44629</v>
      </c>
      <c r="D115" s="198">
        <v>44650</v>
      </c>
    </row>
    <row r="116" spans="1:4">
      <c r="A116">
        <v>3269</v>
      </c>
      <c r="B116" t="s">
        <v>5243</v>
      </c>
      <c r="C116" s="198">
        <v>44628</v>
      </c>
      <c r="D116" s="198">
        <v>44650</v>
      </c>
    </row>
    <row r="117" spans="1:4">
      <c r="A117">
        <v>3270</v>
      </c>
      <c r="B117" t="s">
        <v>5243</v>
      </c>
      <c r="C117" s="198">
        <v>44635</v>
      </c>
      <c r="D117" s="198">
        <v>44641</v>
      </c>
    </row>
    <row r="118" spans="1:4">
      <c r="A118">
        <v>3271</v>
      </c>
      <c r="B118" t="s">
        <v>5243</v>
      </c>
      <c r="C118" s="198">
        <v>44629</v>
      </c>
      <c r="D118" s="198">
        <v>44650</v>
      </c>
    </row>
    <row r="119" spans="1:4">
      <c r="A119">
        <v>3272</v>
      </c>
      <c r="B119" t="s">
        <v>5243</v>
      </c>
      <c r="C119" s="198">
        <v>44634</v>
      </c>
      <c r="D119" s="198">
        <v>44642</v>
      </c>
    </row>
    <row r="120" spans="1:4">
      <c r="A120">
        <v>3273</v>
      </c>
      <c r="B120" t="s">
        <v>5243</v>
      </c>
      <c r="C120" s="198">
        <v>44635</v>
      </c>
      <c r="D120" s="198">
        <v>44641</v>
      </c>
    </row>
    <row r="121" spans="1:4">
      <c r="A121">
        <v>3274</v>
      </c>
      <c r="B121" t="s">
        <v>5243</v>
      </c>
      <c r="C121" s="198">
        <v>44631</v>
      </c>
      <c r="D121" s="198">
        <v>44649</v>
      </c>
    </row>
    <row r="122" spans="1:4">
      <c r="A122">
        <v>3277</v>
      </c>
      <c r="B122" t="s">
        <v>5243</v>
      </c>
      <c r="C122" s="198">
        <v>44631</v>
      </c>
      <c r="D122" s="198">
        <v>44648</v>
      </c>
    </row>
    <row r="123" spans="1:4">
      <c r="A123">
        <v>3278</v>
      </c>
      <c r="B123" t="s">
        <v>5243</v>
      </c>
      <c r="C123" s="198">
        <v>44630</v>
      </c>
      <c r="D123" s="198">
        <v>44650</v>
      </c>
    </row>
    <row r="124" spans="1:4">
      <c r="A124">
        <v>3509</v>
      </c>
      <c r="B124" t="s">
        <v>5076</v>
      </c>
      <c r="C124" s="198">
        <v>44631</v>
      </c>
      <c r="D124" s="198">
        <v>44655</v>
      </c>
    </row>
    <row r="125" spans="1:4">
      <c r="A125">
        <v>3486</v>
      </c>
      <c r="B125" t="s">
        <v>5076</v>
      </c>
      <c r="C125" s="198">
        <v>44631</v>
      </c>
      <c r="D125" s="198">
        <v>44655</v>
      </c>
    </row>
    <row r="126" spans="1:4">
      <c r="A126">
        <v>3488</v>
      </c>
      <c r="B126" t="s">
        <v>5243</v>
      </c>
      <c r="D126" s="198">
        <v>44676</v>
      </c>
    </row>
    <row r="127" spans="1:4">
      <c r="A127">
        <v>3503</v>
      </c>
      <c r="B127" t="s">
        <v>5076</v>
      </c>
      <c r="C127" s="198">
        <v>44636</v>
      </c>
      <c r="D127" s="198">
        <v>44669</v>
      </c>
    </row>
    <row r="128" spans="1:4">
      <c r="A128">
        <v>3282</v>
      </c>
      <c r="B128" t="s">
        <v>5077</v>
      </c>
      <c r="D128" s="198">
        <v>44651</v>
      </c>
    </row>
    <row r="129" spans="1:4">
      <c r="A129">
        <v>3358</v>
      </c>
      <c r="B129" t="s">
        <v>5077</v>
      </c>
      <c r="D129" s="198">
        <v>44651</v>
      </c>
    </row>
    <row r="130" spans="1:4">
      <c r="A130">
        <v>3001</v>
      </c>
      <c r="B130" t="s">
        <v>5076</v>
      </c>
    </row>
    <row r="131" spans="1:4">
      <c r="A131">
        <v>3369</v>
      </c>
      <c r="B131" t="s">
        <v>5076</v>
      </c>
    </row>
    <row r="132" spans="1:4">
      <c r="A132">
        <v>3371</v>
      </c>
      <c r="B132" t="s">
        <v>5076</v>
      </c>
    </row>
    <row r="133" spans="1:4">
      <c r="A133">
        <v>3376</v>
      </c>
      <c r="B133" t="s">
        <v>5076</v>
      </c>
    </row>
    <row r="134" spans="1:4">
      <c r="A134">
        <v>3391</v>
      </c>
      <c r="B134" t="s">
        <v>5076</v>
      </c>
    </row>
    <row r="135" spans="1:4">
      <c r="A135">
        <v>3392</v>
      </c>
      <c r="B135" t="s">
        <v>5076</v>
      </c>
    </row>
    <row r="136" spans="1:4">
      <c r="A136">
        <v>3393</v>
      </c>
      <c r="B136" t="s">
        <v>5076</v>
      </c>
    </row>
    <row r="137" spans="1:4">
      <c r="A137">
        <v>3394</v>
      </c>
      <c r="B137" t="s">
        <v>5076</v>
      </c>
    </row>
    <row r="138" spans="1:4">
      <c r="A138">
        <v>3395</v>
      </c>
      <c r="B138" t="s">
        <v>5076</v>
      </c>
    </row>
    <row r="139" spans="1:4">
      <c r="A139">
        <v>3396</v>
      </c>
      <c r="B139" t="s">
        <v>5076</v>
      </c>
    </row>
    <row r="140" spans="1:4">
      <c r="A140">
        <v>3397</v>
      </c>
      <c r="B140" t="s">
        <v>5076</v>
      </c>
    </row>
    <row r="141" spans="1:4">
      <c r="A141">
        <v>3398</v>
      </c>
      <c r="B141" t="s">
        <v>5076</v>
      </c>
    </row>
    <row r="142" spans="1:4">
      <c r="A142">
        <v>3403</v>
      </c>
      <c r="B142" t="s">
        <v>5076</v>
      </c>
    </row>
    <row r="143" spans="1:4">
      <c r="A143">
        <v>3465</v>
      </c>
      <c r="B143" t="s">
        <v>5076</v>
      </c>
    </row>
    <row r="144" spans="1:4">
      <c r="A144">
        <v>3474</v>
      </c>
      <c r="B144" t="s">
        <v>5076</v>
      </c>
    </row>
    <row r="145" spans="1:2">
      <c r="A145">
        <v>3476</v>
      </c>
      <c r="B145" t="s">
        <v>5076</v>
      </c>
    </row>
    <row r="146" spans="1:2">
      <c r="A146">
        <v>3477</v>
      </c>
      <c r="B146" t="s">
        <v>5076</v>
      </c>
    </row>
    <row r="147" spans="1:2">
      <c r="A147">
        <v>3478</v>
      </c>
      <c r="B147" t="s">
        <v>5076</v>
      </c>
    </row>
    <row r="148" spans="1:2">
      <c r="A148">
        <v>3479</v>
      </c>
      <c r="B148" t="s">
        <v>5076</v>
      </c>
    </row>
    <row r="149" spans="1:2">
      <c r="A149">
        <v>3480</v>
      </c>
      <c r="B149" t="s">
        <v>5076</v>
      </c>
    </row>
    <row r="150" spans="1:2">
      <c r="A150">
        <v>3481</v>
      </c>
      <c r="B150" t="s">
        <v>5076</v>
      </c>
    </row>
    <row r="151" spans="1:2">
      <c r="A151">
        <v>3482</v>
      </c>
      <c r="B151" t="s">
        <v>5076</v>
      </c>
    </row>
    <row r="152" spans="1:2">
      <c r="A152">
        <v>3483</v>
      </c>
      <c r="B152" t="s">
        <v>5076</v>
      </c>
    </row>
    <row r="153" spans="1:2">
      <c r="A153">
        <v>3484</v>
      </c>
      <c r="B153" t="s">
        <v>5076</v>
      </c>
    </row>
    <row r="154" spans="1:2">
      <c r="A154">
        <v>3485</v>
      </c>
      <c r="B154" t="s">
        <v>5076</v>
      </c>
    </row>
    <row r="155" spans="1:2">
      <c r="A155">
        <v>3489</v>
      </c>
      <c r="B155" t="s">
        <v>5076</v>
      </c>
    </row>
    <row r="156" spans="1:2">
      <c r="A156">
        <v>3490</v>
      </c>
      <c r="B156" t="s">
        <v>5076</v>
      </c>
    </row>
    <row r="157" spans="1:2">
      <c r="A157">
        <v>3491</v>
      </c>
      <c r="B157" t="s">
        <v>5076</v>
      </c>
    </row>
    <row r="158" spans="1:2">
      <c r="A158">
        <v>3492</v>
      </c>
      <c r="B158" t="s">
        <v>5076</v>
      </c>
    </row>
    <row r="159" spans="1:2">
      <c r="A159">
        <v>3494</v>
      </c>
      <c r="B159" t="s">
        <v>5076</v>
      </c>
    </row>
    <row r="160" spans="1:2">
      <c r="A160">
        <v>3495</v>
      </c>
      <c r="B160" t="s">
        <v>5076</v>
      </c>
    </row>
    <row r="161" spans="1:2">
      <c r="A161">
        <v>3496</v>
      </c>
      <c r="B161" t="s">
        <v>5076</v>
      </c>
    </row>
    <row r="162" spans="1:2">
      <c r="A162">
        <v>3497</v>
      </c>
      <c r="B162" t="s">
        <v>5076</v>
      </c>
    </row>
    <row r="163" spans="1:2">
      <c r="A163">
        <v>3498</v>
      </c>
      <c r="B163" t="s">
        <v>5076</v>
      </c>
    </row>
    <row r="164" spans="1:2">
      <c r="A164">
        <v>3504</v>
      </c>
      <c r="B164" t="s">
        <v>5076</v>
      </c>
    </row>
    <row r="165" spans="1:2">
      <c r="A165">
        <v>3514</v>
      </c>
      <c r="B165" t="s">
        <v>5076</v>
      </c>
    </row>
    <row r="166" spans="1:2">
      <c r="A166">
        <v>3515</v>
      </c>
      <c r="B166" t="s">
        <v>5076</v>
      </c>
    </row>
    <row r="167" spans="1:2">
      <c r="A167">
        <v>3516</v>
      </c>
      <c r="B167" t="s">
        <v>5076</v>
      </c>
    </row>
    <row r="168" spans="1:2">
      <c r="A168">
        <v>3523</v>
      </c>
      <c r="B168" t="s">
        <v>5076</v>
      </c>
    </row>
    <row r="169" spans="1:2">
      <c r="A169">
        <v>3524</v>
      </c>
      <c r="B169" t="s">
        <v>5076</v>
      </c>
    </row>
    <row r="170" spans="1:2">
      <c r="A170">
        <v>3525</v>
      </c>
      <c r="B170" t="s">
        <v>5076</v>
      </c>
    </row>
    <row r="171" spans="1:2">
      <c r="A171">
        <v>3532</v>
      </c>
      <c r="B171" t="s">
        <v>5076</v>
      </c>
    </row>
    <row r="172" spans="1:2">
      <c r="A172">
        <v>3533</v>
      </c>
      <c r="B172" t="s">
        <v>5076</v>
      </c>
    </row>
    <row r="173" spans="1:2">
      <c r="A173">
        <v>3534</v>
      </c>
      <c r="B173" t="s">
        <v>5076</v>
      </c>
    </row>
    <row r="174" spans="1:2">
      <c r="A174">
        <v>3541</v>
      </c>
      <c r="B174" t="s">
        <v>5076</v>
      </c>
    </row>
    <row r="175" spans="1:2">
      <c r="A175">
        <v>3542</v>
      </c>
      <c r="B175" t="s">
        <v>5076</v>
      </c>
    </row>
    <row r="176" spans="1:2">
      <c r="A176">
        <v>3580</v>
      </c>
      <c r="B176" t="s">
        <v>5076</v>
      </c>
    </row>
    <row r="177" spans="1:2">
      <c r="A177">
        <v>3507</v>
      </c>
      <c r="B177" t="s">
        <v>5076</v>
      </c>
    </row>
    <row r="178" spans="1:2">
      <c r="A178">
        <v>3487</v>
      </c>
      <c r="B178" t="s">
        <v>5076</v>
      </c>
    </row>
    <row r="179" spans="1:2">
      <c r="A179">
        <v>3493</v>
      </c>
      <c r="B179" t="s">
        <v>5076</v>
      </c>
    </row>
    <row r="180" spans="1:2">
      <c r="A180">
        <v>3577</v>
      </c>
      <c r="B180" t="s">
        <v>5076</v>
      </c>
    </row>
    <row r="181" spans="1:2">
      <c r="A181">
        <v>3379</v>
      </c>
      <c r="B181" t="s">
        <v>5076</v>
      </c>
    </row>
    <row r="182" spans="1:2">
      <c r="A182">
        <v>3582</v>
      </c>
      <c r="B182" t="s">
        <v>5076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B168"/>
  <sheetViews>
    <sheetView topLeftCell="A133" zoomScale="200" zoomScaleNormal="200" workbookViewId="0">
      <selection activeCell="B169" sqref="B169"/>
    </sheetView>
  </sheetViews>
  <sheetFormatPr defaultRowHeight="12.75"/>
  <cols>
    <col min="2" max="2" width="11.7109375" customWidth="1"/>
  </cols>
  <sheetData>
    <row r="1" spans="1:2">
      <c r="A1" s="100" t="s">
        <v>496</v>
      </c>
      <c r="B1" s="100" t="s">
        <v>5359</v>
      </c>
    </row>
    <row r="2" spans="1:2">
      <c r="A2" s="100">
        <v>3241</v>
      </c>
      <c r="B2" s="200">
        <v>44415</v>
      </c>
    </row>
    <row r="3" spans="1:2">
      <c r="A3" s="100">
        <v>3191</v>
      </c>
      <c r="B3" s="200">
        <v>44432</v>
      </c>
    </row>
    <row r="4" spans="1:2">
      <c r="A4" s="100">
        <v>3190</v>
      </c>
      <c r="B4" s="200">
        <v>44432</v>
      </c>
    </row>
    <row r="5" spans="1:2">
      <c r="A5" s="100">
        <v>3333</v>
      </c>
      <c r="B5" s="200">
        <v>44445</v>
      </c>
    </row>
    <row r="6" spans="1:2">
      <c r="A6" s="100">
        <v>3211</v>
      </c>
      <c r="B6" s="200">
        <v>44445</v>
      </c>
    </row>
    <row r="7" spans="1:2">
      <c r="A7" s="100">
        <v>3346</v>
      </c>
      <c r="B7" s="200">
        <v>44446</v>
      </c>
    </row>
    <row r="8" spans="1:2">
      <c r="A8" s="100">
        <v>3324</v>
      </c>
      <c r="B8" s="200">
        <v>44453</v>
      </c>
    </row>
    <row r="9" spans="1:2">
      <c r="A9" s="100">
        <v>3328</v>
      </c>
      <c r="B9" s="200">
        <v>44455</v>
      </c>
    </row>
    <row r="10" spans="1:2">
      <c r="A10" s="100">
        <v>3323</v>
      </c>
      <c r="B10" s="200">
        <v>44455</v>
      </c>
    </row>
    <row r="11" spans="1:2">
      <c r="A11" s="100">
        <v>3337</v>
      </c>
      <c r="B11" s="200">
        <v>44456</v>
      </c>
    </row>
    <row r="12" spans="1:2">
      <c r="A12" s="100">
        <v>3335</v>
      </c>
      <c r="B12" s="200">
        <v>44456</v>
      </c>
    </row>
    <row r="13" spans="1:2">
      <c r="A13" s="100">
        <v>3332</v>
      </c>
      <c r="B13" s="200">
        <v>44456</v>
      </c>
    </row>
    <row r="14" spans="1:2">
      <c r="A14" s="100">
        <v>3347</v>
      </c>
      <c r="B14" s="200">
        <v>44459</v>
      </c>
    </row>
    <row r="15" spans="1:2">
      <c r="A15" s="100">
        <v>3357</v>
      </c>
      <c r="B15" s="200">
        <v>44460</v>
      </c>
    </row>
    <row r="16" spans="1:2">
      <c r="A16" s="100">
        <v>3341</v>
      </c>
      <c r="B16" s="200">
        <v>44462</v>
      </c>
    </row>
    <row r="17" spans="1:2">
      <c r="A17" s="100">
        <v>3343</v>
      </c>
      <c r="B17" s="200">
        <v>44462</v>
      </c>
    </row>
    <row r="18" spans="1:2">
      <c r="A18" s="100">
        <v>3338</v>
      </c>
      <c r="B18" s="200">
        <v>44462</v>
      </c>
    </row>
    <row r="19" spans="1:2">
      <c r="A19" s="100">
        <v>3345</v>
      </c>
      <c r="B19" s="200">
        <v>44462</v>
      </c>
    </row>
    <row r="20" spans="1:2">
      <c r="A20" s="100">
        <v>3160</v>
      </c>
      <c r="B20" s="200">
        <v>44467</v>
      </c>
    </row>
    <row r="21" spans="1:2">
      <c r="A21" s="100">
        <v>3321</v>
      </c>
      <c r="B21" s="200">
        <v>44467</v>
      </c>
    </row>
    <row r="22" spans="1:2">
      <c r="A22" s="100">
        <v>3317</v>
      </c>
      <c r="B22" s="200">
        <v>44467</v>
      </c>
    </row>
    <row r="23" spans="1:2">
      <c r="A23" s="100">
        <v>3348</v>
      </c>
      <c r="B23" s="200">
        <v>44467</v>
      </c>
    </row>
    <row r="24" spans="1:2">
      <c r="A24" s="100">
        <v>3356</v>
      </c>
      <c r="B24" s="200">
        <v>44473</v>
      </c>
    </row>
    <row r="25" spans="1:2">
      <c r="A25" s="100">
        <v>3310</v>
      </c>
      <c r="B25" s="200">
        <v>44473</v>
      </c>
    </row>
    <row r="26" spans="1:2">
      <c r="A26" s="100">
        <v>3309</v>
      </c>
      <c r="B26" s="200">
        <v>44473</v>
      </c>
    </row>
    <row r="27" spans="1:2">
      <c r="A27" s="100">
        <v>3239</v>
      </c>
      <c r="B27" s="200">
        <v>44473</v>
      </c>
    </row>
    <row r="28" spans="1:2">
      <c r="A28" s="100">
        <v>3210</v>
      </c>
      <c r="B28" s="200">
        <v>44473</v>
      </c>
    </row>
    <row r="29" spans="1:2">
      <c r="A29" s="100">
        <v>3209</v>
      </c>
      <c r="B29" s="200">
        <v>44473</v>
      </c>
    </row>
    <row r="30" spans="1:2">
      <c r="A30" s="100">
        <v>3208</v>
      </c>
      <c r="B30" s="200">
        <v>44473</v>
      </c>
    </row>
    <row r="31" spans="1:2">
      <c r="A31" s="100">
        <v>1546</v>
      </c>
      <c r="B31" s="200">
        <v>44474</v>
      </c>
    </row>
    <row r="32" spans="1:2">
      <c r="A32" s="100">
        <v>3365</v>
      </c>
      <c r="B32" s="200">
        <v>44475</v>
      </c>
    </row>
    <row r="33" spans="1:2">
      <c r="A33" s="100">
        <v>3233</v>
      </c>
      <c r="B33" s="200">
        <v>44475</v>
      </c>
    </row>
    <row r="34" spans="1:2">
      <c r="A34" s="100">
        <v>3232</v>
      </c>
      <c r="B34" s="200">
        <v>44476</v>
      </c>
    </row>
    <row r="35" spans="1:2">
      <c r="A35" s="100">
        <v>3229</v>
      </c>
      <c r="B35" s="200">
        <v>44477</v>
      </c>
    </row>
    <row r="36" spans="1:2">
      <c r="A36" s="100">
        <v>3227</v>
      </c>
      <c r="B36" s="200">
        <v>44477</v>
      </c>
    </row>
    <row r="37" spans="1:2">
      <c r="A37" s="100">
        <v>3230</v>
      </c>
      <c r="B37" s="200">
        <v>44477</v>
      </c>
    </row>
    <row r="38" spans="1:2">
      <c r="A38" s="100">
        <v>3237</v>
      </c>
      <c r="B38" s="200">
        <v>44480</v>
      </c>
    </row>
    <row r="39" spans="1:2">
      <c r="A39" s="100">
        <v>3235</v>
      </c>
      <c r="B39" s="200">
        <v>44480</v>
      </c>
    </row>
    <row r="40" spans="1:2">
      <c r="A40" s="100">
        <v>3236</v>
      </c>
      <c r="B40" s="200">
        <v>44480</v>
      </c>
    </row>
    <row r="41" spans="1:2">
      <c r="A41" s="100">
        <v>3349</v>
      </c>
      <c r="B41" s="200">
        <v>44482</v>
      </c>
    </row>
    <row r="42" spans="1:2">
      <c r="A42" s="100">
        <v>3228</v>
      </c>
      <c r="B42" s="200">
        <v>44483</v>
      </c>
    </row>
    <row r="43" spans="1:2">
      <c r="A43" s="100">
        <v>3222</v>
      </c>
      <c r="B43" s="200">
        <v>44483</v>
      </c>
    </row>
    <row r="44" spans="1:2">
      <c r="A44" s="100">
        <v>3231</v>
      </c>
      <c r="B44" s="200">
        <v>44487</v>
      </c>
    </row>
    <row r="45" spans="1:2">
      <c r="A45" s="100">
        <v>3234</v>
      </c>
      <c r="B45" s="200">
        <v>44487</v>
      </c>
    </row>
    <row r="46" spans="1:2">
      <c r="A46" s="100">
        <v>3220</v>
      </c>
      <c r="B46" s="200">
        <v>44490</v>
      </c>
    </row>
    <row r="47" spans="1:2">
      <c r="A47" s="100">
        <v>3219</v>
      </c>
      <c r="B47" s="200">
        <v>44490</v>
      </c>
    </row>
    <row r="48" spans="1:2">
      <c r="A48" s="100">
        <v>3224</v>
      </c>
      <c r="B48" s="200">
        <v>44490</v>
      </c>
    </row>
    <row r="49" spans="1:2">
      <c r="A49" s="100">
        <v>3226</v>
      </c>
      <c r="B49" s="200">
        <v>44495</v>
      </c>
    </row>
    <row r="50" spans="1:2">
      <c r="A50" s="100">
        <v>3225</v>
      </c>
      <c r="B50" s="200">
        <v>44495</v>
      </c>
    </row>
    <row r="51" spans="1:2">
      <c r="A51" s="100">
        <v>3223</v>
      </c>
      <c r="B51" s="200">
        <v>44495</v>
      </c>
    </row>
    <row r="52" spans="1:2">
      <c r="A52" s="100">
        <v>3260</v>
      </c>
      <c r="B52" s="200">
        <v>44497</v>
      </c>
    </row>
    <row r="53" spans="1:2">
      <c r="A53" s="100">
        <v>3288</v>
      </c>
      <c r="B53" s="200">
        <v>44501</v>
      </c>
    </row>
    <row r="54" spans="1:2">
      <c r="A54" s="100">
        <v>3381</v>
      </c>
      <c r="B54" s="200">
        <v>44503</v>
      </c>
    </row>
    <row r="55" spans="1:2">
      <c r="A55" s="100">
        <v>3291</v>
      </c>
      <c r="B55" s="200">
        <v>44503</v>
      </c>
    </row>
    <row r="56" spans="1:2">
      <c r="A56" s="100">
        <v>3290</v>
      </c>
      <c r="B56" s="200">
        <v>44503</v>
      </c>
    </row>
    <row r="57" spans="1:2">
      <c r="A57" s="100">
        <v>3387</v>
      </c>
      <c r="B57" s="200">
        <v>44508</v>
      </c>
    </row>
    <row r="58" spans="1:2">
      <c r="A58" s="100">
        <v>3296</v>
      </c>
      <c r="B58" s="200">
        <v>44511</v>
      </c>
    </row>
    <row r="59" spans="1:2">
      <c r="A59" s="100">
        <v>3295</v>
      </c>
      <c r="B59" s="200">
        <v>44511</v>
      </c>
    </row>
    <row r="60" spans="1:2">
      <c r="A60" s="100">
        <v>3294</v>
      </c>
      <c r="B60" s="200">
        <v>44511</v>
      </c>
    </row>
    <row r="61" spans="1:2">
      <c r="A61" s="100">
        <v>3282</v>
      </c>
      <c r="B61" s="200">
        <v>44512</v>
      </c>
    </row>
    <row r="62" spans="1:2">
      <c r="A62" s="100">
        <v>3283</v>
      </c>
      <c r="B62" s="200">
        <v>44512</v>
      </c>
    </row>
    <row r="63" spans="1:2">
      <c r="A63" s="100">
        <v>3388</v>
      </c>
      <c r="B63" s="200">
        <v>44512</v>
      </c>
    </row>
    <row r="64" spans="1:2">
      <c r="A64" s="100">
        <v>3358</v>
      </c>
      <c r="B64" s="200">
        <v>44517</v>
      </c>
    </row>
    <row r="65" spans="1:2">
      <c r="A65" s="100">
        <v>3402</v>
      </c>
      <c r="B65" s="200">
        <v>44518</v>
      </c>
    </row>
    <row r="66" spans="1:2">
      <c r="A66" s="100">
        <v>3289</v>
      </c>
      <c r="B66" s="200">
        <v>44525</v>
      </c>
    </row>
    <row r="67" spans="1:2">
      <c r="A67" s="100">
        <v>3292</v>
      </c>
      <c r="B67" s="200">
        <v>44531</v>
      </c>
    </row>
    <row r="68" spans="1:2">
      <c r="A68" s="100">
        <v>3293</v>
      </c>
      <c r="B68" s="200">
        <v>44531</v>
      </c>
    </row>
    <row r="69" spans="1:2">
      <c r="A69" s="100">
        <v>3306</v>
      </c>
      <c r="B69" s="200">
        <v>44531</v>
      </c>
    </row>
    <row r="70" spans="1:2">
      <c r="A70" s="100">
        <v>3405</v>
      </c>
      <c r="B70" s="200">
        <v>44532</v>
      </c>
    </row>
    <row r="71" spans="1:2">
      <c r="A71" s="100">
        <v>3400</v>
      </c>
      <c r="B71" s="200">
        <v>44532</v>
      </c>
    </row>
    <row r="72" spans="1:2">
      <c r="A72" s="100">
        <v>3161</v>
      </c>
      <c r="B72" s="200">
        <v>44533</v>
      </c>
    </row>
    <row r="73" spans="1:2">
      <c r="A73" s="100">
        <v>3238</v>
      </c>
      <c r="B73" s="200">
        <v>44533</v>
      </c>
    </row>
    <row r="74" spans="1:2">
      <c r="A74" s="100">
        <v>3399</v>
      </c>
      <c r="B74" s="200">
        <v>44536</v>
      </c>
    </row>
    <row r="75" spans="1:2">
      <c r="A75" s="100">
        <v>3257</v>
      </c>
      <c r="B75" s="200">
        <v>44537</v>
      </c>
    </row>
    <row r="76" spans="1:2">
      <c r="A76" s="100">
        <v>3305</v>
      </c>
      <c r="B76" s="200">
        <v>44539</v>
      </c>
    </row>
    <row r="77" spans="1:2">
      <c r="A77" s="100">
        <v>3304</v>
      </c>
      <c r="B77" s="200">
        <v>44539</v>
      </c>
    </row>
    <row r="78" spans="1:2">
      <c r="A78" s="100">
        <v>3410</v>
      </c>
      <c r="B78" s="200">
        <v>44539</v>
      </c>
    </row>
    <row r="79" spans="1:2">
      <c r="A79" s="100">
        <v>3303</v>
      </c>
      <c r="B79" s="200">
        <v>44539</v>
      </c>
    </row>
    <row r="80" spans="1:2">
      <c r="A80" s="100">
        <v>3302</v>
      </c>
      <c r="B80" s="200">
        <v>44539</v>
      </c>
    </row>
    <row r="81" spans="1:2">
      <c r="A81" s="100">
        <v>3301</v>
      </c>
      <c r="B81" s="200">
        <v>44539</v>
      </c>
    </row>
    <row r="82" spans="1:2">
      <c r="A82" s="100">
        <v>3404</v>
      </c>
      <c r="B82" s="200">
        <v>44545</v>
      </c>
    </row>
    <row r="83" spans="1:2">
      <c r="A83" s="100">
        <v>3390</v>
      </c>
      <c r="B83" s="200">
        <v>44545</v>
      </c>
    </row>
    <row r="84" spans="1:2">
      <c r="A84" s="100">
        <v>3401</v>
      </c>
      <c r="B84" s="200">
        <v>44545</v>
      </c>
    </row>
    <row r="85" spans="1:2">
      <c r="A85" s="100">
        <v>3389</v>
      </c>
      <c r="B85" s="200">
        <v>44545</v>
      </c>
    </row>
    <row r="86" spans="1:2">
      <c r="A86" s="100">
        <v>3336</v>
      </c>
      <c r="B86" s="200">
        <v>44545</v>
      </c>
    </row>
    <row r="87" spans="1:2">
      <c r="A87" s="100">
        <v>3297</v>
      </c>
      <c r="B87" s="200">
        <v>44548</v>
      </c>
    </row>
    <row r="88" spans="1:2">
      <c r="A88" s="100">
        <v>3298</v>
      </c>
      <c r="B88" s="200">
        <v>44548</v>
      </c>
    </row>
    <row r="89" spans="1:2">
      <c r="A89" s="100">
        <v>3281</v>
      </c>
      <c r="B89" s="200">
        <v>44548</v>
      </c>
    </row>
    <row r="90" spans="1:2">
      <c r="A90" s="100">
        <v>3300</v>
      </c>
      <c r="B90" s="200">
        <v>44548</v>
      </c>
    </row>
    <row r="91" spans="1:2">
      <c r="A91" s="100">
        <v>3447</v>
      </c>
      <c r="B91" s="200">
        <v>44550</v>
      </c>
    </row>
    <row r="92" spans="1:2">
      <c r="A92" s="100">
        <v>3459</v>
      </c>
      <c r="B92" s="200">
        <v>44552</v>
      </c>
    </row>
    <row r="93" spans="1:2">
      <c r="A93" s="100">
        <v>3452</v>
      </c>
      <c r="B93" s="200">
        <v>44553</v>
      </c>
    </row>
    <row r="94" spans="1:2">
      <c r="A94" s="100">
        <v>3144</v>
      </c>
      <c r="B94" s="200">
        <v>44557</v>
      </c>
    </row>
    <row r="95" spans="1:2">
      <c r="A95" s="100">
        <v>3438</v>
      </c>
      <c r="B95" s="200">
        <v>44558</v>
      </c>
    </row>
    <row r="96" spans="1:2">
      <c r="A96" s="100">
        <v>3353</v>
      </c>
      <c r="B96" s="200">
        <v>44558</v>
      </c>
    </row>
    <row r="97" spans="1:2">
      <c r="A97" s="100">
        <v>3439</v>
      </c>
      <c r="B97" s="200">
        <v>44558</v>
      </c>
    </row>
    <row r="98" spans="1:2">
      <c r="A98" s="100">
        <v>3256</v>
      </c>
      <c r="B98" s="200">
        <v>44558</v>
      </c>
    </row>
    <row r="99" spans="1:2">
      <c r="A99" s="100">
        <v>3461</v>
      </c>
      <c r="B99" s="200">
        <v>44571</v>
      </c>
    </row>
    <row r="100" spans="1:2">
      <c r="A100" s="100">
        <v>3251</v>
      </c>
      <c r="B100" s="200">
        <v>44572</v>
      </c>
    </row>
    <row r="101" spans="1:2">
      <c r="A101" s="100">
        <v>3352</v>
      </c>
      <c r="B101" s="200">
        <v>44573</v>
      </c>
    </row>
    <row r="102" spans="1:2">
      <c r="A102" s="100">
        <v>3386</v>
      </c>
      <c r="B102" s="200">
        <v>44573</v>
      </c>
    </row>
    <row r="103" spans="1:2">
      <c r="A103" s="100">
        <v>3440</v>
      </c>
      <c r="B103" s="200">
        <v>44573</v>
      </c>
    </row>
    <row r="104" spans="1:2">
      <c r="A104" s="100">
        <v>3354</v>
      </c>
      <c r="B104" s="200">
        <v>44573</v>
      </c>
    </row>
    <row r="105" spans="1:2">
      <c r="A105" s="100">
        <v>3355</v>
      </c>
      <c r="B105" s="200">
        <v>44573</v>
      </c>
    </row>
    <row r="106" spans="1:2">
      <c r="A106" s="100">
        <v>3385</v>
      </c>
      <c r="B106" s="200">
        <v>44573</v>
      </c>
    </row>
    <row r="107" spans="1:2">
      <c r="A107" s="100">
        <v>3384</v>
      </c>
      <c r="B107" s="200">
        <v>44573</v>
      </c>
    </row>
    <row r="108" spans="1:2">
      <c r="A108" s="100">
        <v>3441</v>
      </c>
      <c r="B108" s="200">
        <v>44573</v>
      </c>
    </row>
    <row r="109" spans="1:2">
      <c r="A109" s="100">
        <v>3286</v>
      </c>
      <c r="B109" s="200">
        <v>44574</v>
      </c>
    </row>
    <row r="110" spans="1:2">
      <c r="A110" s="100">
        <v>3284</v>
      </c>
      <c r="B110" s="200">
        <v>44574</v>
      </c>
    </row>
    <row r="111" spans="1:2">
      <c r="A111" s="100">
        <v>3253</v>
      </c>
      <c r="B111" s="200">
        <v>44578</v>
      </c>
    </row>
    <row r="112" spans="1:2">
      <c r="A112" s="100">
        <v>3342</v>
      </c>
      <c r="B112" s="200">
        <v>44578</v>
      </c>
    </row>
    <row r="113" spans="1:2">
      <c r="A113" s="100">
        <v>3340</v>
      </c>
      <c r="B113" s="200">
        <v>44578</v>
      </c>
    </row>
    <row r="114" spans="1:2">
      <c r="A114" s="100">
        <v>3443</v>
      </c>
      <c r="B114" s="200">
        <v>44578</v>
      </c>
    </row>
    <row r="115" spans="1:2">
      <c r="A115" s="100">
        <v>3344</v>
      </c>
      <c r="B115" s="200">
        <v>44579</v>
      </c>
    </row>
    <row r="116" spans="1:2">
      <c r="A116" s="100">
        <v>3339</v>
      </c>
      <c r="B116" s="200">
        <v>44579</v>
      </c>
    </row>
    <row r="117" spans="1:2">
      <c r="A117" s="100">
        <v>3329</v>
      </c>
      <c r="B117" s="200">
        <v>44579</v>
      </c>
    </row>
    <row r="118" spans="1:2">
      <c r="A118" s="100">
        <v>3471</v>
      </c>
      <c r="B118" s="200">
        <v>44580</v>
      </c>
    </row>
    <row r="119" spans="1:2">
      <c r="A119" s="100">
        <v>3409</v>
      </c>
      <c r="B119" s="200">
        <v>44580</v>
      </c>
    </row>
    <row r="120" spans="1:2">
      <c r="A120" s="100">
        <v>3473</v>
      </c>
      <c r="B120" s="200">
        <v>44586</v>
      </c>
    </row>
    <row r="121" spans="1:2">
      <c r="A121" s="100">
        <v>3350</v>
      </c>
      <c r="B121" s="200">
        <v>44587</v>
      </c>
    </row>
    <row r="122" spans="1:2">
      <c r="A122" s="100">
        <v>3351</v>
      </c>
      <c r="B122" s="200">
        <v>44594</v>
      </c>
    </row>
    <row r="123" spans="1:2">
      <c r="A123" s="100">
        <v>3464</v>
      </c>
      <c r="B123" s="200">
        <v>44594</v>
      </c>
    </row>
    <row r="124" spans="1:2">
      <c r="A124" s="100">
        <v>3486</v>
      </c>
      <c r="B124" s="200">
        <v>44595</v>
      </c>
    </row>
    <row r="125" spans="1:2">
      <c r="A125">
        <v>3462</v>
      </c>
      <c r="B125" s="198">
        <v>44599</v>
      </c>
    </row>
    <row r="126" spans="1:2">
      <c r="A126">
        <v>3417</v>
      </c>
      <c r="B126" s="198">
        <v>44599</v>
      </c>
    </row>
    <row r="127" spans="1:2">
      <c r="A127">
        <v>3488</v>
      </c>
      <c r="B127" s="198">
        <v>44600</v>
      </c>
    </row>
    <row r="128" spans="1:2">
      <c r="A128">
        <v>3453</v>
      </c>
      <c r="B128" s="198">
        <v>44600</v>
      </c>
    </row>
    <row r="129" spans="1:2">
      <c r="A129">
        <v>3454</v>
      </c>
      <c r="B129" s="198">
        <v>44600</v>
      </c>
    </row>
    <row r="130" spans="1:2">
      <c r="A130">
        <v>3455</v>
      </c>
      <c r="B130" s="198">
        <v>44600</v>
      </c>
    </row>
    <row r="131" spans="1:2">
      <c r="A131">
        <v>3299</v>
      </c>
      <c r="B131" s="198">
        <v>44602</v>
      </c>
    </row>
    <row r="132" spans="1:2">
      <c r="A132">
        <v>3406</v>
      </c>
      <c r="B132" s="198">
        <v>44607</v>
      </c>
    </row>
    <row r="133" spans="1:2">
      <c r="A133">
        <v>3330</v>
      </c>
      <c r="B133" s="198">
        <v>44607</v>
      </c>
    </row>
    <row r="134" spans="1:2">
      <c r="A134">
        <v>3331</v>
      </c>
      <c r="B134" s="198">
        <v>44607</v>
      </c>
    </row>
    <row r="135" spans="1:2">
      <c r="A135">
        <v>3327</v>
      </c>
      <c r="B135" s="198">
        <v>44607</v>
      </c>
    </row>
    <row r="136" spans="1:2">
      <c r="A136">
        <v>3475</v>
      </c>
      <c r="B136" s="198">
        <v>44608</v>
      </c>
    </row>
    <row r="137" spans="1:2">
      <c r="A137">
        <v>3275</v>
      </c>
      <c r="B137" s="198">
        <v>44610</v>
      </c>
    </row>
    <row r="138" spans="1:2">
      <c r="A138">
        <v>3276</v>
      </c>
      <c r="B138" s="198">
        <v>44610</v>
      </c>
    </row>
    <row r="139" spans="1:2">
      <c r="A139">
        <v>3247</v>
      </c>
      <c r="B139" s="198">
        <v>44613</v>
      </c>
    </row>
    <row r="140" spans="1:2">
      <c r="A140">
        <v>3245</v>
      </c>
      <c r="B140" s="198">
        <v>44613</v>
      </c>
    </row>
    <row r="141" spans="1:2">
      <c r="A141">
        <v>3244</v>
      </c>
      <c r="B141" s="198">
        <v>44613</v>
      </c>
    </row>
    <row r="142" spans="1:2">
      <c r="A142">
        <v>3248</v>
      </c>
      <c r="B142" s="198">
        <v>44613</v>
      </c>
    </row>
    <row r="143" spans="1:2">
      <c r="A143">
        <v>3252</v>
      </c>
      <c r="B143" s="198">
        <v>44614</v>
      </c>
    </row>
    <row r="144" spans="1:2">
      <c r="A144">
        <v>3255</v>
      </c>
      <c r="B144" s="198">
        <v>44614</v>
      </c>
    </row>
    <row r="145" spans="1:2">
      <c r="A145">
        <v>3509</v>
      </c>
      <c r="B145" s="198">
        <v>44616</v>
      </c>
    </row>
    <row r="146" spans="1:2">
      <c r="A146">
        <v>3258</v>
      </c>
      <c r="B146" s="198">
        <v>44617</v>
      </c>
    </row>
    <row r="147" spans="1:2">
      <c r="A147">
        <v>3254</v>
      </c>
      <c r="B147" s="198">
        <v>44617</v>
      </c>
    </row>
    <row r="148" spans="1:2">
      <c r="A148">
        <v>3249</v>
      </c>
      <c r="B148" s="198">
        <v>44617</v>
      </c>
    </row>
    <row r="149" spans="1:2">
      <c r="A149">
        <v>3250</v>
      </c>
      <c r="B149" s="198">
        <v>44617</v>
      </c>
    </row>
    <row r="150" spans="1:2">
      <c r="A150">
        <v>3259</v>
      </c>
      <c r="B150" s="198">
        <v>44617</v>
      </c>
    </row>
    <row r="151" spans="1:2">
      <c r="A151">
        <v>3263</v>
      </c>
      <c r="B151" s="198">
        <v>44620</v>
      </c>
    </row>
    <row r="152" spans="1:2">
      <c r="A152">
        <v>3264</v>
      </c>
      <c r="B152" s="198">
        <v>44620</v>
      </c>
    </row>
    <row r="153" spans="1:2">
      <c r="A153">
        <v>3271</v>
      </c>
      <c r="B153" s="198">
        <v>44621</v>
      </c>
    </row>
    <row r="154" spans="1:2">
      <c r="A154">
        <v>3267</v>
      </c>
      <c r="B154" s="198">
        <v>44621</v>
      </c>
    </row>
    <row r="155" spans="1:2">
      <c r="A155">
        <v>3268</v>
      </c>
      <c r="B155" s="198">
        <v>44621</v>
      </c>
    </row>
    <row r="156" spans="1:2">
      <c r="A156">
        <v>3272</v>
      </c>
      <c r="B156" s="198">
        <v>44621</v>
      </c>
    </row>
    <row r="157" spans="1:2">
      <c r="A157">
        <v>3269</v>
      </c>
      <c r="B157" s="198">
        <v>44622</v>
      </c>
    </row>
    <row r="158" spans="1:2">
      <c r="A158">
        <v>3278</v>
      </c>
      <c r="B158" s="198">
        <v>44622</v>
      </c>
    </row>
    <row r="159" spans="1:2">
      <c r="A159">
        <v>3277</v>
      </c>
      <c r="B159" s="198">
        <v>44623</v>
      </c>
    </row>
    <row r="160" spans="1:2">
      <c r="A160">
        <v>3274</v>
      </c>
      <c r="B160" s="198">
        <v>44623</v>
      </c>
    </row>
    <row r="161" spans="1:2">
      <c r="A161">
        <v>3266</v>
      </c>
      <c r="B161" s="198">
        <v>44624</v>
      </c>
    </row>
    <row r="162" spans="1:2">
      <c r="A162">
        <v>3270</v>
      </c>
      <c r="B162" s="198">
        <v>44624</v>
      </c>
    </row>
    <row r="163" spans="1:2">
      <c r="A163">
        <v>3273</v>
      </c>
      <c r="B163" s="198">
        <v>44625</v>
      </c>
    </row>
    <row r="164" spans="1:2">
      <c r="A164">
        <v>3559</v>
      </c>
      <c r="B164" s="198">
        <v>44635</v>
      </c>
    </row>
    <row r="165" spans="1:2">
      <c r="A165">
        <v>3503</v>
      </c>
      <c r="B165" s="198">
        <v>44637</v>
      </c>
    </row>
    <row r="166" spans="1:2">
      <c r="A166">
        <v>3359</v>
      </c>
      <c r="B166" s="198">
        <v>44637</v>
      </c>
    </row>
    <row r="167" spans="1:2">
      <c r="A167">
        <v>3493</v>
      </c>
      <c r="B167" s="198">
        <v>44638</v>
      </c>
    </row>
    <row r="168" spans="1:2">
      <c r="A168">
        <v>3577</v>
      </c>
      <c r="B168" s="198">
        <v>44638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AJ20"/>
  <sheetViews>
    <sheetView zoomScale="70" zoomScaleNormal="70" workbookViewId="0">
      <pane ySplit="3" topLeftCell="A4" activePane="bottomLeft" state="frozen"/>
      <selection pane="bottomLeft" activeCell="AD21" sqref="AD21"/>
    </sheetView>
  </sheetViews>
  <sheetFormatPr defaultRowHeight="12.75"/>
  <cols>
    <col min="2" max="2" width="10.42578125" customWidth="1"/>
    <col min="4" max="4" width="23.28515625" customWidth="1"/>
    <col min="8" max="8" width="10.42578125" customWidth="1"/>
  </cols>
  <sheetData>
    <row r="1" spans="1:36" ht="21">
      <c r="A1" s="137" t="s">
        <v>5906</v>
      </c>
      <c r="B1" s="137"/>
      <c r="C1" s="137"/>
      <c r="D1" s="137"/>
      <c r="E1" s="137"/>
      <c r="F1" s="137"/>
      <c r="G1" s="137"/>
      <c r="H1" s="137"/>
      <c r="I1" s="137"/>
      <c r="J1" s="137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9"/>
      <c r="AE1" s="139"/>
      <c r="AF1" s="139"/>
      <c r="AG1" s="139"/>
      <c r="AH1" s="139"/>
      <c r="AI1" s="100"/>
      <c r="AJ1" s="100"/>
    </row>
    <row r="2" spans="1:36" ht="26.25">
      <c r="A2" s="140" t="s">
        <v>500</v>
      </c>
      <c r="B2" s="140"/>
      <c r="C2" s="141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00"/>
      <c r="AJ2" s="100"/>
    </row>
    <row r="3" spans="1:36" ht="30">
      <c r="A3" s="142" t="s">
        <v>501</v>
      </c>
      <c r="B3" s="143" t="s">
        <v>502</v>
      </c>
      <c r="C3" s="142" t="s">
        <v>503</v>
      </c>
      <c r="D3" s="142" t="s">
        <v>504</v>
      </c>
      <c r="E3" s="142" t="s">
        <v>505</v>
      </c>
      <c r="F3" s="142" t="s">
        <v>506</v>
      </c>
      <c r="G3" s="143" t="s">
        <v>507</v>
      </c>
      <c r="H3" s="143" t="s">
        <v>508</v>
      </c>
      <c r="I3" s="142">
        <v>10101</v>
      </c>
      <c r="J3" s="142">
        <v>10102</v>
      </c>
      <c r="K3" s="142">
        <v>10103</v>
      </c>
      <c r="L3" s="142">
        <v>10104</v>
      </c>
      <c r="M3" s="142">
        <v>10105</v>
      </c>
      <c r="N3" s="142">
        <v>10106</v>
      </c>
      <c r="O3" s="142">
        <v>10109</v>
      </c>
      <c r="P3" s="142">
        <v>10201</v>
      </c>
      <c r="Q3" s="142">
        <v>10202</v>
      </c>
      <c r="R3" s="142">
        <v>10203</v>
      </c>
      <c r="S3" s="142">
        <v>10204</v>
      </c>
      <c r="T3" s="142">
        <v>10205</v>
      </c>
      <c r="U3" s="142">
        <v>10206</v>
      </c>
      <c r="V3" s="142">
        <v>10801</v>
      </c>
      <c r="W3" s="142">
        <v>10802</v>
      </c>
      <c r="X3" s="142">
        <v>10803</v>
      </c>
      <c r="Y3" s="142">
        <v>10804</v>
      </c>
      <c r="Z3" s="142">
        <v>11101</v>
      </c>
      <c r="AA3" s="142">
        <v>11102</v>
      </c>
      <c r="AB3" s="142">
        <v>11103</v>
      </c>
      <c r="AC3" s="142">
        <v>11401</v>
      </c>
      <c r="AD3" s="142">
        <v>11402</v>
      </c>
      <c r="AE3" s="142">
        <v>11403</v>
      </c>
      <c r="AF3" s="142">
        <v>11404</v>
      </c>
      <c r="AG3" s="142">
        <v>11405</v>
      </c>
      <c r="AH3" s="142">
        <v>11406</v>
      </c>
      <c r="AI3" s="100"/>
      <c r="AJ3" s="100"/>
    </row>
    <row r="4" spans="1:36" ht="18">
      <c r="A4" s="142"/>
      <c r="B4" s="144"/>
      <c r="C4" s="144"/>
      <c r="D4" s="145"/>
      <c r="E4" s="146"/>
      <c r="F4" s="146"/>
      <c r="G4" s="146"/>
      <c r="H4" s="147"/>
      <c r="I4" s="189"/>
      <c r="J4" s="147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47"/>
      <c r="AG4" s="189"/>
      <c r="AH4" s="189"/>
      <c r="AI4" s="148"/>
      <c r="AJ4" s="148"/>
    </row>
    <row r="5" spans="1:36" ht="18">
      <c r="A5" s="142"/>
      <c r="B5" s="144"/>
      <c r="C5" s="144"/>
      <c r="D5" s="145"/>
      <c r="E5" s="146"/>
      <c r="F5" s="146"/>
      <c r="G5" s="146"/>
      <c r="H5" s="147"/>
      <c r="I5" s="189"/>
      <c r="J5" s="147"/>
      <c r="K5" s="189"/>
      <c r="L5" s="147"/>
      <c r="M5" s="189"/>
      <c r="N5" s="189"/>
      <c r="O5" s="189"/>
      <c r="P5" s="189"/>
      <c r="Q5" s="189"/>
      <c r="R5" s="189"/>
      <c r="S5" s="189"/>
      <c r="T5" s="147"/>
      <c r="U5" s="189"/>
      <c r="V5" s="189"/>
      <c r="W5" s="189"/>
      <c r="X5" s="189"/>
      <c r="Y5" s="189"/>
      <c r="Z5" s="189"/>
      <c r="AA5" s="189"/>
      <c r="AB5" s="189"/>
      <c r="AC5" s="189"/>
      <c r="AD5" s="189"/>
      <c r="AE5" s="189"/>
      <c r="AF5" s="147"/>
      <c r="AG5" s="189"/>
      <c r="AH5" s="189"/>
      <c r="AI5" s="148"/>
      <c r="AJ5" s="148"/>
    </row>
    <row r="6" spans="1:36" ht="15">
      <c r="A6" s="334" t="s">
        <v>525</v>
      </c>
      <c r="B6" s="335"/>
      <c r="C6" s="335"/>
      <c r="D6" s="335"/>
      <c r="E6" s="335"/>
      <c r="F6" s="335"/>
      <c r="G6" s="336"/>
      <c r="H6" s="149">
        <f t="shared" ref="H6:AH6" si="0">SUM(H4:H5)</f>
        <v>0</v>
      </c>
      <c r="I6" s="149">
        <f t="shared" si="0"/>
        <v>0</v>
      </c>
      <c r="J6" s="149">
        <f t="shared" si="0"/>
        <v>0</v>
      </c>
      <c r="K6" s="149">
        <f t="shared" si="0"/>
        <v>0</v>
      </c>
      <c r="L6" s="149">
        <f t="shared" si="0"/>
        <v>0</v>
      </c>
      <c r="M6" s="149">
        <f t="shared" si="0"/>
        <v>0</v>
      </c>
      <c r="N6" s="149">
        <f t="shared" si="0"/>
        <v>0</v>
      </c>
      <c r="O6" s="149">
        <f t="shared" si="0"/>
        <v>0</v>
      </c>
      <c r="P6" s="149">
        <f t="shared" si="0"/>
        <v>0</v>
      </c>
      <c r="Q6" s="149">
        <f t="shared" si="0"/>
        <v>0</v>
      </c>
      <c r="R6" s="149">
        <f t="shared" si="0"/>
        <v>0</v>
      </c>
      <c r="S6" s="149">
        <f t="shared" si="0"/>
        <v>0</v>
      </c>
      <c r="T6" s="149">
        <f t="shared" si="0"/>
        <v>0</v>
      </c>
      <c r="U6" s="149">
        <f t="shared" si="0"/>
        <v>0</v>
      </c>
      <c r="V6" s="149">
        <f t="shared" si="0"/>
        <v>0</v>
      </c>
      <c r="W6" s="149">
        <f t="shared" si="0"/>
        <v>0</v>
      </c>
      <c r="X6" s="149">
        <f t="shared" si="0"/>
        <v>0</v>
      </c>
      <c r="Y6" s="149">
        <f t="shared" si="0"/>
        <v>0</v>
      </c>
      <c r="Z6" s="149">
        <f t="shared" si="0"/>
        <v>0</v>
      </c>
      <c r="AA6" s="149">
        <f t="shared" si="0"/>
        <v>0</v>
      </c>
      <c r="AB6" s="149">
        <f t="shared" si="0"/>
        <v>0</v>
      </c>
      <c r="AC6" s="149">
        <f t="shared" si="0"/>
        <v>0</v>
      </c>
      <c r="AD6" s="149">
        <f t="shared" si="0"/>
        <v>0</v>
      </c>
      <c r="AE6" s="149">
        <f t="shared" si="0"/>
        <v>0</v>
      </c>
      <c r="AF6" s="149">
        <f t="shared" si="0"/>
        <v>0</v>
      </c>
      <c r="AG6" s="149">
        <f t="shared" si="0"/>
        <v>0</v>
      </c>
      <c r="AH6" s="149">
        <f t="shared" si="0"/>
        <v>0</v>
      </c>
      <c r="AI6" s="100"/>
      <c r="AJ6" s="100"/>
    </row>
    <row r="7" spans="1:36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</row>
    <row r="8" spans="1:36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</row>
    <row r="9" spans="1:36" ht="26.25">
      <c r="A9" s="140" t="s">
        <v>526</v>
      </c>
      <c r="B9" s="140"/>
      <c r="C9" s="141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50"/>
      <c r="AI9" s="100"/>
      <c r="AJ9" s="100"/>
    </row>
    <row r="10" spans="1:36" ht="30">
      <c r="A10" s="151" t="s">
        <v>501</v>
      </c>
      <c r="B10" s="152" t="s">
        <v>502</v>
      </c>
      <c r="C10" s="151" t="s">
        <v>503</v>
      </c>
      <c r="D10" s="151" t="s">
        <v>504</v>
      </c>
      <c r="E10" s="151" t="s">
        <v>505</v>
      </c>
      <c r="F10" s="151" t="s">
        <v>506</v>
      </c>
      <c r="G10" s="152" t="s">
        <v>507</v>
      </c>
      <c r="H10" s="152" t="s">
        <v>508</v>
      </c>
      <c r="I10" s="153" t="s">
        <v>251</v>
      </c>
      <c r="J10" s="153" t="s">
        <v>252</v>
      </c>
      <c r="K10" s="153" t="s">
        <v>253</v>
      </c>
      <c r="L10" s="153" t="s">
        <v>254</v>
      </c>
      <c r="M10" s="153" t="s">
        <v>255</v>
      </c>
      <c r="N10" s="153" t="s">
        <v>256</v>
      </c>
      <c r="O10" s="153" t="s">
        <v>257</v>
      </c>
      <c r="P10" s="153" t="s">
        <v>258</v>
      </c>
      <c r="Q10" s="153" t="s">
        <v>259</v>
      </c>
      <c r="R10" s="153" t="s">
        <v>260</v>
      </c>
      <c r="S10" s="153" t="s">
        <v>261</v>
      </c>
      <c r="T10" s="153" t="s">
        <v>262</v>
      </c>
      <c r="U10" s="153" t="s">
        <v>263</v>
      </c>
      <c r="V10" s="153" t="s">
        <v>264</v>
      </c>
      <c r="W10" s="153" t="s">
        <v>265</v>
      </c>
      <c r="X10" s="153" t="s">
        <v>266</v>
      </c>
      <c r="Y10" s="153" t="s">
        <v>267</v>
      </c>
      <c r="Z10" s="153" t="s">
        <v>268</v>
      </c>
      <c r="AA10" s="153" t="s">
        <v>269</v>
      </c>
      <c r="AB10" s="153" t="s">
        <v>270</v>
      </c>
      <c r="AC10" s="153" t="s">
        <v>271</v>
      </c>
      <c r="AD10" s="153" t="s">
        <v>272</v>
      </c>
      <c r="AE10" s="153" t="s">
        <v>273</v>
      </c>
      <c r="AF10" s="153" t="s">
        <v>274</v>
      </c>
      <c r="AG10" s="153" t="s">
        <v>275</v>
      </c>
      <c r="AH10" s="153" t="s">
        <v>276</v>
      </c>
      <c r="AI10" s="100"/>
      <c r="AJ10" s="100"/>
    </row>
    <row r="11" spans="1:36" ht="15">
      <c r="A11" s="151"/>
      <c r="B11" s="152"/>
      <c r="C11" s="144"/>
      <c r="D11" s="145"/>
      <c r="E11" s="146"/>
      <c r="F11" s="146"/>
      <c r="G11" s="146"/>
      <c r="H11" s="147"/>
      <c r="I11" s="147"/>
      <c r="J11" s="147"/>
      <c r="K11" s="189"/>
      <c r="L11" s="147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47"/>
      <c r="AE11" s="189"/>
      <c r="AF11" s="189"/>
      <c r="AG11" s="189"/>
      <c r="AH11" s="190"/>
      <c r="AI11" s="100"/>
      <c r="AJ11" s="100"/>
    </row>
    <row r="12" spans="1:36" ht="15">
      <c r="A12" s="151"/>
      <c r="B12" s="152"/>
      <c r="C12" s="144"/>
      <c r="D12" s="145"/>
      <c r="E12" s="146"/>
      <c r="F12" s="146"/>
      <c r="G12" s="146"/>
      <c r="H12" s="147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47"/>
      <c r="AA12" s="189"/>
      <c r="AB12" s="189"/>
      <c r="AC12" s="189"/>
      <c r="AD12" s="147"/>
      <c r="AE12" s="189"/>
      <c r="AF12" s="189"/>
      <c r="AG12" s="189"/>
      <c r="AH12" s="190"/>
      <c r="AI12" s="100"/>
      <c r="AJ12" s="100"/>
    </row>
    <row r="13" spans="1:36" ht="15">
      <c r="A13" s="337" t="s">
        <v>537</v>
      </c>
      <c r="B13" s="337"/>
      <c r="C13" s="337"/>
      <c r="D13" s="337"/>
      <c r="E13" s="337"/>
      <c r="F13" s="337"/>
      <c r="G13" s="337"/>
      <c r="H13" s="149">
        <f t="shared" ref="H13:AH13" si="1">SUM(H11:H12)</f>
        <v>0</v>
      </c>
      <c r="I13" s="149">
        <f t="shared" si="1"/>
        <v>0</v>
      </c>
      <c r="J13" s="149">
        <f t="shared" si="1"/>
        <v>0</v>
      </c>
      <c r="K13" s="149">
        <f t="shared" si="1"/>
        <v>0</v>
      </c>
      <c r="L13" s="149">
        <f t="shared" si="1"/>
        <v>0</v>
      </c>
      <c r="M13" s="149">
        <f t="shared" si="1"/>
        <v>0</v>
      </c>
      <c r="N13" s="149">
        <f t="shared" si="1"/>
        <v>0</v>
      </c>
      <c r="O13" s="149">
        <f t="shared" si="1"/>
        <v>0</v>
      </c>
      <c r="P13" s="149">
        <f t="shared" si="1"/>
        <v>0</v>
      </c>
      <c r="Q13" s="149">
        <f t="shared" si="1"/>
        <v>0</v>
      </c>
      <c r="R13" s="149">
        <f t="shared" si="1"/>
        <v>0</v>
      </c>
      <c r="S13" s="149">
        <f t="shared" si="1"/>
        <v>0</v>
      </c>
      <c r="T13" s="149">
        <f t="shared" si="1"/>
        <v>0</v>
      </c>
      <c r="U13" s="149">
        <f t="shared" si="1"/>
        <v>0</v>
      </c>
      <c r="V13" s="149">
        <f t="shared" si="1"/>
        <v>0</v>
      </c>
      <c r="W13" s="149">
        <f t="shared" si="1"/>
        <v>0</v>
      </c>
      <c r="X13" s="149">
        <f t="shared" si="1"/>
        <v>0</v>
      </c>
      <c r="Y13" s="149">
        <f t="shared" si="1"/>
        <v>0</v>
      </c>
      <c r="Z13" s="149">
        <f t="shared" si="1"/>
        <v>0</v>
      </c>
      <c r="AA13" s="149">
        <f t="shared" si="1"/>
        <v>0</v>
      </c>
      <c r="AB13" s="149">
        <f t="shared" si="1"/>
        <v>0</v>
      </c>
      <c r="AC13" s="149">
        <f t="shared" si="1"/>
        <v>0</v>
      </c>
      <c r="AD13" s="149">
        <f t="shared" si="1"/>
        <v>0</v>
      </c>
      <c r="AE13" s="149">
        <f t="shared" si="1"/>
        <v>0</v>
      </c>
      <c r="AF13" s="149">
        <f t="shared" si="1"/>
        <v>0</v>
      </c>
      <c r="AG13" s="149">
        <f t="shared" si="1"/>
        <v>0</v>
      </c>
      <c r="AH13" s="149">
        <f t="shared" si="1"/>
        <v>0</v>
      </c>
      <c r="AI13" s="100"/>
      <c r="AJ13" s="100"/>
    </row>
    <row r="14" spans="1:36" ht="15">
      <c r="A14" s="338" t="s">
        <v>538</v>
      </c>
      <c r="B14" s="339"/>
      <c r="C14" s="339"/>
      <c r="D14" s="339"/>
      <c r="E14" s="339"/>
      <c r="F14" s="339"/>
      <c r="G14" s="340"/>
      <c r="H14" s="154">
        <f t="shared" ref="H14:AH14" si="2">SUM(H13,H6)</f>
        <v>0</v>
      </c>
      <c r="I14" s="154">
        <f t="shared" si="2"/>
        <v>0</v>
      </c>
      <c r="J14" s="154">
        <f t="shared" si="2"/>
        <v>0</v>
      </c>
      <c r="K14" s="154">
        <f t="shared" si="2"/>
        <v>0</v>
      </c>
      <c r="L14" s="154">
        <f t="shared" si="2"/>
        <v>0</v>
      </c>
      <c r="M14" s="154">
        <f t="shared" si="2"/>
        <v>0</v>
      </c>
      <c r="N14" s="154">
        <f t="shared" si="2"/>
        <v>0</v>
      </c>
      <c r="O14" s="154">
        <f t="shared" si="2"/>
        <v>0</v>
      </c>
      <c r="P14" s="154">
        <f t="shared" si="2"/>
        <v>0</v>
      </c>
      <c r="Q14" s="154">
        <f t="shared" si="2"/>
        <v>0</v>
      </c>
      <c r="R14" s="154">
        <f t="shared" si="2"/>
        <v>0</v>
      </c>
      <c r="S14" s="154">
        <f t="shared" si="2"/>
        <v>0</v>
      </c>
      <c r="T14" s="154">
        <f t="shared" si="2"/>
        <v>0</v>
      </c>
      <c r="U14" s="154">
        <f t="shared" si="2"/>
        <v>0</v>
      </c>
      <c r="V14" s="154">
        <f t="shared" si="2"/>
        <v>0</v>
      </c>
      <c r="W14" s="154">
        <f t="shared" si="2"/>
        <v>0</v>
      </c>
      <c r="X14" s="154">
        <f t="shared" si="2"/>
        <v>0</v>
      </c>
      <c r="Y14" s="154">
        <f t="shared" si="2"/>
        <v>0</v>
      </c>
      <c r="Z14" s="154">
        <f t="shared" si="2"/>
        <v>0</v>
      </c>
      <c r="AA14" s="154">
        <f t="shared" si="2"/>
        <v>0</v>
      </c>
      <c r="AB14" s="154">
        <f t="shared" si="2"/>
        <v>0</v>
      </c>
      <c r="AC14" s="154">
        <f t="shared" si="2"/>
        <v>0</v>
      </c>
      <c r="AD14" s="154">
        <f t="shared" si="2"/>
        <v>0</v>
      </c>
      <c r="AE14" s="154">
        <f t="shared" si="2"/>
        <v>0</v>
      </c>
      <c r="AF14" s="154">
        <f t="shared" si="2"/>
        <v>0</v>
      </c>
      <c r="AG14" s="154">
        <f t="shared" si="2"/>
        <v>0</v>
      </c>
      <c r="AH14" s="154">
        <f t="shared" si="2"/>
        <v>0</v>
      </c>
      <c r="AI14" s="100"/>
      <c r="AJ14" s="100"/>
    </row>
    <row r="15" spans="1:36">
      <c r="A15" s="100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</row>
    <row r="16" spans="1:36" ht="18.75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39"/>
      <c r="AA16" s="139"/>
      <c r="AB16" s="155"/>
      <c r="AC16" s="156" t="s">
        <v>539</v>
      </c>
      <c r="AD16" s="157" t="s">
        <v>6199</v>
      </c>
      <c r="AE16" s="158"/>
      <c r="AF16" s="159"/>
      <c r="AG16" s="139"/>
      <c r="AH16" s="139"/>
      <c r="AI16" s="139"/>
      <c r="AJ16" s="100"/>
    </row>
    <row r="17" spans="1:36" ht="18.75">
      <c r="A17" s="100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39"/>
      <c r="AA17" s="139"/>
      <c r="AB17" s="159"/>
      <c r="AC17" s="160"/>
      <c r="AD17" s="158"/>
      <c r="AE17" s="158"/>
      <c r="AF17" s="159"/>
      <c r="AG17" s="139"/>
      <c r="AH17" s="139"/>
      <c r="AI17" s="139"/>
      <c r="AJ17" s="100"/>
    </row>
    <row r="18" spans="1:36" ht="18.75">
      <c r="A18" s="100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39"/>
      <c r="AA18" s="139"/>
      <c r="AB18" s="161"/>
      <c r="AC18" s="162" t="s">
        <v>540</v>
      </c>
      <c r="AD18" s="163" t="s">
        <v>6200</v>
      </c>
      <c r="AE18" s="164"/>
      <c r="AF18" s="159"/>
      <c r="AG18" s="139"/>
      <c r="AH18" s="139"/>
      <c r="AI18" s="139"/>
      <c r="AJ18" s="100"/>
    </row>
    <row r="19" spans="1:36" ht="15">
      <c r="A19" s="100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00"/>
    </row>
    <row r="20" spans="1:36" ht="18.75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39"/>
      <c r="AA20" s="139"/>
      <c r="AB20" s="155"/>
      <c r="AC20" s="165" t="s">
        <v>541</v>
      </c>
      <c r="AD20" s="166" t="s">
        <v>6201</v>
      </c>
      <c r="AE20" s="158"/>
      <c r="AF20" s="159"/>
      <c r="AG20" s="139"/>
      <c r="AH20" s="139"/>
      <c r="AI20" s="139"/>
      <c r="AJ20" s="100"/>
    </row>
  </sheetData>
  <mergeCells count="3">
    <mergeCell ref="A6:G6"/>
    <mergeCell ref="A13:G13"/>
    <mergeCell ref="A14:G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7">
    <pageSetUpPr fitToPage="1"/>
  </sheetPr>
  <dimension ref="A1:Q29"/>
  <sheetViews>
    <sheetView view="pageBreakPreview" topLeftCell="A4" zoomScale="50" zoomScaleNormal="40" zoomScaleSheetLayoutView="50" zoomScalePageLayoutView="25" workbookViewId="0">
      <selection activeCell="E26" sqref="E26"/>
    </sheetView>
  </sheetViews>
  <sheetFormatPr defaultColWidth="9.140625" defaultRowHeight="54" customHeight="1"/>
  <cols>
    <col min="1" max="1" width="13.28515625" style="15" bestFit="1" customWidth="1"/>
    <col min="2" max="2" width="16.7109375" style="16" bestFit="1" customWidth="1"/>
    <col min="3" max="3" width="19.42578125" style="9" bestFit="1" customWidth="1"/>
    <col min="4" max="4" width="174.42578125" style="11" customWidth="1"/>
    <col min="5" max="5" width="24.85546875" style="9" customWidth="1"/>
    <col min="6" max="6" width="23.42578125" style="9" customWidth="1"/>
    <col min="7" max="7" width="18" style="10" customWidth="1"/>
    <col min="8" max="8" width="14.7109375" style="10" customWidth="1"/>
    <col min="9" max="9" width="15.140625" style="10" customWidth="1"/>
    <col min="10" max="10" width="14.7109375" style="10" customWidth="1"/>
    <col min="11" max="11" width="17.85546875" style="10" customWidth="1"/>
    <col min="12" max="12" width="14.7109375" style="8" customWidth="1"/>
    <col min="13" max="13" width="64.140625" style="6" customWidth="1"/>
    <col min="14" max="14" width="79.5703125" style="8" customWidth="1"/>
    <col min="15" max="15" width="26.42578125" style="8" customWidth="1"/>
    <col min="16" max="17" width="30.5703125" style="6" customWidth="1"/>
    <col min="18" max="16384" width="9.140625" style="4"/>
  </cols>
  <sheetData>
    <row r="1" spans="1:17" s="19" customFormat="1" ht="54" customHeight="1">
      <c r="A1" s="66"/>
      <c r="B1" s="18"/>
      <c r="C1" s="28"/>
      <c r="D1" s="29"/>
      <c r="E1" s="28"/>
      <c r="F1" s="28"/>
      <c r="G1" s="74"/>
      <c r="H1" s="75"/>
      <c r="I1" s="76"/>
      <c r="J1" s="76"/>
      <c r="K1" s="76"/>
      <c r="L1" s="43" t="s">
        <v>6</v>
      </c>
      <c r="M1" s="43"/>
      <c r="N1" s="341"/>
      <c r="O1" s="341"/>
      <c r="P1" s="341"/>
      <c r="Q1" s="18"/>
    </row>
    <row r="2" spans="1:17" s="19" customFormat="1" ht="54" customHeight="1">
      <c r="A2" s="17"/>
      <c r="B2" s="18"/>
      <c r="C2" s="30"/>
      <c r="D2" s="31"/>
      <c r="E2" s="32"/>
      <c r="F2" s="32"/>
      <c r="G2" s="64"/>
      <c r="H2" s="65"/>
      <c r="I2" s="65"/>
      <c r="J2" s="26"/>
      <c r="K2" s="26"/>
      <c r="L2" s="21"/>
      <c r="M2" s="18"/>
      <c r="N2" s="61"/>
      <c r="O2" s="25"/>
      <c r="P2" s="22"/>
      <c r="Q2" s="18"/>
    </row>
    <row r="3" spans="1:17" s="19" customFormat="1" ht="121.5" customHeight="1">
      <c r="A3" s="17"/>
      <c r="B3" s="18"/>
      <c r="C3" s="30"/>
      <c r="D3" s="33"/>
      <c r="E3" s="34"/>
      <c r="F3" s="34"/>
      <c r="G3" s="77"/>
      <c r="H3" s="78"/>
      <c r="I3" s="79"/>
      <c r="J3" s="79"/>
      <c r="K3" s="79"/>
      <c r="L3" s="342" t="s">
        <v>42</v>
      </c>
      <c r="M3" s="342"/>
      <c r="N3" s="61"/>
      <c r="O3" s="61"/>
      <c r="P3" s="20"/>
      <c r="Q3" s="23"/>
    </row>
    <row r="4" spans="1:17" s="19" customFormat="1" ht="54" customHeight="1">
      <c r="A4" s="17"/>
      <c r="B4" s="18"/>
      <c r="C4" s="30"/>
      <c r="D4" s="35"/>
      <c r="E4" s="30"/>
      <c r="F4" s="30"/>
      <c r="G4" s="37"/>
      <c r="H4" s="26"/>
      <c r="I4" s="26"/>
      <c r="J4" s="26"/>
      <c r="K4" s="26"/>
      <c r="L4" s="25"/>
      <c r="M4" s="22"/>
      <c r="N4" s="61"/>
      <c r="O4" s="61"/>
      <c r="P4" s="20"/>
      <c r="Q4" s="23"/>
    </row>
    <row r="5" spans="1:17" s="19" customFormat="1" ht="54" customHeight="1">
      <c r="A5" s="17"/>
      <c r="B5" s="18"/>
      <c r="C5" s="30"/>
      <c r="D5" s="35"/>
      <c r="E5" s="30"/>
      <c r="F5" s="36"/>
      <c r="G5" s="37"/>
      <c r="H5" s="26"/>
      <c r="I5" s="76"/>
      <c r="J5" s="76"/>
      <c r="K5" s="76"/>
      <c r="L5" s="343" t="s">
        <v>23</v>
      </c>
      <c r="M5" s="343"/>
      <c r="N5" s="61"/>
      <c r="O5" s="61"/>
      <c r="P5" s="20"/>
      <c r="Q5" s="23"/>
    </row>
    <row r="6" spans="1:17" s="19" customFormat="1" ht="54" customHeight="1">
      <c r="A6" s="17"/>
      <c r="B6" s="18"/>
      <c r="C6" s="17"/>
      <c r="D6" s="24"/>
      <c r="E6" s="17"/>
      <c r="F6" s="17"/>
      <c r="G6" s="26"/>
      <c r="H6" s="26"/>
      <c r="I6" s="26"/>
      <c r="J6" s="26"/>
      <c r="K6" s="26"/>
      <c r="L6" s="25"/>
      <c r="M6" s="18"/>
      <c r="N6" s="61"/>
      <c r="O6" s="61"/>
      <c r="P6" s="20"/>
      <c r="Q6" s="23"/>
    </row>
    <row r="7" spans="1:17" ht="54" customHeight="1">
      <c r="A7" s="344" t="s">
        <v>5907</v>
      </c>
      <c r="B7" s="344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62"/>
      <c r="O7" s="62"/>
      <c r="P7" s="5"/>
      <c r="Q7" s="7"/>
    </row>
    <row r="8" spans="1:17" ht="54" customHeight="1">
      <c r="A8" s="133"/>
      <c r="B8" s="133"/>
      <c r="C8" s="133"/>
      <c r="D8" s="133"/>
      <c r="E8" s="133"/>
      <c r="F8" s="133"/>
      <c r="G8" s="80"/>
      <c r="H8" s="80"/>
      <c r="I8" s="80"/>
      <c r="J8" s="80"/>
      <c r="K8" s="80"/>
      <c r="L8" s="133"/>
      <c r="M8" s="133"/>
      <c r="N8" s="62"/>
      <c r="O8" s="62"/>
      <c r="P8" s="5"/>
      <c r="Q8" s="7"/>
    </row>
    <row r="9" spans="1:17" ht="54" customHeight="1">
      <c r="A9" s="2"/>
      <c r="B9" s="3"/>
      <c r="D9" s="38"/>
      <c r="E9" s="2"/>
      <c r="F9" s="2" t="s">
        <v>31</v>
      </c>
      <c r="M9" s="3"/>
      <c r="N9" s="62"/>
      <c r="O9" s="62"/>
      <c r="P9" s="5"/>
      <c r="Q9" s="7"/>
    </row>
    <row r="10" spans="1:17" ht="54" customHeight="1" thickBot="1">
      <c r="A10" s="345" t="s">
        <v>35</v>
      </c>
      <c r="B10" s="345"/>
      <c r="C10" s="345"/>
      <c r="D10" s="40">
        <f>Данные!C22</f>
        <v>21</v>
      </c>
      <c r="E10" s="3"/>
      <c r="F10" s="3"/>
      <c r="G10" s="81"/>
      <c r="H10" s="81"/>
      <c r="I10" s="81"/>
      <c r="J10" s="81"/>
      <c r="K10" s="81"/>
      <c r="L10" s="27"/>
      <c r="M10" s="7"/>
      <c r="N10" s="27"/>
      <c r="O10" s="27"/>
      <c r="P10" s="7"/>
    </row>
    <row r="11" spans="1:17" ht="54" customHeight="1">
      <c r="A11" s="362" t="s">
        <v>9</v>
      </c>
      <c r="B11" s="362" t="s">
        <v>24</v>
      </c>
      <c r="C11" s="362" t="s">
        <v>5</v>
      </c>
      <c r="D11" s="348" t="s">
        <v>21</v>
      </c>
      <c r="E11" s="348" t="s">
        <v>29</v>
      </c>
      <c r="F11" s="348" t="s">
        <v>30</v>
      </c>
      <c r="G11" s="351" t="s">
        <v>7</v>
      </c>
      <c r="H11" s="352"/>
      <c r="I11" s="351" t="s">
        <v>19</v>
      </c>
      <c r="J11" s="352"/>
      <c r="K11" s="355" t="s">
        <v>20</v>
      </c>
      <c r="L11" s="356"/>
    </row>
    <row r="12" spans="1:17" ht="30" customHeight="1" thickBot="1">
      <c r="A12" s="363"/>
      <c r="B12" s="363"/>
      <c r="C12" s="363"/>
      <c r="D12" s="349"/>
      <c r="E12" s="349"/>
      <c r="F12" s="349"/>
      <c r="G12" s="353"/>
      <c r="H12" s="354"/>
      <c r="I12" s="353"/>
      <c r="J12" s="354"/>
      <c r="K12" s="357"/>
      <c r="L12" s="358"/>
    </row>
    <row r="13" spans="1:17" ht="32.25" thickBot="1">
      <c r="A13" s="364"/>
      <c r="B13" s="364"/>
      <c r="C13" s="364"/>
      <c r="D13" s="350"/>
      <c r="E13" s="350"/>
      <c r="F13" s="350"/>
      <c r="G13" s="69" t="s">
        <v>12</v>
      </c>
      <c r="H13" s="69" t="s">
        <v>13</v>
      </c>
      <c r="I13" s="69" t="s">
        <v>12</v>
      </c>
      <c r="J13" s="69" t="s">
        <v>13</v>
      </c>
      <c r="K13" s="70" t="s">
        <v>12</v>
      </c>
      <c r="L13" s="71" t="s">
        <v>13</v>
      </c>
    </row>
    <row r="14" spans="1:17" s="12" customFormat="1" ht="54" customHeight="1">
      <c r="A14" s="68"/>
      <c r="B14" s="68"/>
      <c r="C14" s="89"/>
      <c r="D14" s="73"/>
      <c r="E14" s="88"/>
      <c r="F14" s="88"/>
      <c r="G14" s="87"/>
      <c r="H14" s="83"/>
      <c r="I14" s="82"/>
      <c r="J14" s="83"/>
      <c r="K14" s="82"/>
      <c r="L14" s="67"/>
      <c r="M14" s="8"/>
      <c r="N14" s="63"/>
      <c r="O14" s="63"/>
      <c r="Q14" s="13"/>
    </row>
    <row r="15" spans="1:17" s="12" customFormat="1" ht="54" customHeight="1" thickBot="1">
      <c r="A15" s="68"/>
      <c r="B15" s="68"/>
      <c r="C15" s="89"/>
      <c r="D15" s="73"/>
      <c r="E15" s="88"/>
      <c r="F15" s="88"/>
      <c r="G15" s="87"/>
      <c r="H15" s="83"/>
      <c r="I15" s="82"/>
      <c r="J15" s="83"/>
      <c r="K15" s="82"/>
      <c r="L15" s="67"/>
      <c r="M15" s="8"/>
      <c r="N15" s="63"/>
      <c r="O15" s="63"/>
      <c r="Q15" s="13"/>
    </row>
    <row r="16" spans="1:17" s="12" customFormat="1" ht="54" customHeight="1" thickBot="1">
      <c r="A16" s="359" t="s">
        <v>37</v>
      </c>
      <c r="B16" s="360"/>
      <c r="C16" s="361"/>
      <c r="D16" s="73"/>
      <c r="E16" s="88"/>
      <c r="F16" s="88"/>
      <c r="G16" s="91">
        <f>SUM(G14:G15)</f>
        <v>0</v>
      </c>
      <c r="H16" s="91"/>
      <c r="I16" s="91">
        <f>SUM(I14:I15)</f>
        <v>0</v>
      </c>
      <c r="J16" s="91"/>
      <c r="K16" s="91">
        <f>SUM(K14:K15)</f>
        <v>0</v>
      </c>
      <c r="L16" s="86"/>
      <c r="M16" s="8"/>
      <c r="N16" s="63"/>
      <c r="O16" s="63"/>
      <c r="Q16" s="13"/>
    </row>
    <row r="17" spans="1:17" s="12" customFormat="1" ht="54" customHeight="1">
      <c r="A17" s="68"/>
      <c r="B17" s="68"/>
      <c r="C17" s="89"/>
      <c r="D17" s="73"/>
      <c r="E17" s="88"/>
      <c r="F17" s="88"/>
      <c r="G17" s="87"/>
      <c r="H17" s="83"/>
      <c r="I17" s="82"/>
      <c r="J17" s="83"/>
      <c r="K17" s="82"/>
      <c r="L17" s="67"/>
      <c r="M17" s="8"/>
      <c r="N17" s="63"/>
      <c r="O17" s="63"/>
      <c r="Q17" s="13"/>
    </row>
    <row r="18" spans="1:17" s="12" customFormat="1" ht="54" customHeight="1" thickBot="1">
      <c r="A18" s="68"/>
      <c r="B18" s="68"/>
      <c r="C18" s="89"/>
      <c r="D18" s="73"/>
      <c r="E18" s="88"/>
      <c r="F18" s="88"/>
      <c r="G18" s="87"/>
      <c r="H18" s="83"/>
      <c r="I18" s="82"/>
      <c r="J18" s="83"/>
      <c r="K18" s="82"/>
      <c r="L18" s="67"/>
      <c r="M18" s="8"/>
      <c r="N18" s="63"/>
      <c r="O18" s="63"/>
      <c r="Q18" s="13"/>
    </row>
    <row r="19" spans="1:17" s="12" customFormat="1" ht="54" customHeight="1" thickBot="1">
      <c r="A19" s="359" t="s">
        <v>36</v>
      </c>
      <c r="B19" s="360"/>
      <c r="C19" s="361"/>
      <c r="D19" s="84"/>
      <c r="E19" s="85"/>
      <c r="F19" s="85"/>
      <c r="G19" s="86"/>
      <c r="H19" s="86"/>
      <c r="I19" s="86">
        <f>I16+(SUM(I17:I18))*0.8</f>
        <v>0</v>
      </c>
      <c r="J19" s="86"/>
      <c r="K19" s="86">
        <f>K16+(SUM(K17:K18))*0.2</f>
        <v>0</v>
      </c>
      <c r="L19" s="86"/>
      <c r="M19" s="63"/>
      <c r="O19" s="13"/>
    </row>
    <row r="20" spans="1:17" s="12" customFormat="1" ht="54" customHeight="1"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41"/>
      <c r="N20" s="39"/>
      <c r="O20" s="63"/>
      <c r="Q20" s="13"/>
    </row>
    <row r="21" spans="1:17" s="12" customFormat="1" ht="54" customHeight="1">
      <c r="A21" s="346" t="s">
        <v>43</v>
      </c>
      <c r="B21" s="347"/>
      <c r="C21" s="347"/>
      <c r="D21" s="347"/>
      <c r="E21" s="347"/>
      <c r="F21" s="347"/>
      <c r="G21" s="347"/>
      <c r="H21" s="347"/>
      <c r="I21" s="347"/>
      <c r="J21" s="347"/>
      <c r="K21" s="347"/>
      <c r="L21" s="347"/>
      <c r="M21" s="41"/>
      <c r="N21" s="39"/>
      <c r="O21" s="63"/>
      <c r="Q21" s="13"/>
    </row>
    <row r="22" spans="1:17" s="12" customFormat="1" ht="54" customHeight="1">
      <c r="A22" s="346"/>
      <c r="B22" s="347"/>
      <c r="C22" s="347"/>
      <c r="D22" s="347"/>
      <c r="E22" s="347"/>
      <c r="F22" s="347"/>
      <c r="G22" s="347"/>
      <c r="H22" s="347"/>
      <c r="I22" s="347"/>
      <c r="J22" s="347"/>
      <c r="K22" s="347"/>
      <c r="L22" s="347"/>
      <c r="M22" s="42"/>
      <c r="N22" s="39"/>
      <c r="O22" s="63"/>
      <c r="Q22" s="13"/>
    </row>
    <row r="23" spans="1:17" s="12" customFormat="1" ht="54" customHeight="1">
      <c r="A23" s="9"/>
      <c r="B23" s="14"/>
      <c r="C23" s="9"/>
      <c r="D23" s="11"/>
      <c r="E23" s="9"/>
      <c r="F23" s="9"/>
      <c r="G23" s="10"/>
      <c r="H23" s="10"/>
      <c r="I23" s="10"/>
      <c r="J23" s="10"/>
      <c r="K23" s="10"/>
      <c r="L23" s="8"/>
      <c r="M23" s="41" t="s">
        <v>111</v>
      </c>
      <c r="N23" s="39" t="s">
        <v>6201</v>
      </c>
      <c r="O23" s="63"/>
      <c r="Q23" s="13"/>
    </row>
    <row r="24" spans="1:17" s="12" customFormat="1" ht="54" customHeight="1">
      <c r="A24" s="9"/>
      <c r="B24" s="14"/>
      <c r="C24" s="9"/>
      <c r="D24" s="11"/>
      <c r="E24" s="9"/>
      <c r="F24" s="9"/>
      <c r="G24" s="10"/>
      <c r="H24" s="10"/>
      <c r="I24" s="10"/>
      <c r="J24" s="10"/>
      <c r="K24" s="10"/>
      <c r="L24" s="8"/>
      <c r="M24" s="41"/>
      <c r="N24" s="39"/>
      <c r="O24" s="63"/>
      <c r="Q24" s="13"/>
    </row>
    <row r="25" spans="1:17" s="12" customFormat="1" ht="54" customHeight="1">
      <c r="A25" s="9"/>
      <c r="B25" s="14"/>
      <c r="C25" s="9"/>
      <c r="D25" s="11"/>
      <c r="E25" s="9"/>
      <c r="F25" s="9"/>
      <c r="G25" s="10"/>
      <c r="H25" s="10"/>
      <c r="I25" s="10"/>
      <c r="J25" s="10"/>
      <c r="K25" s="10"/>
      <c r="L25" s="8"/>
      <c r="M25" s="41" t="s">
        <v>112</v>
      </c>
      <c r="N25" s="39" t="s">
        <v>6201</v>
      </c>
      <c r="O25" s="63"/>
      <c r="Q25" s="13"/>
    </row>
    <row r="26" spans="1:17" s="12" customFormat="1" ht="54" customHeight="1">
      <c r="A26" s="9"/>
      <c r="B26" s="14"/>
      <c r="C26" s="9"/>
      <c r="D26" s="11"/>
      <c r="E26" s="9"/>
      <c r="F26" s="9"/>
      <c r="G26" s="10"/>
      <c r="H26" s="10"/>
      <c r="I26" s="10"/>
      <c r="J26" s="10"/>
      <c r="K26" s="10"/>
      <c r="L26" s="8"/>
      <c r="M26" s="42"/>
      <c r="N26" s="39"/>
      <c r="O26" s="63"/>
      <c r="Q26" s="13"/>
    </row>
    <row r="27" spans="1:17" s="12" customFormat="1" ht="54" customHeight="1">
      <c r="A27" s="9"/>
      <c r="B27" s="14"/>
      <c r="C27" s="9"/>
      <c r="D27" s="11"/>
      <c r="E27" s="9"/>
      <c r="F27" s="9"/>
      <c r="G27" s="10"/>
      <c r="H27" s="10"/>
      <c r="I27" s="10"/>
      <c r="J27" s="10"/>
      <c r="K27" s="10"/>
      <c r="L27" s="8"/>
      <c r="M27" s="41" t="s">
        <v>114</v>
      </c>
      <c r="N27" s="39" t="s">
        <v>6201</v>
      </c>
      <c r="O27" s="63"/>
      <c r="Q27" s="13"/>
    </row>
    <row r="28" spans="1:17" s="12" customFormat="1" ht="54" customHeight="1">
      <c r="A28" s="9"/>
      <c r="B28" s="14"/>
      <c r="C28" s="9"/>
      <c r="D28" s="11"/>
      <c r="E28" s="9"/>
      <c r="F28" s="9"/>
      <c r="G28" s="10"/>
      <c r="H28" s="10"/>
      <c r="I28" s="10"/>
      <c r="J28" s="10"/>
      <c r="K28" s="10"/>
      <c r="L28" s="8"/>
      <c r="M28" s="90"/>
      <c r="N28" s="132"/>
      <c r="O28" s="63"/>
      <c r="Q28" s="13"/>
    </row>
    <row r="29" spans="1:17" s="12" customFormat="1" ht="54" customHeight="1">
      <c r="A29" s="9"/>
      <c r="B29" s="14"/>
      <c r="C29" s="9"/>
      <c r="D29" s="11"/>
      <c r="E29" s="9"/>
      <c r="F29" s="9"/>
      <c r="G29" s="10"/>
      <c r="H29" s="10"/>
      <c r="I29" s="10"/>
      <c r="J29" s="10"/>
      <c r="K29" s="10"/>
      <c r="L29" s="8"/>
      <c r="M29" s="42" t="s">
        <v>113</v>
      </c>
      <c r="N29" s="39" t="s">
        <v>6202</v>
      </c>
      <c r="O29" s="63"/>
      <c r="Q29" s="13"/>
    </row>
  </sheetData>
  <mergeCells count="17">
    <mergeCell ref="A21:L22"/>
    <mergeCell ref="F11:F13"/>
    <mergeCell ref="G11:H12"/>
    <mergeCell ref="I11:J12"/>
    <mergeCell ref="K11:L12"/>
    <mergeCell ref="A16:C16"/>
    <mergeCell ref="A19:C19"/>
    <mergeCell ref="A11:A13"/>
    <mergeCell ref="B11:B13"/>
    <mergeCell ref="C11:C13"/>
    <mergeCell ref="D11:D13"/>
    <mergeCell ref="E11:E13"/>
    <mergeCell ref="N1:P1"/>
    <mergeCell ref="L3:M3"/>
    <mergeCell ref="L5:M5"/>
    <mergeCell ref="A7:M7"/>
    <mergeCell ref="A10:C10"/>
  </mergeCells>
  <conditionalFormatting sqref="B17:B18 B14:B15">
    <cfRule type="cellIs" dxfId="67" priority="1" operator="equal">
      <formula>"БГБК"</formula>
    </cfRule>
    <cfRule type="cellIs" dxfId="66" priority="2" operator="equal">
      <formula>"ПРД"</formula>
    </cfRule>
    <cfRule type="cellIs" dxfId="65" priority="3" operator="equal">
      <formula>"Неман"</formula>
    </cfRule>
    <cfRule type="cellIs" dxfId="64" priority="4" operator="equal">
      <formula>"РПДМ"</formula>
    </cfRule>
    <cfRule type="cellIs" dxfId="63" priority="5" operator="equal">
      <formula>"МАСИ"</formula>
    </cfRule>
    <cfRule type="cellIs" dxfId="62" priority="6" operator="equal">
      <formula>"Р-673"</formula>
    </cfRule>
    <cfRule type="cellIs" dxfId="61" priority="7" operator="equal">
      <formula>"Р-170П"</formula>
    </cfRule>
    <cfRule type="containsText" dxfId="60" priority="20" operator="containsText" text="МКСТ">
      <formula>NOT(ISERROR(SEARCH("МКСТ",B14)))</formula>
    </cfRule>
  </conditionalFormatting>
  <conditionalFormatting sqref="B17:B18 B14:B15">
    <cfRule type="containsText" dxfId="59" priority="19" operator="containsText" text="К676">
      <formula>NOT(ISERROR(SEARCH("К676",B14)))</formula>
    </cfRule>
  </conditionalFormatting>
  <conditionalFormatting sqref="B17:B18 B14:B15">
    <cfRule type="containsText" priority="18" operator="containsText" text="СЛУЖ.">
      <formula>NOT(ISERROR(SEARCH("СЛУЖ.",B14)))</formula>
    </cfRule>
  </conditionalFormatting>
  <conditionalFormatting sqref="B17:B18 B14:B15">
    <cfRule type="containsText" dxfId="58" priority="12" operator="containsText" text="К625">
      <formula>NOT(ISERROR(SEARCH("К625",B14)))</formula>
    </cfRule>
    <cfRule type="containsText" dxfId="57" priority="13" operator="containsText" text="Ю627">
      <formula>NOT(ISERROR(SEARCH("Ю627",B14)))</formula>
    </cfRule>
    <cfRule type="containsText" dxfId="56" priority="14" operator="containsText" text="Ю628">
      <formula>NOT(ISERROR(SEARCH("Ю628",B14)))</formula>
    </cfRule>
    <cfRule type="containsText" dxfId="55" priority="15" operator="containsText" text="К674">
      <formula>NOT(ISERROR(SEARCH("К674",B14)))</formula>
    </cfRule>
    <cfRule type="containsText" dxfId="54" priority="16" operator="containsText" text="УСП">
      <formula>NOT(ISERROR(SEARCH("УСП",B14)))</formula>
    </cfRule>
  </conditionalFormatting>
  <conditionalFormatting sqref="B17:B18 B14:B15">
    <cfRule type="containsText" dxfId="53" priority="11" operator="containsText" text="МРМ">
      <formula>NOT(ISERROR(SEARCH("МРМ",B14)))</formula>
    </cfRule>
  </conditionalFormatting>
  <conditionalFormatting sqref="B17:B18 B14:B15">
    <cfRule type="containsText" dxfId="52" priority="9" operator="containsText" text="ОРХ">
      <formula>NOT(ISERROR(SEARCH("ОРХ",B14)))</formula>
    </cfRule>
  </conditionalFormatting>
  <printOptions horizontalCentered="1"/>
  <pageMargins left="0" right="0" top="0" bottom="0" header="0" footer="0"/>
  <pageSetup paperSize="8" scale="29" orientation="portrait" copies="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5" r:id="rId4" name="Button 5">
              <controlPr defaultSize="0" print="0" autoFill="0" autoPict="0" macro="[0]!PlanSheet.onStartButtonClick">
                <anchor moveWithCells="1" sizeWithCells="1">
                  <from>
                    <xdr:col>3</xdr:col>
                    <xdr:colOff>11620500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6" r:id="rId5" name="Button 6">
              <controlPr defaultSize="0" print="0" autoFill="0" autoPict="0" macro="[0]!PlanSheet.onFinishButtonClick">
                <anchor moveWithCells="1" sizeWithCells="1">
                  <from>
                    <xdr:col>5</xdr:col>
                    <xdr:colOff>9525</xdr:colOff>
                    <xdr:row>9</xdr:row>
                    <xdr:rowOff>676275</xdr:rowOff>
                  </from>
                  <to>
                    <xdr:col>6</xdr:col>
                    <xdr:colOff>19050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7" r:id="rId6" name="Button 7">
              <controlPr defaultSize="0" print="0" autoFill="0" autoPict="0" macro="[0]!StatisticsSheet.paintSheet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3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8">
    <pageSetUpPr fitToPage="1"/>
  </sheetPr>
  <dimension ref="A1:Q132"/>
  <sheetViews>
    <sheetView view="pageBreakPreview" zoomScale="40" zoomScaleNormal="40" zoomScaleSheetLayoutView="40" zoomScalePageLayoutView="25" workbookViewId="0">
      <selection activeCell="N108" sqref="N108"/>
    </sheetView>
  </sheetViews>
  <sheetFormatPr defaultColWidth="9.140625" defaultRowHeight="54" customHeight="1"/>
  <cols>
    <col min="1" max="1" width="13.28515625" style="15" bestFit="1" customWidth="1"/>
    <col min="2" max="2" width="16.7109375" style="16" bestFit="1" customWidth="1"/>
    <col min="3" max="3" width="19.42578125" style="9" bestFit="1" customWidth="1"/>
    <col min="4" max="4" width="174.42578125" style="11" customWidth="1"/>
    <col min="5" max="5" width="24.85546875" style="9" customWidth="1"/>
    <col min="6" max="6" width="23.42578125" style="9" customWidth="1"/>
    <col min="7" max="7" width="18" style="10" customWidth="1"/>
    <col min="8" max="8" width="14.7109375" style="10" customWidth="1"/>
    <col min="9" max="9" width="15.140625" style="10" customWidth="1"/>
    <col min="10" max="10" width="14.7109375" style="10" customWidth="1"/>
    <col min="11" max="11" width="17.85546875" style="10" customWidth="1"/>
    <col min="12" max="12" width="14.7109375" style="8" customWidth="1"/>
    <col min="13" max="13" width="64.140625" style="6" customWidth="1"/>
    <col min="14" max="14" width="79.5703125" style="8" customWidth="1"/>
    <col min="15" max="15" width="26.42578125" style="8" customWidth="1"/>
    <col min="16" max="17" width="30.5703125" style="6" customWidth="1"/>
    <col min="18" max="16384" width="9.140625" style="4"/>
  </cols>
  <sheetData>
    <row r="1" spans="1:17" s="19" customFormat="1" ht="54" customHeight="1">
      <c r="A1" s="66"/>
      <c r="B1" s="18"/>
      <c r="C1" s="28"/>
      <c r="D1" s="29"/>
      <c r="E1" s="28"/>
      <c r="F1" s="28"/>
      <c r="G1" s="74"/>
      <c r="H1" s="75"/>
      <c r="I1" s="76"/>
      <c r="J1" s="76"/>
      <c r="K1" s="76"/>
      <c r="L1" s="43" t="s">
        <v>6</v>
      </c>
      <c r="M1" s="43"/>
      <c r="N1" s="341"/>
      <c r="O1" s="341"/>
      <c r="P1" s="341"/>
      <c r="Q1" s="18"/>
    </row>
    <row r="2" spans="1:17" s="19" customFormat="1" ht="54" customHeight="1">
      <c r="A2" s="17"/>
      <c r="B2" s="18"/>
      <c r="C2" s="30"/>
      <c r="D2" s="31"/>
      <c r="E2" s="32"/>
      <c r="F2" s="32"/>
      <c r="G2" s="64"/>
      <c r="H2" s="65"/>
      <c r="I2" s="65"/>
      <c r="J2" s="26"/>
      <c r="K2" s="26"/>
      <c r="L2" s="21"/>
      <c r="M2" s="18"/>
      <c r="N2" s="61"/>
      <c r="O2" s="25"/>
      <c r="P2" s="22"/>
      <c r="Q2" s="18"/>
    </row>
    <row r="3" spans="1:17" s="19" customFormat="1" ht="121.5" customHeight="1">
      <c r="A3" s="17"/>
      <c r="B3" s="18"/>
      <c r="C3" s="30"/>
      <c r="D3" s="33"/>
      <c r="E3" s="34"/>
      <c r="F3" s="34"/>
      <c r="G3" s="77"/>
      <c r="H3" s="78"/>
      <c r="I3" s="79"/>
      <c r="J3" s="79"/>
      <c r="K3" s="79"/>
      <c r="L3" s="342" t="s">
        <v>42</v>
      </c>
      <c r="M3" s="342"/>
      <c r="N3" s="61"/>
      <c r="O3" s="61"/>
      <c r="P3" s="20"/>
      <c r="Q3" s="23"/>
    </row>
    <row r="4" spans="1:17" s="19" customFormat="1" ht="54" customHeight="1">
      <c r="A4" s="17"/>
      <c r="B4" s="18"/>
      <c r="C4" s="30"/>
      <c r="D4" s="35"/>
      <c r="E4" s="30"/>
      <c r="F4" s="30"/>
      <c r="G4" s="37"/>
      <c r="H4" s="26"/>
      <c r="I4" s="26"/>
      <c r="J4" s="26"/>
      <c r="K4" s="26"/>
      <c r="L4" s="25"/>
      <c r="M4" s="22"/>
      <c r="N4" s="61"/>
      <c r="O4" s="61"/>
      <c r="P4" s="20"/>
      <c r="Q4" s="23"/>
    </row>
    <row r="5" spans="1:17" s="19" customFormat="1" ht="54" customHeight="1">
      <c r="A5" s="17"/>
      <c r="B5" s="18"/>
      <c r="C5" s="30"/>
      <c r="D5" s="35"/>
      <c r="E5" s="30"/>
      <c r="F5" s="36"/>
      <c r="G5" s="37"/>
      <c r="H5" s="26"/>
      <c r="I5" s="76"/>
      <c r="J5" s="76"/>
      <c r="K5" s="76"/>
      <c r="L5" s="343" t="s">
        <v>23</v>
      </c>
      <c r="M5" s="343"/>
      <c r="N5" s="61"/>
      <c r="O5" s="61"/>
      <c r="P5" s="20"/>
      <c r="Q5" s="23"/>
    </row>
    <row r="6" spans="1:17" s="19" customFormat="1" ht="54" customHeight="1">
      <c r="A6" s="17"/>
      <c r="B6" s="18"/>
      <c r="C6" s="17"/>
      <c r="D6" s="24"/>
      <c r="E6" s="17"/>
      <c r="F6" s="17"/>
      <c r="G6" s="26"/>
      <c r="H6" s="26"/>
      <c r="I6" s="26"/>
      <c r="J6" s="26"/>
      <c r="K6" s="26"/>
      <c r="L6" s="25"/>
      <c r="M6" s="18"/>
      <c r="N6" s="61"/>
      <c r="O6" s="61"/>
      <c r="P6" s="20"/>
      <c r="Q6" s="23"/>
    </row>
    <row r="7" spans="1:17" ht="54" customHeight="1">
      <c r="A7" s="344" t="s">
        <v>5907</v>
      </c>
      <c r="B7" s="344"/>
      <c r="C7" s="344"/>
      <c r="D7" s="344"/>
      <c r="E7" s="344"/>
      <c r="F7" s="344"/>
      <c r="G7" s="344"/>
      <c r="H7" s="344"/>
      <c r="I7" s="344"/>
      <c r="J7" s="344"/>
      <c r="K7" s="344"/>
      <c r="L7" s="344"/>
      <c r="M7" s="344"/>
      <c r="N7" s="62"/>
      <c r="O7" s="62"/>
      <c r="P7" s="5"/>
      <c r="Q7" s="7"/>
    </row>
    <row r="8" spans="1:17" ht="54" customHeight="1">
      <c r="A8" s="306"/>
      <c r="B8" s="306"/>
      <c r="C8" s="306"/>
      <c r="D8" s="306"/>
      <c r="E8" s="306"/>
      <c r="F8" s="306"/>
      <c r="G8" s="80"/>
      <c r="H8" s="80"/>
      <c r="I8" s="80"/>
      <c r="J8" s="80"/>
      <c r="K8" s="80"/>
      <c r="L8" s="306"/>
      <c r="M8" s="306"/>
      <c r="N8" s="62"/>
      <c r="O8" s="62"/>
      <c r="P8" s="5"/>
      <c r="Q8" s="7"/>
    </row>
    <row r="9" spans="1:17" ht="54" customHeight="1">
      <c r="A9" s="2"/>
      <c r="B9" s="3"/>
      <c r="D9" s="38"/>
      <c r="E9" s="2"/>
      <c r="F9" s="2" t="s">
        <v>31</v>
      </c>
      <c r="M9" s="3"/>
      <c r="N9" s="62"/>
      <c r="O9" s="62"/>
      <c r="P9" s="5"/>
      <c r="Q9" s="7"/>
    </row>
    <row r="10" spans="1:17" ht="54" customHeight="1" thickBot="1">
      <c r="A10" s="345" t="s">
        <v>35</v>
      </c>
      <c r="B10" s="345"/>
      <c r="C10" s="345"/>
      <c r="D10" s="40">
        <f>Данные!C22</f>
        <v>21</v>
      </c>
      <c r="E10" s="3"/>
      <c r="F10" s="3"/>
      <c r="G10" s="81"/>
      <c r="H10" s="81"/>
      <c r="I10" s="81"/>
      <c r="J10" s="81"/>
      <c r="K10" s="81"/>
      <c r="L10" s="27"/>
      <c r="M10" s="7"/>
      <c r="N10" s="27"/>
      <c r="O10" s="27"/>
      <c r="P10" s="7"/>
    </row>
    <row r="11" spans="1:17" ht="54" customHeight="1">
      <c r="A11" s="362" t="s">
        <v>9</v>
      </c>
      <c r="B11" s="362" t="s">
        <v>24</v>
      </c>
      <c r="C11" s="362" t="s">
        <v>5</v>
      </c>
      <c r="D11" s="348" t="s">
        <v>21</v>
      </c>
      <c r="E11" s="348" t="s">
        <v>29</v>
      </c>
      <c r="F11" s="348" t="s">
        <v>30</v>
      </c>
      <c r="G11" s="351" t="s">
        <v>7</v>
      </c>
      <c r="H11" s="352"/>
      <c r="I11" s="351" t="s">
        <v>19</v>
      </c>
      <c r="J11" s="352"/>
      <c r="K11" s="355" t="s">
        <v>20</v>
      </c>
      <c r="L11" s="356"/>
    </row>
    <row r="12" spans="1:17" ht="30" customHeight="1" thickBot="1">
      <c r="A12" s="363"/>
      <c r="B12" s="363"/>
      <c r="C12" s="363"/>
      <c r="D12" s="349"/>
      <c r="E12" s="349"/>
      <c r="F12" s="349"/>
      <c r="G12" s="353"/>
      <c r="H12" s="354"/>
      <c r="I12" s="353"/>
      <c r="J12" s="354"/>
      <c r="K12" s="357"/>
      <c r="L12" s="358"/>
    </row>
    <row r="13" spans="1:17" ht="32.25" thickBot="1">
      <c r="A13" s="364"/>
      <c r="B13" s="364"/>
      <c r="C13" s="364"/>
      <c r="D13" s="350"/>
      <c r="E13" s="350"/>
      <c r="F13" s="350"/>
      <c r="G13" s="69" t="s">
        <v>12</v>
      </c>
      <c r="H13" s="69" t="s">
        <v>13</v>
      </c>
      <c r="I13" s="69" t="s">
        <v>12</v>
      </c>
      <c r="J13" s="69" t="s">
        <v>13</v>
      </c>
      <c r="K13" s="70" t="s">
        <v>12</v>
      </c>
      <c r="L13" s="71" t="s">
        <v>13</v>
      </c>
    </row>
    <row r="14" spans="1:17" s="12" customFormat="1" ht="54" customHeight="1">
      <c r="A14" s="68">
        <v>1</v>
      </c>
      <c r="B14" s="68" t="s">
        <v>28</v>
      </c>
      <c r="C14" s="89">
        <v>1</v>
      </c>
      <c r="D14" s="73" t="s">
        <v>22</v>
      </c>
      <c r="E14" s="88">
        <v>41214</v>
      </c>
      <c r="F14" s="88">
        <v>43831</v>
      </c>
      <c r="G14" s="87">
        <v>7106</v>
      </c>
      <c r="H14" s="83"/>
      <c r="I14" s="82">
        <v>144</v>
      </c>
      <c r="J14" s="83"/>
      <c r="K14" s="82">
        <v>232</v>
      </c>
      <c r="L14" s="67"/>
      <c r="M14" s="8"/>
      <c r="N14" s="63"/>
      <c r="O14" s="63"/>
      <c r="Q14" s="13"/>
    </row>
    <row r="15" spans="1:17" s="12" customFormat="1" ht="54" customHeight="1">
      <c r="A15" s="68">
        <v>2</v>
      </c>
      <c r="B15" s="68" t="s">
        <v>28</v>
      </c>
      <c r="C15" s="89">
        <v>2</v>
      </c>
      <c r="D15" s="73" t="s">
        <v>5419</v>
      </c>
      <c r="E15" s="88">
        <v>41306</v>
      </c>
      <c r="F15" s="88">
        <v>43831</v>
      </c>
      <c r="G15" s="87">
        <v>42</v>
      </c>
      <c r="H15" s="83"/>
      <c r="I15" s="82">
        <v>1</v>
      </c>
      <c r="J15" s="83"/>
      <c r="K15" s="82">
        <v>14</v>
      </c>
      <c r="L15" s="67"/>
      <c r="M15" s="8"/>
      <c r="N15" s="63"/>
      <c r="O15" s="63"/>
      <c r="Q15" s="13"/>
    </row>
    <row r="16" spans="1:17" s="12" customFormat="1" ht="54" customHeight="1">
      <c r="A16" s="68">
        <v>3</v>
      </c>
      <c r="B16" s="68" t="s">
        <v>28</v>
      </c>
      <c r="C16" s="89">
        <v>3</v>
      </c>
      <c r="D16" s="73" t="s">
        <v>33</v>
      </c>
      <c r="E16" s="88">
        <v>41306</v>
      </c>
      <c r="F16" s="88">
        <v>43831</v>
      </c>
      <c r="G16" s="87">
        <v>0</v>
      </c>
      <c r="H16" s="83"/>
      <c r="I16" s="82">
        <v>0</v>
      </c>
      <c r="J16" s="83"/>
      <c r="K16" s="82">
        <v>1</v>
      </c>
      <c r="L16" s="67"/>
      <c r="M16" s="8"/>
      <c r="N16" s="63"/>
      <c r="O16" s="63"/>
      <c r="Q16" s="13"/>
    </row>
    <row r="17" spans="1:17" s="12" customFormat="1" ht="54" customHeight="1">
      <c r="A17" s="68">
        <v>4</v>
      </c>
      <c r="B17" s="68" t="s">
        <v>28</v>
      </c>
      <c r="C17" s="89">
        <v>4</v>
      </c>
      <c r="D17" s="73" t="s">
        <v>17</v>
      </c>
      <c r="E17" s="88">
        <v>41306</v>
      </c>
      <c r="F17" s="88">
        <v>43831</v>
      </c>
      <c r="G17" s="87">
        <v>443</v>
      </c>
      <c r="H17" s="83"/>
      <c r="I17" s="82">
        <v>64</v>
      </c>
      <c r="J17" s="83"/>
      <c r="K17" s="82">
        <v>185</v>
      </c>
      <c r="L17" s="67"/>
      <c r="M17" s="8"/>
      <c r="N17" s="63"/>
      <c r="O17" s="63"/>
      <c r="Q17" s="13"/>
    </row>
    <row r="18" spans="1:17" s="12" customFormat="1" ht="54" customHeight="1">
      <c r="A18" s="68">
        <v>5</v>
      </c>
      <c r="B18" s="68" t="s">
        <v>28</v>
      </c>
      <c r="C18" s="89">
        <v>5</v>
      </c>
      <c r="D18" s="73" t="s">
        <v>18</v>
      </c>
      <c r="E18" s="88">
        <v>41306</v>
      </c>
      <c r="F18" s="88">
        <v>43831</v>
      </c>
      <c r="G18" s="87">
        <v>23</v>
      </c>
      <c r="H18" s="83"/>
      <c r="I18" s="82">
        <v>12</v>
      </c>
      <c r="J18" s="83"/>
      <c r="K18" s="82">
        <v>21</v>
      </c>
      <c r="L18" s="67"/>
      <c r="M18" s="8"/>
      <c r="N18" s="63"/>
      <c r="O18" s="63"/>
      <c r="Q18" s="13"/>
    </row>
    <row r="19" spans="1:17" s="12" customFormat="1" ht="54" customHeight="1">
      <c r="A19" s="68">
        <v>6</v>
      </c>
      <c r="B19" s="68" t="s">
        <v>28</v>
      </c>
      <c r="C19" s="89">
        <v>7</v>
      </c>
      <c r="D19" s="73" t="s">
        <v>5817</v>
      </c>
      <c r="E19" s="88">
        <v>41306</v>
      </c>
      <c r="F19" s="88">
        <v>43831</v>
      </c>
      <c r="G19" s="87">
        <v>11</v>
      </c>
      <c r="H19" s="83"/>
      <c r="I19" s="82">
        <v>0</v>
      </c>
      <c r="J19" s="83"/>
      <c r="K19" s="82">
        <v>5</v>
      </c>
      <c r="L19" s="67"/>
      <c r="M19" s="8"/>
      <c r="N19" s="63"/>
      <c r="O19" s="63"/>
      <c r="Q19" s="13"/>
    </row>
    <row r="20" spans="1:17" s="12" customFormat="1" ht="54" customHeight="1">
      <c r="A20" s="68">
        <v>7</v>
      </c>
      <c r="B20" s="68" t="s">
        <v>28</v>
      </c>
      <c r="C20" s="89">
        <v>6</v>
      </c>
      <c r="D20" s="73" t="s">
        <v>78</v>
      </c>
      <c r="E20" s="88">
        <v>43958</v>
      </c>
      <c r="F20" s="88">
        <v>43958</v>
      </c>
      <c r="G20" s="87">
        <v>262</v>
      </c>
      <c r="H20" s="83"/>
      <c r="I20" s="82">
        <v>25</v>
      </c>
      <c r="J20" s="83"/>
      <c r="K20" s="82">
        <v>99</v>
      </c>
      <c r="L20" s="67"/>
      <c r="M20" s="8"/>
      <c r="N20" s="63"/>
      <c r="O20" s="63"/>
      <c r="Q20" s="13"/>
    </row>
    <row r="21" spans="1:17" s="12" customFormat="1" ht="54" customHeight="1">
      <c r="A21" s="68">
        <v>8</v>
      </c>
      <c r="B21" s="68" t="s">
        <v>115</v>
      </c>
      <c r="C21" s="89">
        <v>3282</v>
      </c>
      <c r="D21" s="73" t="s">
        <v>6198</v>
      </c>
      <c r="E21" s="88">
        <v>44536</v>
      </c>
      <c r="F21" s="88">
        <v>44651</v>
      </c>
      <c r="G21" s="87">
        <v>46</v>
      </c>
      <c r="H21" s="83"/>
      <c r="I21" s="82">
        <v>15</v>
      </c>
      <c r="J21" s="83"/>
      <c r="K21" s="82">
        <v>26</v>
      </c>
      <c r="L21" s="67"/>
      <c r="M21" s="8"/>
      <c r="N21" s="63"/>
      <c r="O21" s="63"/>
      <c r="Q21" s="13"/>
    </row>
    <row r="22" spans="1:17" s="12" customFormat="1" ht="54" customHeight="1">
      <c r="A22" s="68">
        <v>9</v>
      </c>
      <c r="B22" s="68" t="s">
        <v>115</v>
      </c>
      <c r="C22" s="89">
        <v>3358</v>
      </c>
      <c r="D22" s="73" t="s">
        <v>6198</v>
      </c>
      <c r="E22" s="88">
        <v>44543</v>
      </c>
      <c r="F22" s="88">
        <v>44651</v>
      </c>
      <c r="G22" s="87">
        <v>7</v>
      </c>
      <c r="H22" s="83"/>
      <c r="I22" s="82">
        <v>2</v>
      </c>
      <c r="J22" s="83"/>
      <c r="K22" s="82">
        <v>6</v>
      </c>
      <c r="L22" s="67"/>
      <c r="M22" s="8"/>
      <c r="N22" s="63"/>
      <c r="O22" s="63"/>
      <c r="Q22" s="13"/>
    </row>
    <row r="23" spans="1:17" s="12" customFormat="1" ht="54" customHeight="1">
      <c r="A23" s="68">
        <v>10</v>
      </c>
      <c r="B23" s="68" t="s">
        <v>46</v>
      </c>
      <c r="C23" s="89">
        <v>3304</v>
      </c>
      <c r="D23" s="73" t="s">
        <v>6198</v>
      </c>
      <c r="E23" s="88">
        <v>44554</v>
      </c>
      <c r="F23" s="88">
        <v>44651</v>
      </c>
      <c r="G23" s="87">
        <v>0</v>
      </c>
      <c r="H23" s="83"/>
      <c r="I23" s="82">
        <v>0</v>
      </c>
      <c r="J23" s="83"/>
      <c r="K23" s="82">
        <v>1</v>
      </c>
      <c r="L23" s="67"/>
      <c r="M23" s="8"/>
      <c r="N23" s="63"/>
      <c r="O23" s="63"/>
      <c r="Q23" s="13"/>
    </row>
    <row r="24" spans="1:17" s="12" customFormat="1" ht="54" customHeight="1">
      <c r="A24" s="68">
        <v>11</v>
      </c>
      <c r="B24" s="68" t="s">
        <v>4996</v>
      </c>
      <c r="C24" s="89">
        <v>3409</v>
      </c>
      <c r="D24" s="73" t="s">
        <v>6198</v>
      </c>
      <c r="E24" s="88">
        <v>44580</v>
      </c>
      <c r="F24" s="88">
        <v>44651</v>
      </c>
      <c r="G24" s="87">
        <v>19</v>
      </c>
      <c r="H24" s="83"/>
      <c r="I24" s="82">
        <v>5</v>
      </c>
      <c r="J24" s="83"/>
      <c r="K24" s="82">
        <v>9</v>
      </c>
      <c r="L24" s="67"/>
      <c r="M24" s="8"/>
      <c r="N24" s="63"/>
      <c r="O24" s="63"/>
      <c r="Q24" s="13"/>
    </row>
    <row r="25" spans="1:17" s="12" customFormat="1" ht="54" customHeight="1">
      <c r="A25" s="68">
        <v>12</v>
      </c>
      <c r="B25" s="68" t="s">
        <v>44</v>
      </c>
      <c r="C25" s="89">
        <v>3464</v>
      </c>
      <c r="D25" s="73" t="s">
        <v>6198</v>
      </c>
      <c r="E25" s="88">
        <v>44596</v>
      </c>
      <c r="F25" s="88">
        <v>44651</v>
      </c>
      <c r="G25" s="87">
        <v>0</v>
      </c>
      <c r="H25" s="83"/>
      <c r="I25" s="82">
        <v>0</v>
      </c>
      <c r="J25" s="83"/>
      <c r="K25" s="82">
        <v>1</v>
      </c>
      <c r="L25" s="67"/>
      <c r="M25" s="8"/>
      <c r="N25" s="63"/>
      <c r="O25" s="63"/>
      <c r="Q25" s="13"/>
    </row>
    <row r="26" spans="1:17" s="12" customFormat="1" ht="54" customHeight="1">
      <c r="A26" s="68">
        <v>13</v>
      </c>
      <c r="B26" s="68" t="s">
        <v>125</v>
      </c>
      <c r="C26" s="89">
        <v>3417</v>
      </c>
      <c r="D26" s="73" t="s">
        <v>6198</v>
      </c>
      <c r="E26" s="88">
        <v>44599</v>
      </c>
      <c r="F26" s="88">
        <v>44651</v>
      </c>
      <c r="G26" s="87">
        <v>51</v>
      </c>
      <c r="H26" s="83"/>
      <c r="I26" s="82">
        <v>0</v>
      </c>
      <c r="J26" s="83"/>
      <c r="K26" s="82">
        <v>1</v>
      </c>
      <c r="L26" s="67"/>
      <c r="M26" s="8"/>
      <c r="N26" s="63"/>
      <c r="O26" s="63"/>
      <c r="Q26" s="13"/>
    </row>
    <row r="27" spans="1:17" s="12" customFormat="1" ht="54" customHeight="1" thickBot="1">
      <c r="A27" s="68">
        <v>14</v>
      </c>
      <c r="B27" s="68" t="s">
        <v>34</v>
      </c>
      <c r="C27" s="89">
        <v>3559</v>
      </c>
      <c r="D27" s="73" t="s">
        <v>6198</v>
      </c>
      <c r="E27" s="88">
        <v>44636</v>
      </c>
      <c r="F27" s="88">
        <v>44651</v>
      </c>
      <c r="G27" s="87">
        <v>16</v>
      </c>
      <c r="H27" s="83"/>
      <c r="I27" s="82">
        <v>1</v>
      </c>
      <c r="J27" s="83"/>
      <c r="K27" s="82">
        <v>10</v>
      </c>
      <c r="L27" s="67"/>
      <c r="M27" s="8"/>
      <c r="N27" s="63"/>
      <c r="O27" s="63"/>
      <c r="Q27" s="13"/>
    </row>
    <row r="28" spans="1:17" s="12" customFormat="1" ht="54" customHeight="1" thickBot="1">
      <c r="A28" s="359" t="s">
        <v>37</v>
      </c>
      <c r="B28" s="360"/>
      <c r="C28" s="361"/>
      <c r="D28" s="73"/>
      <c r="E28" s="88"/>
      <c r="F28" s="88"/>
      <c r="G28" s="91">
        <f>SUM(G14:G27)</f>
        <v>8026</v>
      </c>
      <c r="H28" s="91"/>
      <c r="I28" s="91">
        <f>SUM(I14:I27)</f>
        <v>269</v>
      </c>
      <c r="J28" s="91"/>
      <c r="K28" s="91">
        <f>SUM(K14:K27)</f>
        <v>611</v>
      </c>
      <c r="L28" s="86"/>
      <c r="M28" s="8"/>
      <c r="N28" s="63"/>
      <c r="O28" s="63"/>
      <c r="Q28" s="13"/>
    </row>
    <row r="29" spans="1:17" s="12" customFormat="1" ht="54" customHeight="1">
      <c r="A29" s="68">
        <v>15</v>
      </c>
      <c r="B29" s="68" t="s">
        <v>147</v>
      </c>
      <c r="C29" s="89">
        <v>3011</v>
      </c>
      <c r="D29" s="73" t="s">
        <v>6198</v>
      </c>
      <c r="E29" s="88">
        <v>44585</v>
      </c>
      <c r="F29" s="88">
        <v>44607</v>
      </c>
      <c r="G29" s="87">
        <v>99</v>
      </c>
      <c r="H29" s="83"/>
      <c r="I29" s="82">
        <v>33</v>
      </c>
      <c r="J29" s="83"/>
      <c r="K29" s="82">
        <v>33</v>
      </c>
      <c r="L29" s="67"/>
      <c r="M29" s="8"/>
      <c r="N29" s="63"/>
      <c r="O29" s="63"/>
      <c r="Q29" s="13"/>
    </row>
    <row r="30" spans="1:17" s="12" customFormat="1" ht="54" customHeight="1">
      <c r="A30" s="68">
        <v>16</v>
      </c>
      <c r="B30" s="68" t="s">
        <v>147</v>
      </c>
      <c r="C30" s="89">
        <v>3380</v>
      </c>
      <c r="D30" s="73" t="s">
        <v>6198</v>
      </c>
      <c r="E30" s="88">
        <v>44585</v>
      </c>
      <c r="F30" s="88">
        <v>44607</v>
      </c>
      <c r="G30" s="87">
        <v>139</v>
      </c>
      <c r="H30" s="83"/>
      <c r="I30" s="82">
        <v>23</v>
      </c>
      <c r="J30" s="83"/>
      <c r="K30" s="82">
        <v>23</v>
      </c>
      <c r="L30" s="67"/>
      <c r="M30" s="8"/>
      <c r="N30" s="63"/>
      <c r="O30" s="63"/>
      <c r="Q30" s="13"/>
    </row>
    <row r="31" spans="1:17" s="12" customFormat="1" ht="54" customHeight="1">
      <c r="A31" s="68">
        <v>17</v>
      </c>
      <c r="B31" s="68" t="s">
        <v>147</v>
      </c>
      <c r="C31" s="89">
        <v>3407</v>
      </c>
      <c r="D31" s="73" t="s">
        <v>6198</v>
      </c>
      <c r="E31" s="88">
        <v>44585</v>
      </c>
      <c r="F31" s="88">
        <v>44607</v>
      </c>
      <c r="G31" s="87">
        <v>135</v>
      </c>
      <c r="H31" s="83"/>
      <c r="I31" s="82">
        <v>20</v>
      </c>
      <c r="J31" s="83"/>
      <c r="K31" s="82">
        <v>20</v>
      </c>
      <c r="L31" s="67"/>
      <c r="M31" s="8"/>
      <c r="N31" s="63"/>
      <c r="O31" s="63"/>
      <c r="Q31" s="13"/>
    </row>
    <row r="32" spans="1:17" s="12" customFormat="1" ht="54" customHeight="1">
      <c r="A32" s="68">
        <v>18</v>
      </c>
      <c r="B32" s="68" t="s">
        <v>34</v>
      </c>
      <c r="C32" s="89">
        <v>3316</v>
      </c>
      <c r="D32" s="73" t="s">
        <v>6198</v>
      </c>
      <c r="E32" s="88">
        <v>44583</v>
      </c>
      <c r="F32" s="88">
        <v>44614</v>
      </c>
      <c r="G32" s="87">
        <v>1218</v>
      </c>
      <c r="H32" s="83"/>
      <c r="I32" s="82">
        <v>421</v>
      </c>
      <c r="J32" s="83"/>
      <c r="K32" s="82">
        <v>421</v>
      </c>
      <c r="L32" s="67"/>
      <c r="M32" s="8"/>
      <c r="N32" s="63"/>
      <c r="O32" s="63"/>
      <c r="Q32" s="13"/>
    </row>
    <row r="33" spans="1:17" s="12" customFormat="1" ht="54" customHeight="1">
      <c r="A33" s="68">
        <v>19</v>
      </c>
      <c r="B33" s="68" t="s">
        <v>147</v>
      </c>
      <c r="C33" s="89">
        <v>3001</v>
      </c>
      <c r="D33" s="73" t="s">
        <v>6198</v>
      </c>
      <c r="E33" s="88">
        <v>44652</v>
      </c>
      <c r="F33" s="88">
        <v>44652</v>
      </c>
      <c r="G33" s="87">
        <v>362</v>
      </c>
      <c r="H33" s="83"/>
      <c r="I33" s="82">
        <v>145</v>
      </c>
      <c r="J33" s="83"/>
      <c r="K33" s="82">
        <v>145</v>
      </c>
      <c r="L33" s="67"/>
      <c r="M33" s="8"/>
      <c r="N33" s="63"/>
      <c r="O33" s="63"/>
      <c r="Q33" s="13"/>
    </row>
    <row r="34" spans="1:17" s="12" customFormat="1" ht="54" customHeight="1">
      <c r="A34" s="68">
        <v>20</v>
      </c>
      <c r="B34" s="68" t="s">
        <v>147</v>
      </c>
      <c r="C34" s="89">
        <v>3004</v>
      </c>
      <c r="D34" s="73" t="s">
        <v>6198</v>
      </c>
      <c r="E34" s="88">
        <v>44652</v>
      </c>
      <c r="F34" s="88">
        <v>44652</v>
      </c>
      <c r="G34" s="87">
        <v>272</v>
      </c>
      <c r="H34" s="83"/>
      <c r="I34" s="82">
        <v>39</v>
      </c>
      <c r="J34" s="83"/>
      <c r="K34" s="82">
        <v>39</v>
      </c>
      <c r="L34" s="67"/>
      <c r="M34" s="8"/>
      <c r="N34" s="63"/>
      <c r="O34" s="63"/>
      <c r="Q34" s="13"/>
    </row>
    <row r="35" spans="1:17" s="12" customFormat="1" ht="54" customHeight="1">
      <c r="A35" s="68">
        <v>21</v>
      </c>
      <c r="B35" s="68" t="s">
        <v>147</v>
      </c>
      <c r="C35" s="89">
        <v>3005</v>
      </c>
      <c r="D35" s="73" t="s">
        <v>6198</v>
      </c>
      <c r="E35" s="88">
        <v>44652</v>
      </c>
      <c r="F35" s="88">
        <v>44652</v>
      </c>
      <c r="G35" s="87">
        <v>46</v>
      </c>
      <c r="H35" s="83"/>
      <c r="I35" s="82">
        <v>21</v>
      </c>
      <c r="J35" s="83"/>
      <c r="K35" s="82">
        <v>21</v>
      </c>
      <c r="L35" s="67"/>
      <c r="M35" s="8"/>
      <c r="N35" s="63"/>
      <c r="O35" s="63"/>
      <c r="Q35" s="13"/>
    </row>
    <row r="36" spans="1:17" s="12" customFormat="1" ht="54" customHeight="1">
      <c r="A36" s="68">
        <v>22</v>
      </c>
      <c r="B36" s="68" t="s">
        <v>147</v>
      </c>
      <c r="C36" s="89">
        <v>3006</v>
      </c>
      <c r="D36" s="73" t="s">
        <v>6198</v>
      </c>
      <c r="E36" s="88">
        <v>44652</v>
      </c>
      <c r="F36" s="88">
        <v>44652</v>
      </c>
      <c r="G36" s="87">
        <v>273</v>
      </c>
      <c r="H36" s="83"/>
      <c r="I36" s="82">
        <v>128</v>
      </c>
      <c r="J36" s="83"/>
      <c r="K36" s="82">
        <v>128</v>
      </c>
      <c r="L36" s="67"/>
      <c r="M36" s="8"/>
      <c r="N36" s="63"/>
      <c r="O36" s="63"/>
      <c r="Q36" s="13"/>
    </row>
    <row r="37" spans="1:17" s="12" customFormat="1" ht="54" customHeight="1">
      <c r="A37" s="68">
        <v>23</v>
      </c>
      <c r="B37" s="68" t="s">
        <v>147</v>
      </c>
      <c r="C37" s="89">
        <v>3007</v>
      </c>
      <c r="D37" s="73" t="s">
        <v>6198</v>
      </c>
      <c r="E37" s="88">
        <v>44652</v>
      </c>
      <c r="F37" s="88">
        <v>44652</v>
      </c>
      <c r="G37" s="87">
        <v>63</v>
      </c>
      <c r="H37" s="83"/>
      <c r="I37" s="82">
        <v>31</v>
      </c>
      <c r="J37" s="83"/>
      <c r="K37" s="82">
        <v>31</v>
      </c>
      <c r="L37" s="67"/>
      <c r="M37" s="8"/>
      <c r="N37" s="63"/>
      <c r="O37" s="63"/>
      <c r="Q37" s="13"/>
    </row>
    <row r="38" spans="1:17" s="12" customFormat="1" ht="54" customHeight="1">
      <c r="A38" s="68">
        <v>24</v>
      </c>
      <c r="B38" s="68" t="s">
        <v>147</v>
      </c>
      <c r="C38" s="89">
        <v>3008</v>
      </c>
      <c r="D38" s="73" t="s">
        <v>6198</v>
      </c>
      <c r="E38" s="88">
        <v>44652</v>
      </c>
      <c r="F38" s="88">
        <v>44652</v>
      </c>
      <c r="G38" s="87">
        <v>23</v>
      </c>
      <c r="H38" s="83"/>
      <c r="I38" s="82">
        <v>9</v>
      </c>
      <c r="J38" s="83"/>
      <c r="K38" s="82">
        <v>9</v>
      </c>
      <c r="L38" s="67"/>
      <c r="M38" s="8"/>
      <c r="N38" s="63"/>
      <c r="O38" s="63"/>
      <c r="Q38" s="13"/>
    </row>
    <row r="39" spans="1:17" s="12" customFormat="1" ht="54" customHeight="1">
      <c r="A39" s="68">
        <v>25</v>
      </c>
      <c r="B39" s="68" t="s">
        <v>147</v>
      </c>
      <c r="C39" s="89">
        <v>3009</v>
      </c>
      <c r="D39" s="73" t="s">
        <v>6198</v>
      </c>
      <c r="E39" s="88">
        <v>44652</v>
      </c>
      <c r="F39" s="88">
        <v>44652</v>
      </c>
      <c r="G39" s="87">
        <v>11</v>
      </c>
      <c r="H39" s="83"/>
      <c r="I39" s="82">
        <v>9</v>
      </c>
      <c r="J39" s="83"/>
      <c r="K39" s="82">
        <v>9</v>
      </c>
      <c r="L39" s="67"/>
      <c r="M39" s="8"/>
      <c r="N39" s="63"/>
      <c r="O39" s="63"/>
      <c r="Q39" s="13"/>
    </row>
    <row r="40" spans="1:17" s="12" customFormat="1" ht="54" customHeight="1">
      <c r="A40" s="68">
        <v>26</v>
      </c>
      <c r="B40" s="68" t="s">
        <v>147</v>
      </c>
      <c r="C40" s="89">
        <v>3010</v>
      </c>
      <c r="D40" s="73" t="s">
        <v>6198</v>
      </c>
      <c r="E40" s="88">
        <v>44652</v>
      </c>
      <c r="F40" s="88">
        <v>44652</v>
      </c>
      <c r="G40" s="87">
        <v>62</v>
      </c>
      <c r="H40" s="83"/>
      <c r="I40" s="82">
        <v>37</v>
      </c>
      <c r="J40" s="83"/>
      <c r="K40" s="82">
        <v>37</v>
      </c>
      <c r="L40" s="67"/>
      <c r="M40" s="8"/>
      <c r="N40" s="63"/>
      <c r="O40" s="63"/>
      <c r="Q40" s="13"/>
    </row>
    <row r="41" spans="1:17" s="12" customFormat="1" ht="54" customHeight="1">
      <c r="A41" s="68">
        <v>27</v>
      </c>
      <c r="B41" s="68" t="s">
        <v>46</v>
      </c>
      <c r="C41" s="89">
        <v>3012</v>
      </c>
      <c r="D41" s="73" t="s">
        <v>6198</v>
      </c>
      <c r="E41" s="88">
        <v>44652</v>
      </c>
      <c r="F41" s="88">
        <v>44652</v>
      </c>
      <c r="G41" s="87">
        <v>946</v>
      </c>
      <c r="H41" s="83"/>
      <c r="I41" s="82">
        <v>39</v>
      </c>
      <c r="J41" s="83"/>
      <c r="K41" s="82">
        <v>39</v>
      </c>
      <c r="L41" s="67"/>
      <c r="M41" s="8"/>
      <c r="N41" s="63"/>
      <c r="O41" s="63"/>
      <c r="Q41" s="13"/>
    </row>
    <row r="42" spans="1:17" s="12" customFormat="1" ht="54" customHeight="1">
      <c r="A42" s="68">
        <v>28</v>
      </c>
      <c r="B42" s="68" t="s">
        <v>46</v>
      </c>
      <c r="C42" s="89">
        <v>3013</v>
      </c>
      <c r="D42" s="73" t="s">
        <v>6198</v>
      </c>
      <c r="E42" s="88">
        <v>44652</v>
      </c>
      <c r="F42" s="88">
        <v>44652</v>
      </c>
      <c r="G42" s="87">
        <v>959</v>
      </c>
      <c r="H42" s="83"/>
      <c r="I42" s="82">
        <v>128</v>
      </c>
      <c r="J42" s="83"/>
      <c r="K42" s="82">
        <v>128</v>
      </c>
      <c r="L42" s="67"/>
      <c r="M42" s="8"/>
      <c r="N42" s="63"/>
      <c r="O42" s="63"/>
      <c r="Q42" s="13"/>
    </row>
    <row r="43" spans="1:17" s="12" customFormat="1" ht="54" customHeight="1">
      <c r="A43" s="68">
        <v>29</v>
      </c>
      <c r="B43" s="68" t="s">
        <v>147</v>
      </c>
      <c r="C43" s="89">
        <v>3369</v>
      </c>
      <c r="D43" s="73" t="s">
        <v>6198</v>
      </c>
      <c r="E43" s="88">
        <v>44652</v>
      </c>
      <c r="F43" s="88">
        <v>44652</v>
      </c>
      <c r="G43" s="87">
        <v>1466</v>
      </c>
      <c r="H43" s="83"/>
      <c r="I43" s="82">
        <v>487</v>
      </c>
      <c r="J43" s="83"/>
      <c r="K43" s="82">
        <v>487</v>
      </c>
      <c r="L43" s="67"/>
      <c r="M43" s="8"/>
      <c r="N43" s="63"/>
      <c r="O43" s="63"/>
      <c r="Q43" s="13"/>
    </row>
    <row r="44" spans="1:17" s="12" customFormat="1" ht="54" customHeight="1">
      <c r="A44" s="68">
        <v>30</v>
      </c>
      <c r="B44" s="68" t="s">
        <v>147</v>
      </c>
      <c r="C44" s="89">
        <v>3371</v>
      </c>
      <c r="D44" s="73" t="s">
        <v>6198</v>
      </c>
      <c r="E44" s="88">
        <v>44652</v>
      </c>
      <c r="F44" s="88">
        <v>44652</v>
      </c>
      <c r="G44" s="87">
        <v>236</v>
      </c>
      <c r="H44" s="83"/>
      <c r="I44" s="82">
        <v>64</v>
      </c>
      <c r="J44" s="83"/>
      <c r="K44" s="82">
        <v>64</v>
      </c>
      <c r="L44" s="67"/>
      <c r="M44" s="8"/>
      <c r="N44" s="63"/>
      <c r="O44" s="63"/>
      <c r="Q44" s="13"/>
    </row>
    <row r="45" spans="1:17" s="12" customFormat="1" ht="54" customHeight="1">
      <c r="A45" s="68">
        <v>31</v>
      </c>
      <c r="B45" s="68" t="s">
        <v>147</v>
      </c>
      <c r="C45" s="89">
        <v>3376</v>
      </c>
      <c r="D45" s="73" t="s">
        <v>6198</v>
      </c>
      <c r="E45" s="88">
        <v>44652</v>
      </c>
      <c r="F45" s="88">
        <v>44652</v>
      </c>
      <c r="G45" s="87">
        <v>243</v>
      </c>
      <c r="H45" s="83"/>
      <c r="I45" s="82">
        <v>93</v>
      </c>
      <c r="J45" s="83"/>
      <c r="K45" s="82">
        <v>93</v>
      </c>
      <c r="L45" s="67"/>
      <c r="M45" s="8"/>
      <c r="N45" s="63"/>
      <c r="O45" s="63"/>
      <c r="Q45" s="13"/>
    </row>
    <row r="46" spans="1:17" s="12" customFormat="1" ht="54" customHeight="1">
      <c r="A46" s="68">
        <v>32</v>
      </c>
      <c r="B46" s="68" t="s">
        <v>142</v>
      </c>
      <c r="C46" s="89">
        <v>3379</v>
      </c>
      <c r="D46" s="73" t="s">
        <v>6198</v>
      </c>
      <c r="E46" s="88">
        <v>44652</v>
      </c>
      <c r="F46" s="88">
        <v>44652</v>
      </c>
      <c r="G46" s="87">
        <v>4091</v>
      </c>
      <c r="H46" s="83"/>
      <c r="I46" s="82">
        <v>63</v>
      </c>
      <c r="J46" s="83"/>
      <c r="K46" s="82">
        <v>63</v>
      </c>
      <c r="L46" s="67"/>
      <c r="M46" s="8"/>
      <c r="N46" s="63"/>
      <c r="O46" s="63"/>
      <c r="Q46" s="13"/>
    </row>
    <row r="47" spans="1:17" s="12" customFormat="1" ht="54" customHeight="1">
      <c r="A47" s="68">
        <v>33</v>
      </c>
      <c r="B47" s="68" t="s">
        <v>4558</v>
      </c>
      <c r="C47" s="89">
        <v>3391</v>
      </c>
      <c r="D47" s="73" t="s">
        <v>6198</v>
      </c>
      <c r="E47" s="88">
        <v>44652</v>
      </c>
      <c r="F47" s="88">
        <v>44652</v>
      </c>
      <c r="G47" s="87">
        <v>1211</v>
      </c>
      <c r="H47" s="83"/>
      <c r="I47" s="82">
        <v>273</v>
      </c>
      <c r="J47" s="83"/>
      <c r="K47" s="82">
        <v>273</v>
      </c>
      <c r="L47" s="67"/>
      <c r="M47" s="8"/>
      <c r="N47" s="63"/>
      <c r="O47" s="63"/>
      <c r="Q47" s="13"/>
    </row>
    <row r="48" spans="1:17" s="12" customFormat="1" ht="54" customHeight="1">
      <c r="A48" s="68">
        <v>34</v>
      </c>
      <c r="B48" s="68" t="s">
        <v>4558</v>
      </c>
      <c r="C48" s="89">
        <v>3392</v>
      </c>
      <c r="D48" s="73" t="s">
        <v>6198</v>
      </c>
      <c r="E48" s="88">
        <v>44652</v>
      </c>
      <c r="F48" s="88">
        <v>44652</v>
      </c>
      <c r="G48" s="87">
        <v>32</v>
      </c>
      <c r="H48" s="83"/>
      <c r="I48" s="82">
        <v>13</v>
      </c>
      <c r="J48" s="83"/>
      <c r="K48" s="82">
        <v>13</v>
      </c>
      <c r="L48" s="67"/>
      <c r="M48" s="8"/>
      <c r="N48" s="63"/>
      <c r="O48" s="63"/>
      <c r="Q48" s="13"/>
    </row>
    <row r="49" spans="1:17" s="12" customFormat="1" ht="54" customHeight="1">
      <c r="A49" s="68">
        <v>35</v>
      </c>
      <c r="B49" s="68" t="s">
        <v>4558</v>
      </c>
      <c r="C49" s="89">
        <v>3393</v>
      </c>
      <c r="D49" s="73" t="s">
        <v>6198</v>
      </c>
      <c r="E49" s="88">
        <v>44652</v>
      </c>
      <c r="F49" s="88">
        <v>44652</v>
      </c>
      <c r="G49" s="87">
        <v>290</v>
      </c>
      <c r="H49" s="83"/>
      <c r="I49" s="82">
        <v>63</v>
      </c>
      <c r="J49" s="83"/>
      <c r="K49" s="82">
        <v>63</v>
      </c>
      <c r="L49" s="67"/>
      <c r="M49" s="8"/>
      <c r="N49" s="63"/>
      <c r="O49" s="63"/>
      <c r="Q49" s="13"/>
    </row>
    <row r="50" spans="1:17" s="12" customFormat="1" ht="54" customHeight="1">
      <c r="A50" s="68">
        <v>36</v>
      </c>
      <c r="B50" s="68" t="s">
        <v>4558</v>
      </c>
      <c r="C50" s="89">
        <v>3394</v>
      </c>
      <c r="D50" s="73" t="s">
        <v>6198</v>
      </c>
      <c r="E50" s="88">
        <v>44652</v>
      </c>
      <c r="F50" s="88">
        <v>44652</v>
      </c>
      <c r="G50" s="87">
        <v>123</v>
      </c>
      <c r="H50" s="83"/>
      <c r="I50" s="82">
        <v>27</v>
      </c>
      <c r="J50" s="83"/>
      <c r="K50" s="82">
        <v>27</v>
      </c>
      <c r="L50" s="67"/>
      <c r="M50" s="8"/>
      <c r="N50" s="63"/>
      <c r="O50" s="63"/>
      <c r="Q50" s="13"/>
    </row>
    <row r="51" spans="1:17" s="12" customFormat="1" ht="54" customHeight="1">
      <c r="A51" s="68">
        <v>37</v>
      </c>
      <c r="B51" s="68" t="s">
        <v>4558</v>
      </c>
      <c r="C51" s="89">
        <v>3395</v>
      </c>
      <c r="D51" s="73" t="s">
        <v>6198</v>
      </c>
      <c r="E51" s="88">
        <v>44652</v>
      </c>
      <c r="F51" s="88">
        <v>44652</v>
      </c>
      <c r="G51" s="87">
        <v>107</v>
      </c>
      <c r="H51" s="83"/>
      <c r="I51" s="82">
        <v>46</v>
      </c>
      <c r="J51" s="83"/>
      <c r="K51" s="82">
        <v>46</v>
      </c>
      <c r="L51" s="67"/>
      <c r="M51" s="8"/>
      <c r="N51" s="63"/>
      <c r="O51" s="63"/>
      <c r="Q51" s="13"/>
    </row>
    <row r="52" spans="1:17" s="12" customFormat="1" ht="54" customHeight="1">
      <c r="A52" s="68">
        <v>38</v>
      </c>
      <c r="B52" s="68" t="s">
        <v>4558</v>
      </c>
      <c r="C52" s="89">
        <v>3396</v>
      </c>
      <c r="D52" s="73" t="s">
        <v>6198</v>
      </c>
      <c r="E52" s="88">
        <v>44652</v>
      </c>
      <c r="F52" s="88">
        <v>44652</v>
      </c>
      <c r="G52" s="87">
        <v>16</v>
      </c>
      <c r="H52" s="83"/>
      <c r="I52" s="82">
        <v>3</v>
      </c>
      <c r="J52" s="83"/>
      <c r="K52" s="82">
        <v>3</v>
      </c>
      <c r="L52" s="67"/>
      <c r="M52" s="8"/>
      <c r="N52" s="63"/>
      <c r="O52" s="63"/>
      <c r="Q52" s="13"/>
    </row>
    <row r="53" spans="1:17" s="12" customFormat="1" ht="54" customHeight="1">
      <c r="A53" s="68">
        <v>39</v>
      </c>
      <c r="B53" s="68" t="s">
        <v>4558</v>
      </c>
      <c r="C53" s="89">
        <v>3397</v>
      </c>
      <c r="D53" s="73" t="s">
        <v>6198</v>
      </c>
      <c r="E53" s="88">
        <v>44652</v>
      </c>
      <c r="F53" s="88">
        <v>44652</v>
      </c>
      <c r="G53" s="87">
        <v>178</v>
      </c>
      <c r="H53" s="83"/>
      <c r="I53" s="82">
        <v>40</v>
      </c>
      <c r="J53" s="83"/>
      <c r="K53" s="82">
        <v>40</v>
      </c>
      <c r="L53" s="67"/>
      <c r="M53" s="8"/>
      <c r="N53" s="63"/>
      <c r="O53" s="63"/>
      <c r="Q53" s="13"/>
    </row>
    <row r="54" spans="1:17" s="12" customFormat="1" ht="54" customHeight="1">
      <c r="A54" s="68">
        <v>40</v>
      </c>
      <c r="B54" s="68" t="s">
        <v>4558</v>
      </c>
      <c r="C54" s="89">
        <v>3398</v>
      </c>
      <c r="D54" s="73" t="s">
        <v>6198</v>
      </c>
      <c r="E54" s="88">
        <v>44652</v>
      </c>
      <c r="F54" s="88">
        <v>44652</v>
      </c>
      <c r="G54" s="87">
        <v>63</v>
      </c>
      <c r="H54" s="83"/>
      <c r="I54" s="82">
        <v>28</v>
      </c>
      <c r="J54" s="83"/>
      <c r="K54" s="82">
        <v>28</v>
      </c>
      <c r="L54" s="67"/>
      <c r="M54" s="8"/>
      <c r="N54" s="63"/>
      <c r="O54" s="63"/>
      <c r="Q54" s="13"/>
    </row>
    <row r="55" spans="1:17" s="12" customFormat="1" ht="54" customHeight="1">
      <c r="A55" s="68">
        <v>41</v>
      </c>
      <c r="B55" s="68" t="s">
        <v>45</v>
      </c>
      <c r="C55" s="89">
        <v>3465</v>
      </c>
      <c r="D55" s="73" t="s">
        <v>6198</v>
      </c>
      <c r="E55" s="88">
        <v>44652</v>
      </c>
      <c r="F55" s="88">
        <v>44652</v>
      </c>
      <c r="G55" s="87">
        <v>629</v>
      </c>
      <c r="H55" s="83"/>
      <c r="I55" s="82">
        <v>136</v>
      </c>
      <c r="J55" s="83"/>
      <c r="K55" s="82">
        <v>136</v>
      </c>
      <c r="L55" s="67"/>
      <c r="M55" s="8"/>
      <c r="N55" s="63"/>
      <c r="O55" s="63"/>
      <c r="Q55" s="13"/>
    </row>
    <row r="56" spans="1:17" s="12" customFormat="1" ht="54" customHeight="1">
      <c r="A56" s="68">
        <v>42</v>
      </c>
      <c r="B56" s="68" t="s">
        <v>44</v>
      </c>
      <c r="C56" s="89">
        <v>3474</v>
      </c>
      <c r="D56" s="73" t="s">
        <v>6198</v>
      </c>
      <c r="E56" s="88">
        <v>44652</v>
      </c>
      <c r="F56" s="88">
        <v>44652</v>
      </c>
      <c r="G56" s="87">
        <v>1427</v>
      </c>
      <c r="H56" s="83"/>
      <c r="I56" s="82">
        <v>28</v>
      </c>
      <c r="J56" s="83"/>
      <c r="K56" s="82">
        <v>28</v>
      </c>
      <c r="L56" s="67"/>
      <c r="M56" s="8"/>
      <c r="N56" s="63"/>
      <c r="O56" s="63"/>
      <c r="Q56" s="13"/>
    </row>
    <row r="57" spans="1:17" s="12" customFormat="1" ht="54" customHeight="1">
      <c r="A57" s="68">
        <v>43</v>
      </c>
      <c r="B57" s="68" t="s">
        <v>44</v>
      </c>
      <c r="C57" s="89">
        <v>3476</v>
      </c>
      <c r="D57" s="73" t="s">
        <v>6198</v>
      </c>
      <c r="E57" s="88">
        <v>44652</v>
      </c>
      <c r="F57" s="88">
        <v>44652</v>
      </c>
      <c r="G57" s="87">
        <v>176</v>
      </c>
      <c r="H57" s="83"/>
      <c r="I57" s="82">
        <v>18</v>
      </c>
      <c r="J57" s="83"/>
      <c r="K57" s="82">
        <v>18</v>
      </c>
      <c r="L57" s="67"/>
      <c r="M57" s="8"/>
      <c r="N57" s="63"/>
      <c r="O57" s="63"/>
      <c r="Q57" s="13"/>
    </row>
    <row r="58" spans="1:17" s="12" customFormat="1" ht="54" customHeight="1">
      <c r="A58" s="68">
        <v>44</v>
      </c>
      <c r="B58" s="68" t="s">
        <v>44</v>
      </c>
      <c r="C58" s="89">
        <v>3477</v>
      </c>
      <c r="D58" s="73" t="s">
        <v>6198</v>
      </c>
      <c r="E58" s="88">
        <v>44652</v>
      </c>
      <c r="F58" s="88">
        <v>44652</v>
      </c>
      <c r="G58" s="87">
        <v>1738</v>
      </c>
      <c r="H58" s="83"/>
      <c r="I58" s="82">
        <v>25</v>
      </c>
      <c r="J58" s="83"/>
      <c r="K58" s="82">
        <v>25</v>
      </c>
      <c r="L58" s="67"/>
      <c r="M58" s="8"/>
      <c r="N58" s="63"/>
      <c r="O58" s="63"/>
      <c r="Q58" s="13"/>
    </row>
    <row r="59" spans="1:17" s="12" customFormat="1" ht="54" customHeight="1">
      <c r="A59" s="68">
        <v>45</v>
      </c>
      <c r="B59" s="68" t="s">
        <v>44</v>
      </c>
      <c r="C59" s="89">
        <v>3478</v>
      </c>
      <c r="D59" s="73" t="s">
        <v>6198</v>
      </c>
      <c r="E59" s="88">
        <v>44652</v>
      </c>
      <c r="F59" s="88">
        <v>44652</v>
      </c>
      <c r="G59" s="87">
        <v>801</v>
      </c>
      <c r="H59" s="83"/>
      <c r="I59" s="82">
        <v>9</v>
      </c>
      <c r="J59" s="83"/>
      <c r="K59" s="82">
        <v>9</v>
      </c>
      <c r="L59" s="67"/>
      <c r="M59" s="8"/>
      <c r="N59" s="63"/>
      <c r="O59" s="63"/>
      <c r="Q59" s="13"/>
    </row>
    <row r="60" spans="1:17" s="12" customFormat="1" ht="54" customHeight="1">
      <c r="A60" s="68">
        <v>46</v>
      </c>
      <c r="B60" s="68" t="s">
        <v>44</v>
      </c>
      <c r="C60" s="89">
        <v>3479</v>
      </c>
      <c r="D60" s="73" t="s">
        <v>6198</v>
      </c>
      <c r="E60" s="88">
        <v>44652</v>
      </c>
      <c r="F60" s="88">
        <v>44652</v>
      </c>
      <c r="G60" s="87">
        <v>1436</v>
      </c>
      <c r="H60" s="83"/>
      <c r="I60" s="82">
        <v>27</v>
      </c>
      <c r="J60" s="83"/>
      <c r="K60" s="82">
        <v>27</v>
      </c>
      <c r="L60" s="67"/>
      <c r="M60" s="8"/>
      <c r="N60" s="63"/>
      <c r="O60" s="63"/>
      <c r="Q60" s="13"/>
    </row>
    <row r="61" spans="1:17" s="12" customFormat="1" ht="54" customHeight="1">
      <c r="A61" s="68">
        <v>47</v>
      </c>
      <c r="B61" s="68" t="s">
        <v>44</v>
      </c>
      <c r="C61" s="89">
        <v>3480</v>
      </c>
      <c r="D61" s="73" t="s">
        <v>6198</v>
      </c>
      <c r="E61" s="88">
        <v>44652</v>
      </c>
      <c r="F61" s="88">
        <v>44652</v>
      </c>
      <c r="G61" s="87">
        <v>777</v>
      </c>
      <c r="H61" s="83"/>
      <c r="I61" s="82">
        <v>14</v>
      </c>
      <c r="J61" s="83"/>
      <c r="K61" s="82">
        <v>14</v>
      </c>
      <c r="L61" s="67"/>
      <c r="M61" s="8"/>
      <c r="N61" s="63"/>
      <c r="O61" s="63"/>
      <c r="Q61" s="13"/>
    </row>
    <row r="62" spans="1:17" s="12" customFormat="1" ht="54" customHeight="1">
      <c r="A62" s="68">
        <v>48</v>
      </c>
      <c r="B62" s="68" t="s">
        <v>44</v>
      </c>
      <c r="C62" s="89">
        <v>3481</v>
      </c>
      <c r="D62" s="73" t="s">
        <v>6198</v>
      </c>
      <c r="E62" s="88">
        <v>44652</v>
      </c>
      <c r="F62" s="88">
        <v>44652</v>
      </c>
      <c r="G62" s="87">
        <v>849</v>
      </c>
      <c r="H62" s="83"/>
      <c r="I62" s="82">
        <v>33</v>
      </c>
      <c r="J62" s="83"/>
      <c r="K62" s="82">
        <v>33</v>
      </c>
      <c r="L62" s="67"/>
      <c r="M62" s="8"/>
      <c r="N62" s="63"/>
      <c r="O62" s="63"/>
      <c r="Q62" s="13"/>
    </row>
    <row r="63" spans="1:17" s="12" customFormat="1" ht="54" customHeight="1">
      <c r="A63" s="68">
        <v>49</v>
      </c>
      <c r="B63" s="68" t="s">
        <v>44</v>
      </c>
      <c r="C63" s="89">
        <v>3482</v>
      </c>
      <c r="D63" s="73" t="s">
        <v>6198</v>
      </c>
      <c r="E63" s="88">
        <v>44652</v>
      </c>
      <c r="F63" s="88">
        <v>44652</v>
      </c>
      <c r="G63" s="87">
        <v>404</v>
      </c>
      <c r="H63" s="83"/>
      <c r="I63" s="82">
        <v>57</v>
      </c>
      <c r="J63" s="83"/>
      <c r="K63" s="82">
        <v>57</v>
      </c>
      <c r="L63" s="67"/>
      <c r="M63" s="8"/>
      <c r="N63" s="63"/>
      <c r="O63" s="63"/>
      <c r="Q63" s="13"/>
    </row>
    <row r="64" spans="1:17" s="12" customFormat="1" ht="54" customHeight="1">
      <c r="A64" s="68">
        <v>50</v>
      </c>
      <c r="B64" s="68" t="s">
        <v>44</v>
      </c>
      <c r="C64" s="89">
        <v>3483</v>
      </c>
      <c r="D64" s="73" t="s">
        <v>6198</v>
      </c>
      <c r="E64" s="88">
        <v>44652</v>
      </c>
      <c r="F64" s="88">
        <v>44652</v>
      </c>
      <c r="G64" s="87">
        <v>871</v>
      </c>
      <c r="H64" s="83"/>
      <c r="I64" s="82">
        <v>126</v>
      </c>
      <c r="J64" s="83"/>
      <c r="K64" s="82">
        <v>126</v>
      </c>
      <c r="L64" s="67"/>
      <c r="M64" s="8"/>
      <c r="N64" s="63"/>
      <c r="O64" s="63"/>
      <c r="Q64" s="13"/>
    </row>
    <row r="65" spans="1:17" s="12" customFormat="1" ht="54" customHeight="1">
      <c r="A65" s="68">
        <v>51</v>
      </c>
      <c r="B65" s="68" t="s">
        <v>44</v>
      </c>
      <c r="C65" s="89">
        <v>3484</v>
      </c>
      <c r="D65" s="73" t="s">
        <v>6198</v>
      </c>
      <c r="E65" s="88">
        <v>44652</v>
      </c>
      <c r="F65" s="88">
        <v>44652</v>
      </c>
      <c r="G65" s="87">
        <v>2533</v>
      </c>
      <c r="H65" s="83"/>
      <c r="I65" s="82">
        <v>230</v>
      </c>
      <c r="J65" s="83"/>
      <c r="K65" s="82">
        <v>230</v>
      </c>
      <c r="L65" s="67"/>
      <c r="M65" s="8"/>
      <c r="N65" s="63"/>
      <c r="O65" s="63"/>
      <c r="Q65" s="13"/>
    </row>
    <row r="66" spans="1:17" s="12" customFormat="1" ht="54" customHeight="1">
      <c r="A66" s="68">
        <v>52</v>
      </c>
      <c r="B66" s="68" t="s">
        <v>44</v>
      </c>
      <c r="C66" s="89">
        <v>3485</v>
      </c>
      <c r="D66" s="73" t="s">
        <v>6198</v>
      </c>
      <c r="E66" s="88">
        <v>44652</v>
      </c>
      <c r="F66" s="88">
        <v>44652</v>
      </c>
      <c r="G66" s="87">
        <v>1554</v>
      </c>
      <c r="H66" s="83"/>
      <c r="I66" s="82">
        <v>21</v>
      </c>
      <c r="J66" s="83"/>
      <c r="K66" s="82">
        <v>21</v>
      </c>
      <c r="L66" s="67"/>
      <c r="M66" s="8"/>
      <c r="N66" s="63"/>
      <c r="O66" s="63"/>
      <c r="Q66" s="13"/>
    </row>
    <row r="67" spans="1:17" s="12" customFormat="1" ht="54" customHeight="1">
      <c r="A67" s="68">
        <v>53</v>
      </c>
      <c r="B67" s="68" t="s">
        <v>44</v>
      </c>
      <c r="C67" s="89">
        <v>3487</v>
      </c>
      <c r="D67" s="73" t="s">
        <v>6198</v>
      </c>
      <c r="E67" s="88">
        <v>44652</v>
      </c>
      <c r="F67" s="88">
        <v>44652</v>
      </c>
      <c r="G67" s="87">
        <v>320</v>
      </c>
      <c r="H67" s="83"/>
      <c r="I67" s="82">
        <v>97</v>
      </c>
      <c r="J67" s="83"/>
      <c r="K67" s="82">
        <v>97</v>
      </c>
      <c r="L67" s="67"/>
      <c r="M67" s="8"/>
      <c r="N67" s="63"/>
      <c r="O67" s="63"/>
      <c r="Q67" s="13"/>
    </row>
    <row r="68" spans="1:17" s="12" customFormat="1" ht="54" customHeight="1">
      <c r="A68" s="68">
        <v>54</v>
      </c>
      <c r="B68" s="68" t="s">
        <v>34</v>
      </c>
      <c r="C68" s="89">
        <v>3489</v>
      </c>
      <c r="D68" s="73" t="s">
        <v>6198</v>
      </c>
      <c r="E68" s="88">
        <v>44652</v>
      </c>
      <c r="F68" s="88">
        <v>44652</v>
      </c>
      <c r="G68" s="87">
        <v>1026</v>
      </c>
      <c r="H68" s="83"/>
      <c r="I68" s="82">
        <v>8</v>
      </c>
      <c r="J68" s="83"/>
      <c r="K68" s="82">
        <v>8</v>
      </c>
      <c r="L68" s="67"/>
      <c r="M68" s="8"/>
      <c r="N68" s="63"/>
      <c r="O68" s="63"/>
      <c r="Q68" s="13"/>
    </row>
    <row r="69" spans="1:17" s="12" customFormat="1" ht="54" customHeight="1">
      <c r="A69" s="68">
        <v>55</v>
      </c>
      <c r="B69" s="68" t="s">
        <v>34</v>
      </c>
      <c r="C69" s="89">
        <v>3490</v>
      </c>
      <c r="D69" s="73" t="s">
        <v>6198</v>
      </c>
      <c r="E69" s="88">
        <v>44652</v>
      </c>
      <c r="F69" s="88">
        <v>44652</v>
      </c>
      <c r="G69" s="87">
        <v>1026</v>
      </c>
      <c r="H69" s="83"/>
      <c r="I69" s="82">
        <v>8</v>
      </c>
      <c r="J69" s="83"/>
      <c r="K69" s="82">
        <v>8</v>
      </c>
      <c r="L69" s="67"/>
      <c r="M69" s="8"/>
      <c r="N69" s="63"/>
      <c r="O69" s="63"/>
      <c r="Q69" s="13"/>
    </row>
    <row r="70" spans="1:17" s="12" customFormat="1" ht="54" customHeight="1">
      <c r="A70" s="68">
        <v>56</v>
      </c>
      <c r="B70" s="68" t="s">
        <v>34</v>
      </c>
      <c r="C70" s="89">
        <v>3491</v>
      </c>
      <c r="D70" s="73" t="s">
        <v>6198</v>
      </c>
      <c r="E70" s="88">
        <v>44652</v>
      </c>
      <c r="F70" s="88">
        <v>44652</v>
      </c>
      <c r="G70" s="87">
        <v>1026</v>
      </c>
      <c r="H70" s="83"/>
      <c r="I70" s="82">
        <v>8</v>
      </c>
      <c r="J70" s="83"/>
      <c r="K70" s="82">
        <v>8</v>
      </c>
      <c r="L70" s="67"/>
      <c r="M70" s="8"/>
      <c r="N70" s="63"/>
      <c r="O70" s="63"/>
      <c r="Q70" s="13"/>
    </row>
    <row r="71" spans="1:17" s="12" customFormat="1" ht="54" customHeight="1">
      <c r="A71" s="68">
        <v>57</v>
      </c>
      <c r="B71" s="68" t="s">
        <v>34</v>
      </c>
      <c r="C71" s="89">
        <v>3492</v>
      </c>
      <c r="D71" s="73" t="s">
        <v>6198</v>
      </c>
      <c r="E71" s="88">
        <v>44652</v>
      </c>
      <c r="F71" s="88">
        <v>44652</v>
      </c>
      <c r="G71" s="87">
        <v>1050</v>
      </c>
      <c r="H71" s="83"/>
      <c r="I71" s="82">
        <v>8</v>
      </c>
      <c r="J71" s="83"/>
      <c r="K71" s="82">
        <v>8</v>
      </c>
      <c r="L71" s="67"/>
      <c r="M71" s="8"/>
      <c r="N71" s="63"/>
      <c r="O71" s="63"/>
      <c r="Q71" s="13"/>
    </row>
    <row r="72" spans="1:17" s="12" customFormat="1" ht="54" customHeight="1">
      <c r="A72" s="68">
        <v>58</v>
      </c>
      <c r="B72" s="68" t="s">
        <v>147</v>
      </c>
      <c r="C72" s="89">
        <v>3493</v>
      </c>
      <c r="D72" s="73" t="s">
        <v>6198</v>
      </c>
      <c r="E72" s="88">
        <v>44652</v>
      </c>
      <c r="F72" s="88">
        <v>44652</v>
      </c>
      <c r="G72" s="87">
        <v>90</v>
      </c>
      <c r="H72" s="83"/>
      <c r="I72" s="82">
        <v>33</v>
      </c>
      <c r="J72" s="83"/>
      <c r="K72" s="82">
        <v>45</v>
      </c>
      <c r="L72" s="67"/>
      <c r="M72" s="8"/>
      <c r="N72" s="63"/>
      <c r="O72" s="63"/>
      <c r="Q72" s="13"/>
    </row>
    <row r="73" spans="1:17" s="12" customFormat="1" ht="54" customHeight="1">
      <c r="A73" s="68">
        <v>59</v>
      </c>
      <c r="B73" s="68" t="s">
        <v>44</v>
      </c>
      <c r="C73" s="89">
        <v>3494</v>
      </c>
      <c r="D73" s="73" t="s">
        <v>6198</v>
      </c>
      <c r="E73" s="88">
        <v>44652</v>
      </c>
      <c r="F73" s="88">
        <v>44652</v>
      </c>
      <c r="G73" s="87">
        <v>2352</v>
      </c>
      <c r="H73" s="83"/>
      <c r="I73" s="82">
        <v>83</v>
      </c>
      <c r="J73" s="83"/>
      <c r="K73" s="82">
        <v>83</v>
      </c>
      <c r="L73" s="67"/>
      <c r="M73" s="8"/>
      <c r="N73" s="63"/>
      <c r="O73" s="63"/>
      <c r="Q73" s="13"/>
    </row>
    <row r="74" spans="1:17" s="12" customFormat="1" ht="54" customHeight="1">
      <c r="A74" s="68">
        <v>60</v>
      </c>
      <c r="B74" s="68" t="s">
        <v>44</v>
      </c>
      <c r="C74" s="89">
        <v>3495</v>
      </c>
      <c r="D74" s="73" t="s">
        <v>6198</v>
      </c>
      <c r="E74" s="88">
        <v>44652</v>
      </c>
      <c r="F74" s="88">
        <v>44652</v>
      </c>
      <c r="G74" s="87">
        <v>1355</v>
      </c>
      <c r="H74" s="83"/>
      <c r="I74" s="82">
        <v>3</v>
      </c>
      <c r="J74" s="83"/>
      <c r="K74" s="82">
        <v>3</v>
      </c>
      <c r="L74" s="67"/>
      <c r="M74" s="8"/>
      <c r="N74" s="63"/>
      <c r="O74" s="63"/>
      <c r="Q74" s="13"/>
    </row>
    <row r="75" spans="1:17" s="12" customFormat="1" ht="54" customHeight="1">
      <c r="A75" s="68">
        <v>61</v>
      </c>
      <c r="B75" s="68" t="s">
        <v>44</v>
      </c>
      <c r="C75" s="89">
        <v>3496</v>
      </c>
      <c r="D75" s="73" t="s">
        <v>6198</v>
      </c>
      <c r="E75" s="88">
        <v>44652</v>
      </c>
      <c r="F75" s="88">
        <v>44652</v>
      </c>
      <c r="G75" s="87">
        <v>2067</v>
      </c>
      <c r="H75" s="83"/>
      <c r="I75" s="82">
        <v>68</v>
      </c>
      <c r="J75" s="83"/>
      <c r="K75" s="82">
        <v>68</v>
      </c>
      <c r="L75" s="67"/>
      <c r="M75" s="8"/>
      <c r="N75" s="63"/>
      <c r="O75" s="63"/>
      <c r="Q75" s="13"/>
    </row>
    <row r="76" spans="1:17" s="12" customFormat="1" ht="54" customHeight="1">
      <c r="A76" s="68">
        <v>62</v>
      </c>
      <c r="B76" s="68" t="s">
        <v>44</v>
      </c>
      <c r="C76" s="89">
        <v>3497</v>
      </c>
      <c r="D76" s="73" t="s">
        <v>6198</v>
      </c>
      <c r="E76" s="88">
        <v>44652</v>
      </c>
      <c r="F76" s="88">
        <v>44652</v>
      </c>
      <c r="G76" s="87">
        <v>1384</v>
      </c>
      <c r="H76" s="83"/>
      <c r="I76" s="82">
        <v>132</v>
      </c>
      <c r="J76" s="83"/>
      <c r="K76" s="82">
        <v>132</v>
      </c>
      <c r="L76" s="67"/>
      <c r="M76" s="8"/>
      <c r="N76" s="63"/>
      <c r="O76" s="63"/>
      <c r="Q76" s="13"/>
    </row>
    <row r="77" spans="1:17" s="12" customFormat="1" ht="54" customHeight="1">
      <c r="A77" s="68">
        <v>63</v>
      </c>
      <c r="B77" s="68" t="s">
        <v>44</v>
      </c>
      <c r="C77" s="89">
        <v>3498</v>
      </c>
      <c r="D77" s="73" t="s">
        <v>6198</v>
      </c>
      <c r="E77" s="88">
        <v>44652</v>
      </c>
      <c r="F77" s="88">
        <v>44652</v>
      </c>
      <c r="G77" s="87">
        <v>498</v>
      </c>
      <c r="H77" s="83"/>
      <c r="I77" s="82">
        <v>61</v>
      </c>
      <c r="J77" s="83"/>
      <c r="K77" s="82">
        <v>61</v>
      </c>
      <c r="L77" s="67"/>
      <c r="M77" s="8"/>
      <c r="N77" s="63"/>
      <c r="O77" s="63"/>
      <c r="Q77" s="13"/>
    </row>
    <row r="78" spans="1:17" s="12" customFormat="1" ht="54" customHeight="1">
      <c r="A78" s="68">
        <v>64</v>
      </c>
      <c r="B78" s="68" t="s">
        <v>125</v>
      </c>
      <c r="C78" s="89">
        <v>3504</v>
      </c>
      <c r="D78" s="73" t="s">
        <v>6198</v>
      </c>
      <c r="E78" s="88">
        <v>44652</v>
      </c>
      <c r="F78" s="88">
        <v>44652</v>
      </c>
      <c r="G78" s="87">
        <v>297</v>
      </c>
      <c r="H78" s="83"/>
      <c r="I78" s="82">
        <v>258</v>
      </c>
      <c r="J78" s="83"/>
      <c r="K78" s="82">
        <v>280</v>
      </c>
      <c r="L78" s="67"/>
      <c r="M78" s="8"/>
      <c r="N78" s="63"/>
      <c r="O78" s="63"/>
      <c r="Q78" s="13"/>
    </row>
    <row r="79" spans="1:17" s="12" customFormat="1" ht="54" customHeight="1">
      <c r="A79" s="68">
        <v>65</v>
      </c>
      <c r="B79" s="68" t="s">
        <v>44</v>
      </c>
      <c r="C79" s="89">
        <v>3514</v>
      </c>
      <c r="D79" s="73" t="s">
        <v>6198</v>
      </c>
      <c r="E79" s="88">
        <v>44652</v>
      </c>
      <c r="F79" s="88">
        <v>44652</v>
      </c>
      <c r="G79" s="87">
        <v>2352</v>
      </c>
      <c r="H79" s="83"/>
      <c r="I79" s="82">
        <v>83</v>
      </c>
      <c r="J79" s="83"/>
      <c r="K79" s="82">
        <v>83</v>
      </c>
      <c r="L79" s="67"/>
      <c r="M79" s="8"/>
      <c r="N79" s="63"/>
      <c r="O79" s="63"/>
      <c r="Q79" s="13"/>
    </row>
    <row r="80" spans="1:17" s="12" customFormat="1" ht="54" customHeight="1">
      <c r="A80" s="68">
        <v>66</v>
      </c>
      <c r="B80" s="68" t="s">
        <v>44</v>
      </c>
      <c r="C80" s="89">
        <v>3515</v>
      </c>
      <c r="D80" s="73" t="s">
        <v>6198</v>
      </c>
      <c r="E80" s="88">
        <v>44652</v>
      </c>
      <c r="F80" s="88">
        <v>44652</v>
      </c>
      <c r="G80" s="87">
        <v>2352</v>
      </c>
      <c r="H80" s="83"/>
      <c r="I80" s="82">
        <v>83</v>
      </c>
      <c r="J80" s="83"/>
      <c r="K80" s="82">
        <v>83</v>
      </c>
      <c r="L80" s="67"/>
      <c r="M80" s="8"/>
      <c r="N80" s="63"/>
      <c r="O80" s="63"/>
      <c r="Q80" s="13"/>
    </row>
    <row r="81" spans="1:17" s="12" customFormat="1" ht="54" customHeight="1">
      <c r="A81" s="68">
        <v>67</v>
      </c>
      <c r="B81" s="68" t="s">
        <v>44</v>
      </c>
      <c r="C81" s="89">
        <v>3516</v>
      </c>
      <c r="D81" s="73" t="s">
        <v>6198</v>
      </c>
      <c r="E81" s="88">
        <v>44652</v>
      </c>
      <c r="F81" s="88">
        <v>44652</v>
      </c>
      <c r="G81" s="87">
        <v>2352</v>
      </c>
      <c r="H81" s="83"/>
      <c r="I81" s="82">
        <v>83</v>
      </c>
      <c r="J81" s="83"/>
      <c r="K81" s="82">
        <v>83</v>
      </c>
      <c r="L81" s="67"/>
      <c r="M81" s="8"/>
      <c r="N81" s="63"/>
      <c r="O81" s="63"/>
      <c r="Q81" s="13"/>
    </row>
    <row r="82" spans="1:17" s="12" customFormat="1" ht="54" customHeight="1">
      <c r="A82" s="68">
        <v>68</v>
      </c>
      <c r="B82" s="68" t="s">
        <v>44</v>
      </c>
      <c r="C82" s="89">
        <v>3523</v>
      </c>
      <c r="D82" s="73" t="s">
        <v>6198</v>
      </c>
      <c r="E82" s="88">
        <v>44652</v>
      </c>
      <c r="F82" s="88">
        <v>44652</v>
      </c>
      <c r="G82" s="87">
        <v>1993</v>
      </c>
      <c r="H82" s="83"/>
      <c r="I82" s="82">
        <v>68</v>
      </c>
      <c r="J82" s="83"/>
      <c r="K82" s="82">
        <v>68</v>
      </c>
      <c r="L82" s="67"/>
      <c r="M82" s="8"/>
      <c r="N82" s="63"/>
      <c r="O82" s="63"/>
      <c r="Q82" s="13"/>
    </row>
    <row r="83" spans="1:17" s="12" customFormat="1" ht="54" customHeight="1">
      <c r="A83" s="68">
        <v>69</v>
      </c>
      <c r="B83" s="68" t="s">
        <v>44</v>
      </c>
      <c r="C83" s="89">
        <v>3524</v>
      </c>
      <c r="D83" s="73" t="s">
        <v>6198</v>
      </c>
      <c r="E83" s="88">
        <v>44652</v>
      </c>
      <c r="F83" s="88">
        <v>44652</v>
      </c>
      <c r="G83" s="87">
        <v>1993</v>
      </c>
      <c r="H83" s="83"/>
      <c r="I83" s="82">
        <v>68</v>
      </c>
      <c r="J83" s="83"/>
      <c r="K83" s="82">
        <v>68</v>
      </c>
      <c r="L83" s="67"/>
      <c r="M83" s="8"/>
      <c r="N83" s="63"/>
      <c r="O83" s="63"/>
      <c r="Q83" s="13"/>
    </row>
    <row r="84" spans="1:17" s="12" customFormat="1" ht="54" customHeight="1">
      <c r="A84" s="68">
        <v>70</v>
      </c>
      <c r="B84" s="68" t="s">
        <v>44</v>
      </c>
      <c r="C84" s="89">
        <v>3525</v>
      </c>
      <c r="D84" s="73" t="s">
        <v>6198</v>
      </c>
      <c r="E84" s="88">
        <v>44652</v>
      </c>
      <c r="F84" s="88">
        <v>44652</v>
      </c>
      <c r="G84" s="87">
        <v>1993</v>
      </c>
      <c r="H84" s="83"/>
      <c r="I84" s="82">
        <v>68</v>
      </c>
      <c r="J84" s="83"/>
      <c r="K84" s="82">
        <v>68</v>
      </c>
      <c r="L84" s="67"/>
      <c r="M84" s="8"/>
      <c r="N84" s="63"/>
      <c r="O84" s="63"/>
      <c r="Q84" s="13"/>
    </row>
    <row r="85" spans="1:17" s="12" customFormat="1" ht="54" customHeight="1">
      <c r="A85" s="68">
        <v>71</v>
      </c>
      <c r="B85" s="68" t="s">
        <v>44</v>
      </c>
      <c r="C85" s="89">
        <v>3532</v>
      </c>
      <c r="D85" s="73" t="s">
        <v>6198</v>
      </c>
      <c r="E85" s="88">
        <v>44652</v>
      </c>
      <c r="F85" s="88">
        <v>44652</v>
      </c>
      <c r="G85" s="87">
        <v>498</v>
      </c>
      <c r="H85" s="83"/>
      <c r="I85" s="82">
        <v>61</v>
      </c>
      <c r="J85" s="83"/>
      <c r="K85" s="82">
        <v>61</v>
      </c>
      <c r="L85" s="67"/>
      <c r="M85" s="8"/>
      <c r="N85" s="63"/>
      <c r="O85" s="63"/>
      <c r="Q85" s="13"/>
    </row>
    <row r="86" spans="1:17" s="12" customFormat="1" ht="54" customHeight="1">
      <c r="A86" s="68">
        <v>72</v>
      </c>
      <c r="B86" s="68" t="s">
        <v>44</v>
      </c>
      <c r="C86" s="89">
        <v>3533</v>
      </c>
      <c r="D86" s="73" t="s">
        <v>6198</v>
      </c>
      <c r="E86" s="88">
        <v>44652</v>
      </c>
      <c r="F86" s="88">
        <v>44652</v>
      </c>
      <c r="G86" s="87">
        <v>498</v>
      </c>
      <c r="H86" s="83"/>
      <c r="I86" s="82">
        <v>61</v>
      </c>
      <c r="J86" s="83"/>
      <c r="K86" s="82">
        <v>61</v>
      </c>
      <c r="L86" s="67"/>
      <c r="M86" s="8"/>
      <c r="N86" s="63"/>
      <c r="O86" s="63"/>
      <c r="Q86" s="13"/>
    </row>
    <row r="87" spans="1:17" s="12" customFormat="1" ht="54" customHeight="1">
      <c r="A87" s="68">
        <v>73</v>
      </c>
      <c r="B87" s="68" t="s">
        <v>44</v>
      </c>
      <c r="C87" s="89">
        <v>3534</v>
      </c>
      <c r="D87" s="73" t="s">
        <v>6198</v>
      </c>
      <c r="E87" s="88">
        <v>44652</v>
      </c>
      <c r="F87" s="88">
        <v>44652</v>
      </c>
      <c r="G87" s="87">
        <v>498</v>
      </c>
      <c r="H87" s="83"/>
      <c r="I87" s="82">
        <v>61</v>
      </c>
      <c r="J87" s="83"/>
      <c r="K87" s="82">
        <v>61</v>
      </c>
      <c r="L87" s="67"/>
      <c r="M87" s="8"/>
      <c r="N87" s="63"/>
      <c r="O87" s="63"/>
      <c r="Q87" s="13"/>
    </row>
    <row r="88" spans="1:17" s="12" customFormat="1" ht="54" customHeight="1">
      <c r="A88" s="68">
        <v>74</v>
      </c>
      <c r="B88" s="68" t="s">
        <v>44</v>
      </c>
      <c r="C88" s="89">
        <v>3541</v>
      </c>
      <c r="D88" s="73" t="s">
        <v>6198</v>
      </c>
      <c r="E88" s="88">
        <v>44652</v>
      </c>
      <c r="F88" s="88">
        <v>44652</v>
      </c>
      <c r="G88" s="87">
        <v>7772</v>
      </c>
      <c r="H88" s="83"/>
      <c r="I88" s="82">
        <v>212</v>
      </c>
      <c r="J88" s="83"/>
      <c r="K88" s="82">
        <v>212</v>
      </c>
      <c r="L88" s="67"/>
      <c r="M88" s="8"/>
      <c r="N88" s="63"/>
      <c r="O88" s="63"/>
      <c r="Q88" s="13"/>
    </row>
    <row r="89" spans="1:17" s="12" customFormat="1" ht="54" customHeight="1">
      <c r="A89" s="68">
        <v>75</v>
      </c>
      <c r="B89" s="68" t="s">
        <v>44</v>
      </c>
      <c r="C89" s="89">
        <v>3542</v>
      </c>
      <c r="D89" s="73" t="s">
        <v>6198</v>
      </c>
      <c r="E89" s="88">
        <v>44652</v>
      </c>
      <c r="F89" s="88">
        <v>44652</v>
      </c>
      <c r="G89" s="87">
        <v>295</v>
      </c>
      <c r="H89" s="83"/>
      <c r="I89" s="82">
        <v>71</v>
      </c>
      <c r="J89" s="83"/>
      <c r="K89" s="82">
        <v>71</v>
      </c>
      <c r="L89" s="67"/>
      <c r="M89" s="8"/>
      <c r="N89" s="63"/>
      <c r="O89" s="63"/>
      <c r="Q89" s="13"/>
    </row>
    <row r="90" spans="1:17" s="12" customFormat="1" ht="54" customHeight="1">
      <c r="A90" s="68">
        <v>76</v>
      </c>
      <c r="B90" s="68" t="s">
        <v>147</v>
      </c>
      <c r="C90" s="89">
        <v>3577</v>
      </c>
      <c r="D90" s="73" t="s">
        <v>6198</v>
      </c>
      <c r="E90" s="88">
        <v>44652</v>
      </c>
      <c r="F90" s="88">
        <v>44652</v>
      </c>
      <c r="G90" s="87">
        <v>4026</v>
      </c>
      <c r="H90" s="83"/>
      <c r="I90" s="82">
        <v>59</v>
      </c>
      <c r="J90" s="83"/>
      <c r="K90" s="82">
        <v>89</v>
      </c>
      <c r="L90" s="67"/>
      <c r="M90" s="8"/>
      <c r="N90" s="63"/>
      <c r="O90" s="63"/>
      <c r="Q90" s="13"/>
    </row>
    <row r="91" spans="1:17" s="12" customFormat="1" ht="54" customHeight="1">
      <c r="A91" s="68">
        <v>77</v>
      </c>
      <c r="B91" s="68" t="s">
        <v>147</v>
      </c>
      <c r="C91" s="89">
        <v>3580</v>
      </c>
      <c r="D91" s="73" t="s">
        <v>6198</v>
      </c>
      <c r="E91" s="88">
        <v>44652</v>
      </c>
      <c r="F91" s="88">
        <v>44652</v>
      </c>
      <c r="G91" s="87">
        <v>206</v>
      </c>
      <c r="H91" s="83"/>
      <c r="I91" s="82">
        <v>31</v>
      </c>
      <c r="J91" s="83"/>
      <c r="K91" s="82">
        <v>31</v>
      </c>
      <c r="L91" s="67"/>
      <c r="M91" s="8"/>
      <c r="N91" s="63"/>
      <c r="O91" s="63"/>
      <c r="Q91" s="13"/>
    </row>
    <row r="92" spans="1:17" s="12" customFormat="1" ht="54" customHeight="1">
      <c r="A92" s="68">
        <v>78</v>
      </c>
      <c r="B92" s="68" t="s">
        <v>34</v>
      </c>
      <c r="C92" s="89">
        <v>3582</v>
      </c>
      <c r="D92" s="73" t="s">
        <v>6198</v>
      </c>
      <c r="E92" s="88">
        <v>44652</v>
      </c>
      <c r="F92" s="88">
        <v>44652</v>
      </c>
      <c r="G92" s="87">
        <v>1281</v>
      </c>
      <c r="H92" s="83"/>
      <c r="I92" s="82">
        <v>26</v>
      </c>
      <c r="J92" s="83"/>
      <c r="K92" s="82">
        <v>26</v>
      </c>
      <c r="L92" s="67"/>
      <c r="M92" s="8"/>
      <c r="N92" s="63"/>
      <c r="O92" s="63"/>
      <c r="Q92" s="13"/>
    </row>
    <row r="93" spans="1:17" s="12" customFormat="1" ht="54" customHeight="1">
      <c r="A93" s="68">
        <v>79</v>
      </c>
      <c r="B93" s="68" t="s">
        <v>125</v>
      </c>
      <c r="C93" s="89">
        <v>3344</v>
      </c>
      <c r="D93" s="73" t="s">
        <v>6198</v>
      </c>
      <c r="E93" s="88">
        <v>44635</v>
      </c>
      <c r="F93" s="88">
        <v>44655</v>
      </c>
      <c r="G93" s="87">
        <v>0</v>
      </c>
      <c r="H93" s="83"/>
      <c r="I93" s="82">
        <v>0</v>
      </c>
      <c r="J93" s="83"/>
      <c r="K93" s="82">
        <v>2</v>
      </c>
      <c r="L93" s="67"/>
      <c r="M93" s="8"/>
      <c r="N93" s="63"/>
      <c r="O93" s="63"/>
      <c r="Q93" s="13"/>
    </row>
    <row r="94" spans="1:17" s="12" customFormat="1" ht="54" customHeight="1">
      <c r="A94" s="68">
        <v>80</v>
      </c>
      <c r="B94" s="68" t="s">
        <v>147</v>
      </c>
      <c r="C94" s="89">
        <v>3473</v>
      </c>
      <c r="D94" s="73" t="s">
        <v>6198</v>
      </c>
      <c r="E94" s="88">
        <v>44631</v>
      </c>
      <c r="F94" s="88">
        <v>44655</v>
      </c>
      <c r="G94" s="87">
        <v>2</v>
      </c>
      <c r="H94" s="83"/>
      <c r="I94" s="82">
        <v>0</v>
      </c>
      <c r="J94" s="83"/>
      <c r="K94" s="82">
        <v>2</v>
      </c>
      <c r="L94" s="67"/>
      <c r="M94" s="8"/>
      <c r="N94" s="63"/>
      <c r="O94" s="63"/>
      <c r="Q94" s="13"/>
    </row>
    <row r="95" spans="1:17" s="12" customFormat="1" ht="54" customHeight="1">
      <c r="A95" s="68">
        <v>81</v>
      </c>
      <c r="B95" s="68" t="s">
        <v>147</v>
      </c>
      <c r="C95" s="89">
        <v>3486</v>
      </c>
      <c r="D95" s="73" t="s">
        <v>6198</v>
      </c>
      <c r="E95" s="88">
        <v>44631</v>
      </c>
      <c r="F95" s="88">
        <v>44655</v>
      </c>
      <c r="G95" s="87">
        <v>108</v>
      </c>
      <c r="H95" s="83"/>
      <c r="I95" s="82">
        <v>1</v>
      </c>
      <c r="J95" s="83"/>
      <c r="K95" s="82">
        <v>12</v>
      </c>
      <c r="L95" s="67"/>
      <c r="M95" s="8"/>
      <c r="N95" s="63"/>
      <c r="O95" s="63"/>
      <c r="Q95" s="13"/>
    </row>
    <row r="96" spans="1:17" s="12" customFormat="1" ht="54" customHeight="1">
      <c r="A96" s="68">
        <v>82</v>
      </c>
      <c r="B96" s="68" t="s">
        <v>147</v>
      </c>
      <c r="C96" s="89">
        <v>3406</v>
      </c>
      <c r="D96" s="73" t="s">
        <v>6198</v>
      </c>
      <c r="E96" s="88">
        <v>44630</v>
      </c>
      <c r="F96" s="88">
        <v>44655</v>
      </c>
      <c r="G96" s="87">
        <v>736</v>
      </c>
      <c r="H96" s="83"/>
      <c r="I96" s="82">
        <v>36</v>
      </c>
      <c r="J96" s="83"/>
      <c r="K96" s="82">
        <v>136</v>
      </c>
      <c r="L96" s="67"/>
      <c r="M96" s="8"/>
      <c r="N96" s="63"/>
      <c r="O96" s="63"/>
      <c r="Q96" s="13"/>
    </row>
    <row r="97" spans="1:17" s="12" customFormat="1" ht="54" customHeight="1">
      <c r="A97" s="68">
        <v>83</v>
      </c>
      <c r="B97" s="68" t="s">
        <v>147</v>
      </c>
      <c r="C97" s="89">
        <v>3509</v>
      </c>
      <c r="D97" s="73" t="s">
        <v>6198</v>
      </c>
      <c r="E97" s="88">
        <v>44631</v>
      </c>
      <c r="F97" s="88">
        <v>44655</v>
      </c>
      <c r="G97" s="87">
        <v>14</v>
      </c>
      <c r="H97" s="83"/>
      <c r="I97" s="82">
        <v>5</v>
      </c>
      <c r="J97" s="83"/>
      <c r="K97" s="82">
        <v>15</v>
      </c>
      <c r="L97" s="67"/>
      <c r="M97" s="8"/>
      <c r="N97" s="63"/>
      <c r="O97" s="63"/>
      <c r="Q97" s="13"/>
    </row>
    <row r="98" spans="1:17" s="12" customFormat="1" ht="54" customHeight="1">
      <c r="A98" s="68">
        <v>84</v>
      </c>
      <c r="B98" s="68" t="s">
        <v>39</v>
      </c>
      <c r="C98" s="89">
        <v>3507</v>
      </c>
      <c r="D98" s="73" t="s">
        <v>6198</v>
      </c>
      <c r="E98" s="88">
        <v>44655</v>
      </c>
      <c r="F98" s="88">
        <v>44659</v>
      </c>
      <c r="G98" s="87">
        <v>1441</v>
      </c>
      <c r="H98" s="83"/>
      <c r="I98" s="82">
        <v>605</v>
      </c>
      <c r="J98" s="83"/>
      <c r="K98" s="82">
        <v>605</v>
      </c>
      <c r="L98" s="67"/>
      <c r="M98" s="8"/>
      <c r="N98" s="63"/>
      <c r="O98" s="63"/>
      <c r="Q98" s="13"/>
    </row>
    <row r="99" spans="1:17" s="12" customFormat="1" ht="54" customHeight="1">
      <c r="A99" s="68">
        <v>85</v>
      </c>
      <c r="B99" s="68" t="s">
        <v>34</v>
      </c>
      <c r="C99" s="89">
        <v>3475</v>
      </c>
      <c r="D99" s="73" t="s">
        <v>6198</v>
      </c>
      <c r="E99" s="88">
        <v>44635</v>
      </c>
      <c r="F99" s="88">
        <v>44666</v>
      </c>
      <c r="G99" s="87">
        <v>918</v>
      </c>
      <c r="H99" s="83"/>
      <c r="I99" s="82">
        <v>49</v>
      </c>
      <c r="J99" s="83"/>
      <c r="K99" s="82">
        <v>94</v>
      </c>
      <c r="L99" s="67"/>
      <c r="M99" s="8"/>
      <c r="N99" s="63"/>
      <c r="O99" s="63"/>
      <c r="Q99" s="13"/>
    </row>
    <row r="100" spans="1:17" s="12" customFormat="1" ht="54" customHeight="1">
      <c r="A100" s="68">
        <v>86</v>
      </c>
      <c r="B100" s="68" t="s">
        <v>46</v>
      </c>
      <c r="C100" s="89">
        <v>3299</v>
      </c>
      <c r="D100" s="73" t="s">
        <v>6198</v>
      </c>
      <c r="E100" s="88">
        <v>44634</v>
      </c>
      <c r="F100" s="88">
        <v>44666</v>
      </c>
      <c r="G100" s="87">
        <v>604</v>
      </c>
      <c r="H100" s="83"/>
      <c r="I100" s="82">
        <v>3</v>
      </c>
      <c r="J100" s="83"/>
      <c r="K100" s="82">
        <v>21</v>
      </c>
      <c r="L100" s="67"/>
      <c r="M100" s="8"/>
      <c r="N100" s="63"/>
      <c r="O100" s="63"/>
      <c r="Q100" s="13"/>
    </row>
    <row r="101" spans="1:17" s="12" customFormat="1" ht="54" customHeight="1">
      <c r="A101" s="68">
        <v>87</v>
      </c>
      <c r="B101" s="68" t="s">
        <v>38</v>
      </c>
      <c r="C101" s="89">
        <v>3359</v>
      </c>
      <c r="D101" s="73" t="s">
        <v>6198</v>
      </c>
      <c r="E101" s="88">
        <v>44634</v>
      </c>
      <c r="F101" s="88">
        <v>44666</v>
      </c>
      <c r="G101" s="87">
        <v>855</v>
      </c>
      <c r="H101" s="83"/>
      <c r="I101" s="82">
        <v>163</v>
      </c>
      <c r="J101" s="83"/>
      <c r="K101" s="82">
        <v>201</v>
      </c>
      <c r="L101" s="67"/>
      <c r="M101" s="8"/>
      <c r="N101" s="63"/>
      <c r="O101" s="63"/>
      <c r="Q101" s="13"/>
    </row>
    <row r="102" spans="1:17" s="12" customFormat="1" ht="54" customHeight="1">
      <c r="A102" s="68">
        <v>88</v>
      </c>
      <c r="B102" s="68" t="s">
        <v>142</v>
      </c>
      <c r="C102" s="89">
        <v>3403</v>
      </c>
      <c r="D102" s="73" t="s">
        <v>6198</v>
      </c>
      <c r="E102" s="88">
        <v>44652</v>
      </c>
      <c r="F102" s="88">
        <v>44666</v>
      </c>
      <c r="G102" s="87">
        <v>245</v>
      </c>
      <c r="H102" s="83"/>
      <c r="I102" s="82">
        <v>72</v>
      </c>
      <c r="J102" s="83"/>
      <c r="K102" s="82">
        <v>72</v>
      </c>
      <c r="L102" s="67"/>
      <c r="M102" s="8"/>
      <c r="N102" s="63"/>
      <c r="O102" s="63"/>
      <c r="Q102" s="13"/>
    </row>
    <row r="103" spans="1:17" s="12" customFormat="1" ht="54" customHeight="1">
      <c r="A103" s="68">
        <v>89</v>
      </c>
      <c r="B103" s="68" t="s">
        <v>125</v>
      </c>
      <c r="C103" s="89">
        <v>3503</v>
      </c>
      <c r="D103" s="73" t="s">
        <v>6198</v>
      </c>
      <c r="E103" s="88">
        <v>44636</v>
      </c>
      <c r="F103" s="88">
        <v>44669</v>
      </c>
      <c r="G103" s="87">
        <v>908</v>
      </c>
      <c r="H103" s="83"/>
      <c r="I103" s="82">
        <v>165</v>
      </c>
      <c r="J103" s="83"/>
      <c r="K103" s="82">
        <v>257</v>
      </c>
      <c r="L103" s="67"/>
      <c r="M103" s="8"/>
      <c r="N103" s="63"/>
      <c r="O103" s="63"/>
      <c r="Q103" s="13"/>
    </row>
    <row r="104" spans="1:17" s="12" customFormat="1" ht="54" customHeight="1">
      <c r="A104" s="68">
        <v>90</v>
      </c>
      <c r="B104" s="68" t="s">
        <v>40</v>
      </c>
      <c r="C104" s="89">
        <v>3284</v>
      </c>
      <c r="D104" s="73" t="s">
        <v>6198</v>
      </c>
      <c r="E104" s="88">
        <v>44616</v>
      </c>
      <c r="F104" s="88">
        <v>44673</v>
      </c>
      <c r="G104" s="87">
        <v>1238</v>
      </c>
      <c r="H104" s="83"/>
      <c r="I104" s="82">
        <v>18</v>
      </c>
      <c r="J104" s="83"/>
      <c r="K104" s="82">
        <v>118</v>
      </c>
      <c r="L104" s="67"/>
      <c r="M104" s="8"/>
      <c r="N104" s="63"/>
      <c r="O104" s="63"/>
      <c r="Q104" s="13"/>
    </row>
    <row r="105" spans="1:17" s="12" customFormat="1" ht="54" customHeight="1">
      <c r="A105" s="68">
        <v>91</v>
      </c>
      <c r="B105" s="68" t="s">
        <v>40</v>
      </c>
      <c r="C105" s="89">
        <v>3286</v>
      </c>
      <c r="D105" s="73" t="s">
        <v>6198</v>
      </c>
      <c r="E105" s="88">
        <v>44616</v>
      </c>
      <c r="F105" s="88">
        <v>44673</v>
      </c>
      <c r="G105" s="87">
        <v>1238</v>
      </c>
      <c r="H105" s="83"/>
      <c r="I105" s="82">
        <v>18</v>
      </c>
      <c r="J105" s="83"/>
      <c r="K105" s="82">
        <v>117</v>
      </c>
      <c r="L105" s="67"/>
      <c r="M105" s="8"/>
      <c r="N105" s="63"/>
      <c r="O105" s="63"/>
      <c r="Q105" s="13"/>
    </row>
    <row r="106" spans="1:17" s="12" customFormat="1" ht="54" customHeight="1">
      <c r="A106" s="68">
        <v>92</v>
      </c>
      <c r="B106" s="68" t="s">
        <v>125</v>
      </c>
      <c r="C106" s="89">
        <v>3325</v>
      </c>
      <c r="D106" s="73" t="s">
        <v>6198</v>
      </c>
      <c r="E106" s="88">
        <v>44634</v>
      </c>
      <c r="F106" s="88">
        <v>44676</v>
      </c>
      <c r="G106" s="87">
        <v>1914</v>
      </c>
      <c r="H106" s="83"/>
      <c r="I106" s="82">
        <v>10</v>
      </c>
      <c r="J106" s="83"/>
      <c r="K106" s="82">
        <v>25</v>
      </c>
      <c r="L106" s="67"/>
      <c r="M106" s="8"/>
      <c r="N106" s="63"/>
      <c r="O106" s="63"/>
      <c r="Q106" s="13"/>
    </row>
    <row r="107" spans="1:17" s="12" customFormat="1" ht="54" customHeight="1">
      <c r="A107" s="68">
        <v>93</v>
      </c>
      <c r="B107" s="68" t="s">
        <v>125</v>
      </c>
      <c r="C107" s="89">
        <v>3326</v>
      </c>
      <c r="D107" s="73" t="s">
        <v>6198</v>
      </c>
      <c r="E107" s="88">
        <v>44634</v>
      </c>
      <c r="F107" s="88">
        <v>44676</v>
      </c>
      <c r="G107" s="87">
        <v>2143</v>
      </c>
      <c r="H107" s="83"/>
      <c r="I107" s="82">
        <v>27</v>
      </c>
      <c r="J107" s="83"/>
      <c r="K107" s="82">
        <v>27</v>
      </c>
      <c r="L107" s="67"/>
      <c r="M107" s="8"/>
      <c r="N107" s="63"/>
      <c r="O107" s="63"/>
      <c r="Q107" s="13"/>
    </row>
    <row r="108" spans="1:17" s="12" customFormat="1" ht="54" customHeight="1">
      <c r="A108" s="68">
        <v>94</v>
      </c>
      <c r="B108" s="68" t="s">
        <v>125</v>
      </c>
      <c r="C108" s="89">
        <v>3327</v>
      </c>
      <c r="D108" s="73" t="s">
        <v>6198</v>
      </c>
      <c r="E108" s="88">
        <v>44610</v>
      </c>
      <c r="F108" s="88">
        <v>44676</v>
      </c>
      <c r="G108" s="87">
        <v>2692</v>
      </c>
      <c r="H108" s="83"/>
      <c r="I108" s="82">
        <v>21</v>
      </c>
      <c r="J108" s="83"/>
      <c r="K108" s="82">
        <v>27</v>
      </c>
      <c r="L108" s="67"/>
      <c r="M108" s="8"/>
      <c r="N108" s="63"/>
      <c r="O108" s="63"/>
      <c r="Q108" s="13"/>
    </row>
    <row r="109" spans="1:17" s="12" customFormat="1" ht="54" customHeight="1">
      <c r="A109" s="68">
        <v>95</v>
      </c>
      <c r="B109" s="68" t="s">
        <v>125</v>
      </c>
      <c r="C109" s="89">
        <v>3329</v>
      </c>
      <c r="D109" s="73" t="s">
        <v>6198</v>
      </c>
      <c r="E109" s="88">
        <v>44596</v>
      </c>
      <c r="F109" s="88">
        <v>44676</v>
      </c>
      <c r="G109" s="87">
        <v>198</v>
      </c>
      <c r="H109" s="83"/>
      <c r="I109" s="82">
        <v>0</v>
      </c>
      <c r="J109" s="83"/>
      <c r="K109" s="82">
        <v>2</v>
      </c>
      <c r="L109" s="67"/>
      <c r="M109" s="8"/>
      <c r="N109" s="63"/>
      <c r="O109" s="63"/>
      <c r="Q109" s="13"/>
    </row>
    <row r="110" spans="1:17" s="12" customFormat="1" ht="54" customHeight="1">
      <c r="A110" s="68">
        <v>96</v>
      </c>
      <c r="B110" s="68" t="s">
        <v>125</v>
      </c>
      <c r="C110" s="89">
        <v>3330</v>
      </c>
      <c r="D110" s="73" t="s">
        <v>6198</v>
      </c>
      <c r="E110" s="88">
        <v>44607</v>
      </c>
      <c r="F110" s="88">
        <v>44676</v>
      </c>
      <c r="G110" s="87">
        <v>681</v>
      </c>
      <c r="H110" s="83"/>
      <c r="I110" s="82">
        <v>4</v>
      </c>
      <c r="J110" s="83"/>
      <c r="K110" s="82">
        <v>7</v>
      </c>
      <c r="L110" s="67"/>
      <c r="M110" s="8"/>
      <c r="N110" s="63"/>
      <c r="O110" s="63"/>
      <c r="Q110" s="13"/>
    </row>
    <row r="111" spans="1:17" s="12" customFormat="1" ht="54" customHeight="1">
      <c r="A111" s="68">
        <v>97</v>
      </c>
      <c r="B111" s="68" t="s">
        <v>125</v>
      </c>
      <c r="C111" s="89">
        <v>3331</v>
      </c>
      <c r="D111" s="73" t="s">
        <v>6198</v>
      </c>
      <c r="E111" s="88">
        <v>44610</v>
      </c>
      <c r="F111" s="88">
        <v>44676</v>
      </c>
      <c r="G111" s="87">
        <v>873</v>
      </c>
      <c r="H111" s="83"/>
      <c r="I111" s="82">
        <v>4</v>
      </c>
      <c r="J111" s="83"/>
      <c r="K111" s="82">
        <v>7</v>
      </c>
      <c r="L111" s="67"/>
      <c r="M111" s="8"/>
      <c r="N111" s="63"/>
      <c r="O111" s="63"/>
      <c r="Q111" s="13"/>
    </row>
    <row r="112" spans="1:17" s="12" customFormat="1" ht="54" customHeight="1">
      <c r="A112" s="68">
        <v>98</v>
      </c>
      <c r="B112" s="68" t="s">
        <v>125</v>
      </c>
      <c r="C112" s="89">
        <v>3334</v>
      </c>
      <c r="D112" s="73" t="s">
        <v>6198</v>
      </c>
      <c r="E112" s="88">
        <v>44634</v>
      </c>
      <c r="F112" s="88">
        <v>44676</v>
      </c>
      <c r="G112" s="87">
        <v>410</v>
      </c>
      <c r="H112" s="83"/>
      <c r="I112" s="82">
        <v>0</v>
      </c>
      <c r="J112" s="83"/>
      <c r="K112" s="82">
        <v>3</v>
      </c>
      <c r="L112" s="67"/>
      <c r="M112" s="8"/>
      <c r="N112" s="63"/>
      <c r="O112" s="63"/>
      <c r="Q112" s="13"/>
    </row>
    <row r="113" spans="1:17" s="12" customFormat="1" ht="54" customHeight="1">
      <c r="A113" s="68">
        <v>99</v>
      </c>
      <c r="B113" s="68" t="s">
        <v>125</v>
      </c>
      <c r="C113" s="89">
        <v>3339</v>
      </c>
      <c r="D113" s="73" t="s">
        <v>6198</v>
      </c>
      <c r="E113" s="88">
        <v>44596</v>
      </c>
      <c r="F113" s="88">
        <v>44676</v>
      </c>
      <c r="G113" s="87">
        <v>212</v>
      </c>
      <c r="H113" s="83"/>
      <c r="I113" s="82">
        <v>3</v>
      </c>
      <c r="J113" s="83"/>
      <c r="K113" s="82">
        <v>6</v>
      </c>
      <c r="L113" s="67"/>
      <c r="M113" s="8"/>
      <c r="N113" s="63"/>
      <c r="O113" s="63"/>
      <c r="Q113" s="13"/>
    </row>
    <row r="114" spans="1:17" s="12" customFormat="1" ht="54" customHeight="1">
      <c r="A114" s="68">
        <v>100</v>
      </c>
      <c r="B114" s="68" t="s">
        <v>125</v>
      </c>
      <c r="C114" s="89">
        <v>3340</v>
      </c>
      <c r="D114" s="73" t="s">
        <v>6198</v>
      </c>
      <c r="E114" s="88">
        <v>44579</v>
      </c>
      <c r="F114" s="88">
        <v>44676</v>
      </c>
      <c r="G114" s="87">
        <v>271</v>
      </c>
      <c r="H114" s="83"/>
      <c r="I114" s="82">
        <v>3</v>
      </c>
      <c r="J114" s="83"/>
      <c r="K114" s="82">
        <v>6</v>
      </c>
      <c r="L114" s="67"/>
      <c r="M114" s="8"/>
      <c r="N114" s="63"/>
      <c r="O114" s="63"/>
      <c r="Q114" s="13"/>
    </row>
    <row r="115" spans="1:17" s="12" customFormat="1" ht="54" customHeight="1">
      <c r="A115" s="68">
        <v>101</v>
      </c>
      <c r="B115" s="68" t="s">
        <v>125</v>
      </c>
      <c r="C115" s="89">
        <v>3342</v>
      </c>
      <c r="D115" s="73" t="s">
        <v>6198</v>
      </c>
      <c r="E115" s="88">
        <v>44582</v>
      </c>
      <c r="F115" s="88">
        <v>44676</v>
      </c>
      <c r="G115" s="87">
        <v>306</v>
      </c>
      <c r="H115" s="83"/>
      <c r="I115" s="82">
        <v>0</v>
      </c>
      <c r="J115" s="83"/>
      <c r="K115" s="82">
        <v>6</v>
      </c>
      <c r="L115" s="67"/>
      <c r="M115" s="42"/>
      <c r="N115" s="39"/>
      <c r="O115" s="63"/>
      <c r="Q115" s="13"/>
    </row>
    <row r="116" spans="1:17" s="12" customFormat="1" ht="54" customHeight="1">
      <c r="A116" s="68">
        <v>102</v>
      </c>
      <c r="B116" s="68" t="s">
        <v>125</v>
      </c>
      <c r="C116" s="89">
        <v>3453</v>
      </c>
      <c r="D116" s="73" t="s">
        <v>6198</v>
      </c>
      <c r="E116" s="88">
        <v>44607</v>
      </c>
      <c r="F116" s="88">
        <v>44676</v>
      </c>
      <c r="G116" s="87">
        <v>381</v>
      </c>
      <c r="H116" s="83"/>
      <c r="I116" s="82">
        <v>6</v>
      </c>
      <c r="J116" s="83"/>
      <c r="K116" s="82">
        <v>45</v>
      </c>
      <c r="L116" s="67"/>
      <c r="M116" s="41" t="s">
        <v>111</v>
      </c>
      <c r="N116" s="39" t="s">
        <v>6201</v>
      </c>
      <c r="O116" s="63"/>
      <c r="Q116" s="13"/>
    </row>
    <row r="117" spans="1:17" s="12" customFormat="1" ht="54" customHeight="1">
      <c r="A117" s="68">
        <v>103</v>
      </c>
      <c r="B117" s="68" t="s">
        <v>125</v>
      </c>
      <c r="C117" s="89">
        <v>3454</v>
      </c>
      <c r="D117" s="73" t="s">
        <v>6198</v>
      </c>
      <c r="E117" s="88">
        <v>44607</v>
      </c>
      <c r="F117" s="88">
        <v>44676</v>
      </c>
      <c r="G117" s="87">
        <v>381</v>
      </c>
      <c r="H117" s="83"/>
      <c r="I117" s="82">
        <v>6</v>
      </c>
      <c r="J117" s="83"/>
      <c r="K117" s="82">
        <v>45</v>
      </c>
      <c r="L117" s="67"/>
      <c r="M117" s="41"/>
      <c r="N117" s="39"/>
      <c r="O117" s="63"/>
      <c r="Q117" s="13"/>
    </row>
    <row r="118" spans="1:17" s="12" customFormat="1" ht="54" customHeight="1">
      <c r="A118" s="68">
        <v>104</v>
      </c>
      <c r="B118" s="68" t="s">
        <v>125</v>
      </c>
      <c r="C118" s="89">
        <v>3455</v>
      </c>
      <c r="D118" s="73" t="s">
        <v>6198</v>
      </c>
      <c r="E118" s="88">
        <v>44607</v>
      </c>
      <c r="F118" s="88">
        <v>44676</v>
      </c>
      <c r="G118" s="87">
        <v>526</v>
      </c>
      <c r="H118" s="83"/>
      <c r="I118" s="82">
        <v>6</v>
      </c>
      <c r="J118" s="83"/>
      <c r="K118" s="82">
        <v>47</v>
      </c>
      <c r="L118" s="67"/>
      <c r="M118" s="41" t="s">
        <v>112</v>
      </c>
      <c r="N118" s="39" t="s">
        <v>6201</v>
      </c>
      <c r="O118" s="63"/>
      <c r="Q118" s="13"/>
    </row>
    <row r="119" spans="1:17" s="12" customFormat="1" ht="54" customHeight="1">
      <c r="A119" s="68">
        <v>105</v>
      </c>
      <c r="B119" s="68" t="s">
        <v>79</v>
      </c>
      <c r="C119" s="89">
        <v>3351</v>
      </c>
      <c r="D119" s="73" t="s">
        <v>6198</v>
      </c>
      <c r="E119" s="88">
        <v>44617</v>
      </c>
      <c r="F119" s="88">
        <v>44680</v>
      </c>
      <c r="G119" s="87">
        <v>512</v>
      </c>
      <c r="H119" s="83"/>
      <c r="I119" s="82">
        <v>4</v>
      </c>
      <c r="J119" s="83"/>
      <c r="K119" s="82">
        <v>28</v>
      </c>
      <c r="L119" s="67"/>
      <c r="M119" s="42"/>
      <c r="N119" s="39"/>
      <c r="O119" s="63"/>
      <c r="Q119" s="13"/>
    </row>
    <row r="120" spans="1:17" s="12" customFormat="1" ht="54" customHeight="1">
      <c r="A120" s="68">
        <v>106</v>
      </c>
      <c r="B120" s="68" t="s">
        <v>4558</v>
      </c>
      <c r="C120" s="89">
        <v>3389</v>
      </c>
      <c r="D120" s="73" t="s">
        <v>6198</v>
      </c>
      <c r="E120" s="88">
        <v>44610</v>
      </c>
      <c r="F120" s="88">
        <v>44680</v>
      </c>
      <c r="G120" s="87">
        <v>394</v>
      </c>
      <c r="H120" s="83"/>
      <c r="I120" s="82">
        <v>5</v>
      </c>
      <c r="J120" s="83"/>
      <c r="K120" s="82">
        <v>7</v>
      </c>
      <c r="L120" s="67"/>
      <c r="M120" s="41" t="s">
        <v>114</v>
      </c>
      <c r="N120" s="39" t="s">
        <v>6201</v>
      </c>
      <c r="O120" s="63"/>
      <c r="Q120" s="13"/>
    </row>
    <row r="121" spans="1:17" s="12" customFormat="1" ht="54" customHeight="1" thickBot="1">
      <c r="A121" s="68">
        <v>107</v>
      </c>
      <c r="B121" s="68" t="s">
        <v>4558</v>
      </c>
      <c r="C121" s="89">
        <v>3390</v>
      </c>
      <c r="D121" s="73" t="s">
        <v>6198</v>
      </c>
      <c r="E121" s="88">
        <v>44610</v>
      </c>
      <c r="F121" s="88">
        <v>44680</v>
      </c>
      <c r="G121" s="87">
        <v>282</v>
      </c>
      <c r="H121" s="83"/>
      <c r="I121" s="82">
        <v>27</v>
      </c>
      <c r="J121" s="83"/>
      <c r="K121" s="82">
        <v>30</v>
      </c>
      <c r="L121" s="67"/>
      <c r="M121" s="90"/>
      <c r="N121" s="305"/>
      <c r="O121" s="63"/>
      <c r="Q121" s="13"/>
    </row>
    <row r="122" spans="1:17" s="12" customFormat="1" ht="54" customHeight="1" thickBot="1">
      <c r="A122" s="359" t="s">
        <v>36</v>
      </c>
      <c r="B122" s="360"/>
      <c r="C122" s="361"/>
      <c r="D122" s="84"/>
      <c r="E122" s="85"/>
      <c r="F122" s="85"/>
      <c r="G122" s="86"/>
      <c r="H122" s="86"/>
      <c r="I122" s="86">
        <f>I28+(SUM(I29:I121))*0.8</f>
        <v>5125</v>
      </c>
      <c r="J122" s="86"/>
      <c r="K122" s="86">
        <f>K28+(SUM(K29:K121))*0.2</f>
        <v>1979.6000000000001</v>
      </c>
      <c r="L122" s="86"/>
      <c r="M122" s="42" t="s">
        <v>113</v>
      </c>
      <c r="N122" s="39" t="s">
        <v>6202</v>
      </c>
      <c r="O122" s="13"/>
    </row>
    <row r="123" spans="1:17" s="12" customFormat="1" ht="54" customHeight="1">
      <c r="B123" s="304"/>
      <c r="C123" s="304"/>
      <c r="D123" s="304"/>
      <c r="E123" s="304"/>
      <c r="F123" s="304"/>
      <c r="G123" s="304"/>
      <c r="H123" s="304"/>
      <c r="I123" s="304"/>
      <c r="J123" s="304"/>
      <c r="K123" s="304"/>
      <c r="L123" s="304"/>
      <c r="M123" s="41"/>
      <c r="N123" s="39"/>
      <c r="O123" s="63"/>
      <c r="Q123" s="13"/>
    </row>
    <row r="124" spans="1:17" s="12" customFormat="1" ht="54" customHeight="1">
      <c r="A124" s="346" t="s">
        <v>43</v>
      </c>
      <c r="B124" s="347"/>
      <c r="C124" s="347"/>
      <c r="D124" s="347"/>
      <c r="E124" s="347"/>
      <c r="F124" s="347"/>
      <c r="G124" s="347"/>
      <c r="H124" s="347"/>
      <c r="I124" s="347"/>
      <c r="J124" s="347"/>
      <c r="K124" s="347"/>
      <c r="L124" s="347"/>
      <c r="M124" s="41"/>
      <c r="N124" s="39"/>
      <c r="O124" s="63"/>
      <c r="Q124" s="13"/>
    </row>
    <row r="125" spans="1:17" s="12" customFormat="1" ht="54" customHeight="1">
      <c r="A125" s="346"/>
      <c r="B125" s="347"/>
      <c r="C125" s="347"/>
      <c r="D125" s="347"/>
      <c r="E125" s="347"/>
      <c r="F125" s="347"/>
      <c r="G125" s="347"/>
      <c r="H125" s="347"/>
      <c r="I125" s="347"/>
      <c r="J125" s="347"/>
      <c r="K125" s="347"/>
      <c r="L125" s="347"/>
      <c r="M125" s="63"/>
      <c r="O125" s="13"/>
    </row>
    <row r="126" spans="1:17" s="12" customFormat="1" ht="54" customHeight="1">
      <c r="A126" s="9"/>
      <c r="B126" s="307"/>
      <c r="C126" s="9"/>
      <c r="D126" s="11"/>
      <c r="E126" s="9"/>
      <c r="F126" s="9"/>
      <c r="G126" s="10"/>
      <c r="H126" s="10"/>
      <c r="I126" s="10"/>
      <c r="J126" s="10"/>
      <c r="K126" s="10"/>
      <c r="L126" s="8"/>
      <c r="M126" s="63"/>
      <c r="O126" s="13"/>
    </row>
    <row r="127" spans="1:17" s="12" customFormat="1" ht="54" customHeight="1">
      <c r="A127" s="9"/>
      <c r="B127" s="307"/>
      <c r="C127" s="9"/>
      <c r="D127" s="11"/>
      <c r="E127" s="9"/>
      <c r="F127" s="9"/>
      <c r="G127" s="10"/>
      <c r="H127" s="10"/>
      <c r="I127" s="10"/>
      <c r="J127" s="10"/>
      <c r="K127" s="10"/>
      <c r="L127" s="8"/>
      <c r="M127" s="63"/>
      <c r="O127" s="13"/>
    </row>
    <row r="128" spans="1:17" s="12" customFormat="1" ht="54" customHeight="1">
      <c r="A128" s="9"/>
      <c r="B128" s="307"/>
      <c r="C128" s="9"/>
      <c r="D128" s="11"/>
      <c r="E128" s="9"/>
      <c r="F128" s="9"/>
      <c r="G128" s="10"/>
      <c r="H128" s="10"/>
      <c r="I128" s="10"/>
      <c r="J128" s="10"/>
      <c r="K128" s="10"/>
      <c r="L128" s="8"/>
      <c r="M128" s="63"/>
      <c r="O128" s="13"/>
    </row>
    <row r="129" spans="1:15" s="12" customFormat="1" ht="54" customHeight="1">
      <c r="A129" s="9"/>
      <c r="B129" s="307"/>
      <c r="C129" s="9"/>
      <c r="D129" s="11"/>
      <c r="E129" s="9"/>
      <c r="F129" s="9"/>
      <c r="G129" s="10"/>
      <c r="H129" s="10"/>
      <c r="I129" s="10"/>
      <c r="J129" s="10"/>
      <c r="K129" s="10"/>
      <c r="L129" s="8"/>
      <c r="M129" s="63"/>
      <c r="O129" s="13"/>
    </row>
    <row r="130" spans="1:15" s="12" customFormat="1" ht="54" customHeight="1">
      <c r="A130" s="9"/>
      <c r="B130" s="307"/>
      <c r="C130" s="9"/>
      <c r="D130" s="11"/>
      <c r="E130" s="9"/>
      <c r="F130" s="9"/>
      <c r="G130" s="10"/>
      <c r="H130" s="10"/>
      <c r="I130" s="10"/>
      <c r="J130" s="10"/>
      <c r="K130" s="10"/>
      <c r="L130" s="8"/>
      <c r="M130" s="63"/>
      <c r="O130" s="13"/>
    </row>
    <row r="131" spans="1:15" s="12" customFormat="1" ht="54" customHeight="1">
      <c r="A131" s="9"/>
      <c r="B131" s="307"/>
      <c r="C131" s="9"/>
      <c r="D131" s="11"/>
      <c r="E131" s="9"/>
      <c r="F131" s="9"/>
      <c r="G131" s="10"/>
      <c r="H131" s="10"/>
      <c r="I131" s="10"/>
      <c r="J131" s="10"/>
      <c r="K131" s="10"/>
      <c r="L131" s="8"/>
      <c r="M131" s="63"/>
      <c r="O131" s="13"/>
    </row>
    <row r="132" spans="1:15" s="12" customFormat="1" ht="54" customHeight="1">
      <c r="A132" s="9"/>
      <c r="B132" s="307"/>
      <c r="C132" s="9"/>
      <c r="D132" s="11"/>
      <c r="E132" s="9"/>
      <c r="F132" s="9"/>
      <c r="G132" s="10"/>
      <c r="H132" s="10"/>
      <c r="I132" s="10"/>
      <c r="J132" s="10"/>
      <c r="K132" s="10"/>
      <c r="L132" s="8"/>
      <c r="M132" s="63"/>
      <c r="O132" s="13"/>
    </row>
  </sheetData>
  <sortState xmlns:xlrd2="http://schemas.microsoft.com/office/spreadsheetml/2017/richdata2" ref="B29:K121">
    <sortCondition ref="F1"/>
  </sortState>
  <mergeCells count="17">
    <mergeCell ref="A124:L125"/>
    <mergeCell ref="F11:F13"/>
    <mergeCell ref="G11:H12"/>
    <mergeCell ref="I11:J12"/>
    <mergeCell ref="K11:L12"/>
    <mergeCell ref="A28:C28"/>
    <mergeCell ref="A122:C122"/>
    <mergeCell ref="A11:A13"/>
    <mergeCell ref="B11:B13"/>
    <mergeCell ref="C11:C13"/>
    <mergeCell ref="D11:D13"/>
    <mergeCell ref="E11:E13"/>
    <mergeCell ref="N1:P1"/>
    <mergeCell ref="L3:M3"/>
    <mergeCell ref="L5:M5"/>
    <mergeCell ref="A7:M7"/>
    <mergeCell ref="A10:C10"/>
  </mergeCells>
  <conditionalFormatting sqref="B29:B121 B14:B27">
    <cfRule type="cellIs" dxfId="51" priority="10" operator="equal">
      <formula>"БГБК"</formula>
    </cfRule>
    <cfRule type="cellIs" dxfId="50" priority="11" operator="equal">
      <formula>"ПРД"</formula>
    </cfRule>
    <cfRule type="cellIs" dxfId="49" priority="12" operator="equal">
      <formula>"Неман"</formula>
    </cfRule>
    <cfRule type="cellIs" dxfId="48" priority="13" operator="equal">
      <formula>"РПДМ"</formula>
    </cfRule>
    <cfRule type="cellIs" dxfId="47" priority="14" operator="equal">
      <formula>"МАСИ"</formula>
    </cfRule>
    <cfRule type="cellIs" dxfId="46" priority="15" operator="equal">
      <formula>"Р-673"</formula>
    </cfRule>
    <cfRule type="cellIs" dxfId="45" priority="16" operator="equal">
      <formula>"Р-170П"</formula>
    </cfRule>
    <cfRule type="containsText" dxfId="44" priority="17" operator="containsText" text="МКСТ">
      <formula>NOT(ISERROR(SEARCH("МКСТ",B14)))</formula>
    </cfRule>
  </conditionalFormatting>
  <conditionalFormatting sqref="B29:B121 B14:B27">
    <cfRule type="containsText" dxfId="43" priority="9" operator="containsText" text="К676">
      <formula>NOT(ISERROR(SEARCH("К676",B14)))</formula>
    </cfRule>
  </conditionalFormatting>
  <conditionalFormatting sqref="B29:B121 B14:B27">
    <cfRule type="containsText" priority="8" operator="containsText" text="СЛУЖ.">
      <formula>NOT(ISERROR(SEARCH("СЛУЖ.",B14)))</formula>
    </cfRule>
  </conditionalFormatting>
  <conditionalFormatting sqref="B29:B121 B14:B27">
    <cfRule type="containsText" dxfId="42" priority="3" operator="containsText" text="К625">
      <formula>NOT(ISERROR(SEARCH("К625",B14)))</formula>
    </cfRule>
    <cfRule type="containsText" dxfId="41" priority="4" operator="containsText" text="Ю627">
      <formula>NOT(ISERROR(SEARCH("Ю627",B14)))</formula>
    </cfRule>
    <cfRule type="containsText" dxfId="40" priority="5" operator="containsText" text="Ю628">
      <formula>NOT(ISERROR(SEARCH("Ю628",B14)))</formula>
    </cfRule>
    <cfRule type="containsText" dxfId="39" priority="6" operator="containsText" text="К674">
      <formula>NOT(ISERROR(SEARCH("К674",B14)))</formula>
    </cfRule>
    <cfRule type="containsText" dxfId="38" priority="7" operator="containsText" text="УСП">
      <formula>NOT(ISERROR(SEARCH("УСП",B14)))</formula>
    </cfRule>
  </conditionalFormatting>
  <conditionalFormatting sqref="B29:B121 B14:B27">
    <cfRule type="containsText" dxfId="37" priority="2" operator="containsText" text="МРМ">
      <formula>NOT(ISERROR(SEARCH("МРМ",B14)))</formula>
    </cfRule>
  </conditionalFormatting>
  <conditionalFormatting sqref="B29:B121 B14:B27">
    <cfRule type="containsText" dxfId="36" priority="1" operator="containsText" text="ОРХ">
      <formula>NOT(ISERROR(SEARCH("ОРХ",B14)))</formula>
    </cfRule>
  </conditionalFormatting>
  <printOptions horizontalCentered="1"/>
  <pageMargins left="0" right="0" top="0" bottom="0" header="0" footer="0"/>
  <pageSetup paperSize="8" scale="18" orientation="portrait" copies="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4097" r:id="rId4" name="Button 1">
              <controlPr defaultSize="0" print="0" autoFill="0" autoPict="0" macro="[0]!PlanSheet.onStartButtonClick">
                <anchor moveWithCells="1" sizeWithCells="1">
                  <from>
                    <xdr:col>3</xdr:col>
                    <xdr:colOff>11620500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098" r:id="rId5" name="Button 2">
              <controlPr defaultSize="0" print="0" autoFill="0" autoPict="0" macro="[0]!PlanSheet.onFinishButtonClick">
                <anchor moveWithCells="1" sizeWithCells="1">
                  <from>
                    <xdr:col>5</xdr:col>
                    <xdr:colOff>9525</xdr:colOff>
                    <xdr:row>9</xdr:row>
                    <xdr:rowOff>676275</xdr:rowOff>
                  </from>
                  <to>
                    <xdr:col>6</xdr:col>
                    <xdr:colOff>19050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099" r:id="rId6" name="Button 3">
              <controlPr defaultSize="0" print="0" autoFill="0" autoPict="0" macro="[0]!StatisticsSheet.paintSheet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3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/>
  <dimension ref="A1:AJ248"/>
  <sheetViews>
    <sheetView zoomScale="70" zoomScaleNormal="70" workbookViewId="0">
      <pane ySplit="3" topLeftCell="A4" activePane="bottomLeft" state="frozen"/>
      <selection pane="bottomLeft" activeCell="AD249" sqref="AD249"/>
    </sheetView>
  </sheetViews>
  <sheetFormatPr defaultRowHeight="12.75"/>
  <cols>
    <col min="2" max="2" width="10.42578125" customWidth="1"/>
    <col min="4" max="4" width="23.28515625" customWidth="1"/>
    <col min="8" max="8" width="10.42578125" customWidth="1"/>
  </cols>
  <sheetData>
    <row r="1" spans="1:36" ht="21">
      <c r="A1" s="137" t="s">
        <v>5906</v>
      </c>
      <c r="B1" s="137"/>
      <c r="C1" s="137"/>
      <c r="D1" s="137"/>
      <c r="E1" s="137"/>
      <c r="F1" s="137"/>
      <c r="G1" s="137"/>
      <c r="H1" s="137"/>
      <c r="I1" s="137"/>
      <c r="J1" s="137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9"/>
      <c r="AE1" s="139"/>
      <c r="AF1" s="139"/>
      <c r="AG1" s="139"/>
      <c r="AH1" s="139"/>
      <c r="AI1" s="100"/>
      <c r="AJ1" s="100"/>
    </row>
    <row r="2" spans="1:36" ht="26.25">
      <c r="A2" s="140" t="s">
        <v>500</v>
      </c>
      <c r="B2" s="140"/>
      <c r="C2" s="141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00"/>
      <c r="AJ2" s="100"/>
    </row>
    <row r="3" spans="1:36" ht="30">
      <c r="A3" s="142" t="s">
        <v>501</v>
      </c>
      <c r="B3" s="143" t="s">
        <v>502</v>
      </c>
      <c r="C3" s="142" t="s">
        <v>503</v>
      </c>
      <c r="D3" s="142" t="s">
        <v>504</v>
      </c>
      <c r="E3" s="142" t="s">
        <v>505</v>
      </c>
      <c r="F3" s="142" t="s">
        <v>506</v>
      </c>
      <c r="G3" s="143" t="s">
        <v>507</v>
      </c>
      <c r="H3" s="143" t="s">
        <v>508</v>
      </c>
      <c r="I3" s="142">
        <v>10101</v>
      </c>
      <c r="J3" s="142">
        <v>10102</v>
      </c>
      <c r="K3" s="142">
        <v>10103</v>
      </c>
      <c r="L3" s="142">
        <v>10104</v>
      </c>
      <c r="M3" s="142">
        <v>10105</v>
      </c>
      <c r="N3" s="142">
        <v>10106</v>
      </c>
      <c r="O3" s="142">
        <v>10109</v>
      </c>
      <c r="P3" s="142">
        <v>10201</v>
      </c>
      <c r="Q3" s="142">
        <v>10202</v>
      </c>
      <c r="R3" s="142">
        <v>10203</v>
      </c>
      <c r="S3" s="142">
        <v>10204</v>
      </c>
      <c r="T3" s="142">
        <v>10205</v>
      </c>
      <c r="U3" s="142">
        <v>10206</v>
      </c>
      <c r="V3" s="142">
        <v>10801</v>
      </c>
      <c r="W3" s="142">
        <v>10802</v>
      </c>
      <c r="X3" s="142">
        <v>10803</v>
      </c>
      <c r="Y3" s="142">
        <v>10804</v>
      </c>
      <c r="Z3" s="142">
        <v>11101</v>
      </c>
      <c r="AA3" s="142">
        <v>11102</v>
      </c>
      <c r="AB3" s="142">
        <v>11103</v>
      </c>
      <c r="AC3" s="142">
        <v>11401</v>
      </c>
      <c r="AD3" s="142">
        <v>11402</v>
      </c>
      <c r="AE3" s="142">
        <v>11403</v>
      </c>
      <c r="AF3" s="142">
        <v>11404</v>
      </c>
      <c r="AG3" s="142">
        <v>11405</v>
      </c>
      <c r="AH3" s="142">
        <v>11406</v>
      </c>
      <c r="AI3" s="100"/>
      <c r="AJ3" s="100"/>
    </row>
    <row r="4" spans="1:36" ht="30">
      <c r="A4" s="142">
        <v>1</v>
      </c>
      <c r="B4" s="144" t="s">
        <v>4552</v>
      </c>
      <c r="C4" s="144" t="s">
        <v>547</v>
      </c>
      <c r="D4" s="145" t="s">
        <v>510</v>
      </c>
      <c r="E4" s="146" t="s">
        <v>412</v>
      </c>
      <c r="F4" s="146" t="s">
        <v>272</v>
      </c>
      <c r="G4" s="146" t="s">
        <v>511</v>
      </c>
      <c r="H4" s="147">
        <v>7</v>
      </c>
      <c r="I4" s="189"/>
      <c r="J4" s="147">
        <v>0</v>
      </c>
      <c r="K4" s="189">
        <v>5.25</v>
      </c>
      <c r="L4" s="189">
        <v>1.75</v>
      </c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>
        <v>0</v>
      </c>
      <c r="AE4" s="189"/>
      <c r="AF4" s="147"/>
      <c r="AG4" s="189"/>
      <c r="AH4" s="189"/>
      <c r="AI4" s="148"/>
      <c r="AJ4" s="148"/>
    </row>
    <row r="5" spans="1:36" ht="30">
      <c r="A5" s="142">
        <v>2</v>
      </c>
      <c r="B5" s="144" t="s">
        <v>4552</v>
      </c>
      <c r="C5" s="144" t="s">
        <v>548</v>
      </c>
      <c r="D5" s="145" t="s">
        <v>510</v>
      </c>
      <c r="E5" s="146" t="s">
        <v>412</v>
      </c>
      <c r="F5" s="146" t="s">
        <v>272</v>
      </c>
      <c r="G5" s="146" t="s">
        <v>511</v>
      </c>
      <c r="H5" s="147">
        <v>7</v>
      </c>
      <c r="I5" s="189"/>
      <c r="J5" s="147">
        <v>0</v>
      </c>
      <c r="K5" s="189">
        <v>5.25</v>
      </c>
      <c r="L5" s="189">
        <v>1.75</v>
      </c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89"/>
      <c r="AA5" s="189"/>
      <c r="AB5" s="189"/>
      <c r="AC5" s="189"/>
      <c r="AD5" s="189">
        <v>0</v>
      </c>
      <c r="AE5" s="189"/>
      <c r="AF5" s="147"/>
      <c r="AG5" s="189"/>
      <c r="AH5" s="189"/>
      <c r="AI5" s="148"/>
      <c r="AJ5" s="148"/>
    </row>
    <row r="6" spans="1:36" ht="30">
      <c r="A6" s="142">
        <v>3</v>
      </c>
      <c r="B6" s="144" t="s">
        <v>4552</v>
      </c>
      <c r="C6" s="144" t="s">
        <v>549</v>
      </c>
      <c r="D6" s="145" t="s">
        <v>512</v>
      </c>
      <c r="E6" s="146" t="s">
        <v>513</v>
      </c>
      <c r="F6" s="146" t="s">
        <v>272</v>
      </c>
      <c r="G6" s="146" t="s">
        <v>511</v>
      </c>
      <c r="H6" s="147">
        <v>21.8</v>
      </c>
      <c r="I6" s="189"/>
      <c r="J6" s="147">
        <v>0</v>
      </c>
      <c r="K6" s="189">
        <v>16.350000000000001</v>
      </c>
      <c r="L6" s="189">
        <v>5.45</v>
      </c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>
        <v>0</v>
      </c>
      <c r="AE6" s="189"/>
      <c r="AF6" s="147"/>
      <c r="AG6" s="189"/>
      <c r="AH6" s="189"/>
      <c r="AI6" s="148"/>
      <c r="AJ6" s="148"/>
    </row>
    <row r="7" spans="1:36" ht="30">
      <c r="A7" s="142">
        <v>4</v>
      </c>
      <c r="B7" s="144" t="s">
        <v>4556</v>
      </c>
      <c r="C7" s="144" t="s">
        <v>4794</v>
      </c>
      <c r="D7" s="145" t="s">
        <v>528</v>
      </c>
      <c r="E7" s="146" t="s">
        <v>316</v>
      </c>
      <c r="F7" s="146" t="s">
        <v>264</v>
      </c>
      <c r="G7" s="146" t="s">
        <v>518</v>
      </c>
      <c r="H7" s="147">
        <v>0</v>
      </c>
      <c r="I7" s="189"/>
      <c r="J7" s="147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>
        <v>0</v>
      </c>
      <c r="W7" s="189"/>
      <c r="X7" s="189"/>
      <c r="Y7" s="189"/>
      <c r="Z7" s="189"/>
      <c r="AA7" s="189"/>
      <c r="AB7" s="189"/>
      <c r="AC7" s="189"/>
      <c r="AD7" s="189"/>
      <c r="AE7" s="189"/>
      <c r="AF7" s="147"/>
      <c r="AG7" s="189"/>
      <c r="AH7" s="189"/>
      <c r="AI7" s="148"/>
      <c r="AJ7" s="148"/>
    </row>
    <row r="8" spans="1:36" ht="105">
      <c r="A8" s="142">
        <v>5</v>
      </c>
      <c r="B8" s="144" t="s">
        <v>4634</v>
      </c>
      <c r="C8" s="144" t="s">
        <v>4778</v>
      </c>
      <c r="D8" s="145" t="s">
        <v>517</v>
      </c>
      <c r="E8" s="146" t="s">
        <v>488</v>
      </c>
      <c r="F8" s="146" t="s">
        <v>259</v>
      </c>
      <c r="G8" s="146" t="s">
        <v>262</v>
      </c>
      <c r="H8" s="147">
        <v>75</v>
      </c>
      <c r="I8" s="189"/>
      <c r="J8" s="147"/>
      <c r="K8" s="189">
        <v>40</v>
      </c>
      <c r="L8" s="189">
        <v>35</v>
      </c>
      <c r="M8" s="189"/>
      <c r="N8" s="189"/>
      <c r="O8" s="189"/>
      <c r="P8" s="189"/>
      <c r="Q8" s="189">
        <v>0</v>
      </c>
      <c r="R8" s="189"/>
      <c r="S8" s="189"/>
      <c r="T8" s="189">
        <v>0</v>
      </c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47"/>
      <c r="AG8" s="189"/>
      <c r="AH8" s="189"/>
      <c r="AI8" s="148"/>
      <c r="AJ8" s="148"/>
    </row>
    <row r="9" spans="1:36" ht="60">
      <c r="A9" s="142">
        <v>6</v>
      </c>
      <c r="B9" s="144" t="s">
        <v>4566</v>
      </c>
      <c r="C9" s="144" t="s">
        <v>4779</v>
      </c>
      <c r="D9" s="145" t="s">
        <v>519</v>
      </c>
      <c r="E9" s="146" t="s">
        <v>296</v>
      </c>
      <c r="F9" s="146" t="s">
        <v>259</v>
      </c>
      <c r="G9" s="146" t="s">
        <v>520</v>
      </c>
      <c r="H9" s="147">
        <v>12.66</v>
      </c>
      <c r="I9" s="189"/>
      <c r="J9" s="147"/>
      <c r="K9" s="189">
        <v>4.66</v>
      </c>
      <c r="L9" s="189">
        <v>2</v>
      </c>
      <c r="M9" s="189"/>
      <c r="N9" s="189"/>
      <c r="O9" s="189"/>
      <c r="P9" s="189"/>
      <c r="Q9" s="189">
        <v>0</v>
      </c>
      <c r="R9" s="189"/>
      <c r="S9" s="189"/>
      <c r="T9" s="189">
        <v>0</v>
      </c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>
        <v>6</v>
      </c>
      <c r="AF9" s="147"/>
      <c r="AG9" s="189"/>
      <c r="AH9" s="189"/>
      <c r="AI9" s="148"/>
      <c r="AJ9" s="148"/>
    </row>
    <row r="10" spans="1:36" ht="30">
      <c r="A10" s="142">
        <v>7</v>
      </c>
      <c r="B10" s="144" t="s">
        <v>4559</v>
      </c>
      <c r="C10" s="144" t="s">
        <v>551</v>
      </c>
      <c r="D10" s="145" t="s">
        <v>521</v>
      </c>
      <c r="E10" s="146" t="s">
        <v>306</v>
      </c>
      <c r="F10" s="146" t="s">
        <v>259</v>
      </c>
      <c r="G10" s="146" t="s">
        <v>254</v>
      </c>
      <c r="H10" s="147">
        <v>21.23</v>
      </c>
      <c r="I10" s="189"/>
      <c r="J10" s="147"/>
      <c r="K10" s="189">
        <v>8.4</v>
      </c>
      <c r="L10" s="189">
        <v>5.6</v>
      </c>
      <c r="M10" s="189"/>
      <c r="N10" s="189"/>
      <c r="O10" s="189"/>
      <c r="P10" s="189"/>
      <c r="Q10" s="189">
        <v>0</v>
      </c>
      <c r="R10" s="189"/>
      <c r="S10" s="189"/>
      <c r="T10" s="189">
        <v>0</v>
      </c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>
        <v>7.23</v>
      </c>
      <c r="AF10" s="147"/>
      <c r="AG10" s="189"/>
      <c r="AH10" s="189"/>
      <c r="AI10" s="148"/>
      <c r="AJ10" s="148"/>
    </row>
    <row r="11" spans="1:36" ht="30">
      <c r="A11" s="142">
        <v>8</v>
      </c>
      <c r="B11" s="144"/>
      <c r="C11" s="144" t="s">
        <v>4795</v>
      </c>
      <c r="D11" s="145" t="s">
        <v>555</v>
      </c>
      <c r="E11" s="146" t="s">
        <v>556</v>
      </c>
      <c r="F11" s="146" t="s">
        <v>251</v>
      </c>
      <c r="G11" s="146" t="s">
        <v>520</v>
      </c>
      <c r="H11" s="147">
        <v>48</v>
      </c>
      <c r="I11" s="189">
        <v>0</v>
      </c>
      <c r="J11" s="147">
        <v>0</v>
      </c>
      <c r="K11" s="189">
        <v>32</v>
      </c>
      <c r="L11" s="189">
        <v>16</v>
      </c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47"/>
      <c r="AG11" s="189"/>
      <c r="AH11" s="189"/>
      <c r="AI11" s="148"/>
      <c r="AJ11" s="148"/>
    </row>
    <row r="12" spans="1:36" ht="30">
      <c r="A12" s="142">
        <v>9</v>
      </c>
      <c r="B12" s="144" t="s">
        <v>79</v>
      </c>
      <c r="C12" s="144" t="s">
        <v>4780</v>
      </c>
      <c r="D12" s="145" t="s">
        <v>534</v>
      </c>
      <c r="E12" s="146" t="s">
        <v>335</v>
      </c>
      <c r="F12" s="146" t="s">
        <v>252</v>
      </c>
      <c r="G12" s="146" t="s">
        <v>258</v>
      </c>
      <c r="H12" s="147">
        <v>28.33</v>
      </c>
      <c r="I12" s="189"/>
      <c r="J12" s="147">
        <v>0</v>
      </c>
      <c r="K12" s="189">
        <v>16.670000000000002</v>
      </c>
      <c r="L12" s="189">
        <v>8.33</v>
      </c>
      <c r="M12" s="189"/>
      <c r="N12" s="189"/>
      <c r="O12" s="189"/>
      <c r="P12" s="189"/>
      <c r="Q12" s="189"/>
      <c r="R12" s="189"/>
      <c r="S12" s="189"/>
      <c r="T12" s="189"/>
      <c r="U12" s="189">
        <v>3.33</v>
      </c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47"/>
      <c r="AG12" s="189"/>
      <c r="AH12" s="189"/>
      <c r="AI12" s="148"/>
      <c r="AJ12" s="148"/>
    </row>
    <row r="13" spans="1:36" ht="18">
      <c r="A13" s="142">
        <v>10</v>
      </c>
      <c r="B13" s="144" t="s">
        <v>4558</v>
      </c>
      <c r="C13" s="144" t="s">
        <v>4797</v>
      </c>
      <c r="D13" s="145" t="s">
        <v>4798</v>
      </c>
      <c r="E13" s="146" t="s">
        <v>291</v>
      </c>
      <c r="F13" s="146" t="s">
        <v>259</v>
      </c>
      <c r="G13" s="146" t="s">
        <v>262</v>
      </c>
      <c r="H13" s="147">
        <v>4.6399999999999997</v>
      </c>
      <c r="I13" s="189"/>
      <c r="J13" s="147"/>
      <c r="K13" s="189">
        <v>4</v>
      </c>
      <c r="L13" s="189">
        <v>0.38</v>
      </c>
      <c r="M13" s="189"/>
      <c r="N13" s="189"/>
      <c r="O13" s="189"/>
      <c r="P13" s="189"/>
      <c r="Q13" s="189">
        <v>0</v>
      </c>
      <c r="R13" s="189">
        <v>0.13</v>
      </c>
      <c r="S13" s="189"/>
      <c r="T13" s="189">
        <v>0.13</v>
      </c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47"/>
      <c r="AG13" s="189"/>
      <c r="AH13" s="189"/>
      <c r="AI13" s="148"/>
      <c r="AJ13" s="148"/>
    </row>
    <row r="14" spans="1:36" ht="60">
      <c r="A14" s="142">
        <v>11</v>
      </c>
      <c r="B14" s="144" t="s">
        <v>4566</v>
      </c>
      <c r="C14" s="144" t="s">
        <v>4781</v>
      </c>
      <c r="D14" s="145" t="s">
        <v>535</v>
      </c>
      <c r="E14" s="146" t="s">
        <v>335</v>
      </c>
      <c r="F14" s="146" t="s">
        <v>259</v>
      </c>
      <c r="G14" s="146" t="s">
        <v>262</v>
      </c>
      <c r="H14" s="147">
        <v>46.67</v>
      </c>
      <c r="I14" s="189"/>
      <c r="J14" s="147"/>
      <c r="K14" s="189">
        <v>30</v>
      </c>
      <c r="L14" s="189">
        <v>16.670000000000002</v>
      </c>
      <c r="M14" s="189"/>
      <c r="N14" s="189"/>
      <c r="O14" s="189"/>
      <c r="P14" s="189"/>
      <c r="Q14" s="189">
        <v>0</v>
      </c>
      <c r="R14" s="189"/>
      <c r="S14" s="189"/>
      <c r="T14" s="189">
        <v>0</v>
      </c>
      <c r="U14" s="189"/>
      <c r="V14" s="189"/>
      <c r="W14" s="189"/>
      <c r="X14" s="189">
        <v>0</v>
      </c>
      <c r="Y14" s="189"/>
      <c r="Z14" s="189"/>
      <c r="AA14" s="189"/>
      <c r="AB14" s="189"/>
      <c r="AC14" s="189"/>
      <c r="AD14" s="189"/>
      <c r="AE14" s="189"/>
      <c r="AF14" s="147"/>
      <c r="AG14" s="189"/>
      <c r="AH14" s="189"/>
      <c r="AI14" s="148"/>
      <c r="AJ14" s="148"/>
    </row>
    <row r="15" spans="1:36" ht="30">
      <c r="A15" s="142">
        <v>12</v>
      </c>
      <c r="B15" s="144" t="s">
        <v>527</v>
      </c>
      <c r="C15" s="144" t="s">
        <v>4782</v>
      </c>
      <c r="D15" s="145" t="s">
        <v>536</v>
      </c>
      <c r="E15" s="146" t="s">
        <v>306</v>
      </c>
      <c r="F15" s="146" t="s">
        <v>251</v>
      </c>
      <c r="G15" s="146" t="s">
        <v>262</v>
      </c>
      <c r="H15" s="147">
        <v>2.5</v>
      </c>
      <c r="I15" s="189">
        <v>0</v>
      </c>
      <c r="J15" s="147">
        <v>0</v>
      </c>
      <c r="K15" s="189">
        <v>1.5</v>
      </c>
      <c r="L15" s="189">
        <v>1</v>
      </c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>
        <v>0</v>
      </c>
      <c r="Y15" s="189"/>
      <c r="Z15" s="189"/>
      <c r="AA15" s="189"/>
      <c r="AB15" s="189"/>
      <c r="AC15" s="189"/>
      <c r="AD15" s="189"/>
      <c r="AE15" s="189"/>
      <c r="AF15" s="147"/>
      <c r="AG15" s="189"/>
      <c r="AH15" s="189"/>
      <c r="AI15" s="148"/>
      <c r="AJ15" s="148"/>
    </row>
    <row r="16" spans="1:36" ht="30">
      <c r="A16" s="142">
        <v>13</v>
      </c>
      <c r="B16" s="144" t="s">
        <v>4556</v>
      </c>
      <c r="C16" s="144" t="s">
        <v>4785</v>
      </c>
      <c r="D16" s="145" t="s">
        <v>522</v>
      </c>
      <c r="E16" s="146" t="s">
        <v>360</v>
      </c>
      <c r="F16" s="146" t="s">
        <v>255</v>
      </c>
      <c r="G16" s="146" t="s">
        <v>262</v>
      </c>
      <c r="H16" s="147">
        <v>46.66</v>
      </c>
      <c r="I16" s="189"/>
      <c r="J16" s="147"/>
      <c r="K16" s="189">
        <v>21</v>
      </c>
      <c r="L16" s="189">
        <v>8.16</v>
      </c>
      <c r="M16" s="189">
        <v>17.5</v>
      </c>
      <c r="N16" s="189"/>
      <c r="O16" s="189"/>
      <c r="P16" s="189"/>
      <c r="Q16" s="189"/>
      <c r="R16" s="189"/>
      <c r="S16" s="189"/>
      <c r="T16" s="189"/>
      <c r="U16" s="189"/>
      <c r="V16" s="189"/>
      <c r="W16" s="189"/>
      <c r="X16" s="189"/>
      <c r="Y16" s="189"/>
      <c r="Z16" s="189"/>
      <c r="AA16" s="189"/>
      <c r="AB16" s="189"/>
      <c r="AC16" s="189"/>
      <c r="AD16" s="189"/>
      <c r="AE16" s="189"/>
      <c r="AF16" s="147"/>
      <c r="AG16" s="189"/>
      <c r="AH16" s="189"/>
      <c r="AI16" s="148"/>
      <c r="AJ16" s="148"/>
    </row>
    <row r="17" spans="1:36" ht="30">
      <c r="A17" s="142">
        <v>14</v>
      </c>
      <c r="B17" s="144" t="s">
        <v>4552</v>
      </c>
      <c r="C17" s="144" t="s">
        <v>4786</v>
      </c>
      <c r="D17" s="145" t="s">
        <v>4787</v>
      </c>
      <c r="E17" s="146" t="s">
        <v>312</v>
      </c>
      <c r="F17" s="146" t="s">
        <v>251</v>
      </c>
      <c r="G17" s="146" t="s">
        <v>518</v>
      </c>
      <c r="H17" s="147">
        <v>2.4</v>
      </c>
      <c r="I17" s="189">
        <v>0</v>
      </c>
      <c r="J17" s="147">
        <v>2.4</v>
      </c>
      <c r="K17" s="189">
        <v>0</v>
      </c>
      <c r="L17" s="189">
        <v>0</v>
      </c>
      <c r="M17" s="189"/>
      <c r="N17" s="189"/>
      <c r="O17" s="189"/>
      <c r="P17" s="189"/>
      <c r="Q17" s="189"/>
      <c r="R17" s="189"/>
      <c r="S17" s="189"/>
      <c r="T17" s="189"/>
      <c r="U17" s="189"/>
      <c r="V17" s="189"/>
      <c r="W17" s="189"/>
      <c r="X17" s="189"/>
      <c r="Y17" s="189"/>
      <c r="Z17" s="189"/>
      <c r="AA17" s="189"/>
      <c r="AB17" s="189"/>
      <c r="AC17" s="189"/>
      <c r="AD17" s="189">
        <v>0</v>
      </c>
      <c r="AE17" s="189"/>
      <c r="AF17" s="147"/>
      <c r="AG17" s="189"/>
      <c r="AH17" s="189"/>
      <c r="AI17" s="148"/>
      <c r="AJ17" s="148"/>
    </row>
    <row r="18" spans="1:36" ht="30">
      <c r="A18" s="142">
        <v>15</v>
      </c>
      <c r="B18" s="144" t="s">
        <v>4559</v>
      </c>
      <c r="C18" s="144" t="s">
        <v>4788</v>
      </c>
      <c r="D18" s="145" t="s">
        <v>4789</v>
      </c>
      <c r="E18" s="146" t="s">
        <v>335</v>
      </c>
      <c r="F18" s="146" t="s">
        <v>251</v>
      </c>
      <c r="G18" s="146" t="s">
        <v>254</v>
      </c>
      <c r="H18" s="147">
        <v>24.17</v>
      </c>
      <c r="I18" s="189">
        <v>0</v>
      </c>
      <c r="J18" s="147"/>
      <c r="K18" s="189">
        <v>20</v>
      </c>
      <c r="L18" s="189">
        <v>4.17</v>
      </c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>
        <v>0</v>
      </c>
      <c r="AE18" s="189"/>
      <c r="AF18" s="147"/>
      <c r="AG18" s="189"/>
      <c r="AH18" s="189"/>
      <c r="AI18" s="148"/>
      <c r="AJ18" s="148"/>
    </row>
    <row r="19" spans="1:36" ht="30">
      <c r="A19" s="142">
        <v>16</v>
      </c>
      <c r="B19" s="144" t="s">
        <v>4552</v>
      </c>
      <c r="C19" s="144" t="s">
        <v>4790</v>
      </c>
      <c r="D19" s="145" t="s">
        <v>530</v>
      </c>
      <c r="E19" s="146" t="s">
        <v>306</v>
      </c>
      <c r="F19" s="146" t="s">
        <v>251</v>
      </c>
      <c r="G19" s="146" t="s">
        <v>262</v>
      </c>
      <c r="H19" s="147">
        <v>8</v>
      </c>
      <c r="I19" s="189">
        <v>0</v>
      </c>
      <c r="J19" s="147">
        <v>0</v>
      </c>
      <c r="K19" s="189">
        <v>7</v>
      </c>
      <c r="L19" s="189">
        <v>1</v>
      </c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147"/>
      <c r="AG19" s="189"/>
      <c r="AH19" s="189"/>
      <c r="AI19" s="148"/>
      <c r="AJ19" s="148"/>
    </row>
    <row r="20" spans="1:36" ht="30">
      <c r="A20" s="142">
        <v>17</v>
      </c>
      <c r="B20" s="144" t="s">
        <v>4552</v>
      </c>
      <c r="C20" s="144" t="s">
        <v>4791</v>
      </c>
      <c r="D20" s="145" t="s">
        <v>532</v>
      </c>
      <c r="E20" s="146" t="s">
        <v>349</v>
      </c>
      <c r="F20" s="146" t="s">
        <v>251</v>
      </c>
      <c r="G20" s="146" t="s">
        <v>262</v>
      </c>
      <c r="H20" s="147">
        <v>12</v>
      </c>
      <c r="I20" s="189">
        <v>0</v>
      </c>
      <c r="J20" s="147">
        <v>0</v>
      </c>
      <c r="K20" s="189">
        <v>10</v>
      </c>
      <c r="L20" s="189">
        <v>2</v>
      </c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47"/>
      <c r="AG20" s="189"/>
      <c r="AH20" s="189"/>
      <c r="AI20" s="148"/>
      <c r="AJ20" s="148"/>
    </row>
    <row r="21" spans="1:36" ht="30">
      <c r="A21" s="142">
        <v>18</v>
      </c>
      <c r="B21" s="144" t="s">
        <v>4552</v>
      </c>
      <c r="C21" s="144" t="s">
        <v>4792</v>
      </c>
      <c r="D21" s="145" t="s">
        <v>533</v>
      </c>
      <c r="E21" s="146" t="s">
        <v>306</v>
      </c>
      <c r="F21" s="146" t="s">
        <v>251</v>
      </c>
      <c r="G21" s="146" t="s">
        <v>262</v>
      </c>
      <c r="H21" s="147">
        <v>7</v>
      </c>
      <c r="I21" s="189">
        <v>0</v>
      </c>
      <c r="J21" s="147">
        <v>0</v>
      </c>
      <c r="K21" s="189">
        <v>6</v>
      </c>
      <c r="L21" s="189">
        <v>1</v>
      </c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  <c r="AA21" s="189"/>
      <c r="AB21" s="189"/>
      <c r="AC21" s="189"/>
      <c r="AD21" s="189"/>
      <c r="AE21" s="189"/>
      <c r="AF21" s="147"/>
      <c r="AG21" s="189"/>
      <c r="AH21" s="189"/>
      <c r="AI21" s="148"/>
      <c r="AJ21" s="148"/>
    </row>
    <row r="22" spans="1:36" ht="45">
      <c r="A22" s="142">
        <v>19</v>
      </c>
      <c r="B22" s="144" t="s">
        <v>4732</v>
      </c>
      <c r="C22" s="144" t="s">
        <v>4802</v>
      </c>
      <c r="D22" s="145" t="s">
        <v>4803</v>
      </c>
      <c r="E22" s="146" t="s">
        <v>360</v>
      </c>
      <c r="F22" s="146" t="s">
        <v>251</v>
      </c>
      <c r="G22" s="146" t="s">
        <v>520</v>
      </c>
      <c r="H22" s="147">
        <v>17.5</v>
      </c>
      <c r="I22" s="189">
        <v>0</v>
      </c>
      <c r="J22" s="147">
        <v>0</v>
      </c>
      <c r="K22" s="189">
        <v>14</v>
      </c>
      <c r="L22" s="189">
        <v>3.5</v>
      </c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47"/>
      <c r="AG22" s="189"/>
      <c r="AH22" s="189"/>
      <c r="AI22" s="148"/>
      <c r="AJ22" s="148"/>
    </row>
    <row r="23" spans="1:36" ht="30">
      <c r="A23" s="142">
        <v>20</v>
      </c>
      <c r="B23" s="144" t="s">
        <v>96</v>
      </c>
      <c r="C23" s="144" t="s">
        <v>4804</v>
      </c>
      <c r="D23" s="145" t="s">
        <v>4805</v>
      </c>
      <c r="E23" s="146" t="s">
        <v>360</v>
      </c>
      <c r="F23" s="146" t="s">
        <v>251</v>
      </c>
      <c r="G23" s="146" t="s">
        <v>520</v>
      </c>
      <c r="H23" s="147">
        <v>17.5</v>
      </c>
      <c r="I23" s="189">
        <v>0</v>
      </c>
      <c r="J23" s="147">
        <v>0</v>
      </c>
      <c r="K23" s="189">
        <v>14</v>
      </c>
      <c r="L23" s="189">
        <v>3.5</v>
      </c>
      <c r="M23" s="189"/>
      <c r="N23" s="189"/>
      <c r="O23" s="189"/>
      <c r="P23" s="189"/>
      <c r="Q23" s="189"/>
      <c r="R23" s="189"/>
      <c r="S23" s="189"/>
      <c r="T23" s="189"/>
      <c r="U23" s="189"/>
      <c r="V23" s="189"/>
      <c r="W23" s="189"/>
      <c r="X23" s="189"/>
      <c r="Y23" s="189"/>
      <c r="Z23" s="189"/>
      <c r="AA23" s="189"/>
      <c r="AB23" s="189"/>
      <c r="AC23" s="189"/>
      <c r="AD23" s="189"/>
      <c r="AE23" s="189"/>
      <c r="AF23" s="147"/>
      <c r="AG23" s="189"/>
      <c r="AH23" s="189"/>
      <c r="AI23" s="148"/>
      <c r="AJ23" s="148"/>
    </row>
    <row r="24" spans="1:36" ht="30">
      <c r="A24" s="142">
        <v>21</v>
      </c>
      <c r="B24" s="144" t="s">
        <v>4552</v>
      </c>
      <c r="C24" s="144" t="s">
        <v>4809</v>
      </c>
      <c r="D24" s="145" t="s">
        <v>4810</v>
      </c>
      <c r="E24" s="146" t="s">
        <v>296</v>
      </c>
      <c r="F24" s="146" t="s">
        <v>251</v>
      </c>
      <c r="G24" s="146" t="s">
        <v>262</v>
      </c>
      <c r="H24" s="147">
        <v>4.67</v>
      </c>
      <c r="I24" s="189">
        <v>0</v>
      </c>
      <c r="J24" s="147">
        <v>0</v>
      </c>
      <c r="K24" s="189">
        <v>4</v>
      </c>
      <c r="L24" s="189">
        <v>0.67</v>
      </c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  <c r="AA24" s="189"/>
      <c r="AB24" s="189"/>
      <c r="AC24" s="189"/>
      <c r="AD24" s="189"/>
      <c r="AE24" s="189"/>
      <c r="AF24" s="147"/>
      <c r="AG24" s="189"/>
      <c r="AH24" s="189"/>
      <c r="AI24" s="148"/>
      <c r="AJ24" s="148"/>
    </row>
    <row r="25" spans="1:36" ht="18">
      <c r="A25" s="142">
        <v>22</v>
      </c>
      <c r="B25" s="144" t="s">
        <v>4558</v>
      </c>
      <c r="C25" s="144" t="s">
        <v>5002</v>
      </c>
      <c r="D25" s="145" t="s">
        <v>5003</v>
      </c>
      <c r="E25" s="146" t="s">
        <v>280</v>
      </c>
      <c r="F25" s="146" t="s">
        <v>271</v>
      </c>
      <c r="G25" s="146" t="s">
        <v>258</v>
      </c>
      <c r="H25" s="147">
        <v>5.94</v>
      </c>
      <c r="I25" s="189"/>
      <c r="J25" s="147"/>
      <c r="K25" s="189">
        <v>2</v>
      </c>
      <c r="L25" s="189">
        <v>2.27</v>
      </c>
      <c r="M25" s="189"/>
      <c r="N25" s="189"/>
      <c r="O25" s="189"/>
      <c r="P25" s="189"/>
      <c r="Q25" s="189"/>
      <c r="R25" s="189"/>
      <c r="S25" s="189"/>
      <c r="T25" s="189">
        <v>1.67</v>
      </c>
      <c r="U25" s="189"/>
      <c r="V25" s="189"/>
      <c r="W25" s="189"/>
      <c r="X25" s="189"/>
      <c r="Y25" s="189"/>
      <c r="Z25" s="189"/>
      <c r="AA25" s="189"/>
      <c r="AB25" s="189"/>
      <c r="AC25" s="189">
        <v>0</v>
      </c>
      <c r="AD25" s="189"/>
      <c r="AE25" s="189"/>
      <c r="AF25" s="147"/>
      <c r="AG25" s="189">
        <v>0</v>
      </c>
      <c r="AH25" s="189"/>
      <c r="AI25" s="148"/>
      <c r="AJ25" s="148"/>
    </row>
    <row r="26" spans="1:36" ht="30">
      <c r="A26" s="142">
        <v>23</v>
      </c>
      <c r="B26" s="144" t="s">
        <v>4558</v>
      </c>
      <c r="C26" s="144" t="s">
        <v>5004</v>
      </c>
      <c r="D26" s="145" t="s">
        <v>5005</v>
      </c>
      <c r="E26" s="146" t="s">
        <v>280</v>
      </c>
      <c r="F26" s="146" t="s">
        <v>271</v>
      </c>
      <c r="G26" s="146" t="s">
        <v>5001</v>
      </c>
      <c r="H26" s="147">
        <v>5.66</v>
      </c>
      <c r="I26" s="189"/>
      <c r="J26" s="147"/>
      <c r="K26" s="189">
        <v>1.33</v>
      </c>
      <c r="L26" s="189">
        <v>4.33</v>
      </c>
      <c r="M26" s="189"/>
      <c r="N26" s="189"/>
      <c r="O26" s="189"/>
      <c r="P26" s="189"/>
      <c r="Q26" s="189">
        <v>0</v>
      </c>
      <c r="R26" s="189"/>
      <c r="S26" s="189"/>
      <c r="T26" s="189"/>
      <c r="U26" s="189">
        <v>0</v>
      </c>
      <c r="V26" s="189"/>
      <c r="W26" s="189"/>
      <c r="X26" s="189"/>
      <c r="Y26" s="189"/>
      <c r="Z26" s="189"/>
      <c r="AA26" s="189"/>
      <c r="AB26" s="189"/>
      <c r="AC26" s="189">
        <v>0</v>
      </c>
      <c r="AD26" s="189"/>
      <c r="AE26" s="189">
        <v>0</v>
      </c>
      <c r="AF26" s="147"/>
      <c r="AG26" s="189">
        <v>0</v>
      </c>
      <c r="AH26" s="189"/>
      <c r="AI26" s="148"/>
      <c r="AJ26" s="148"/>
    </row>
    <row r="27" spans="1:36" ht="18">
      <c r="A27" s="142">
        <v>24</v>
      </c>
      <c r="B27" s="144" t="s">
        <v>4558</v>
      </c>
      <c r="C27" s="144" t="s">
        <v>5009</v>
      </c>
      <c r="D27" s="145" t="s">
        <v>5010</v>
      </c>
      <c r="E27" s="146" t="s">
        <v>280</v>
      </c>
      <c r="F27" s="146" t="s">
        <v>259</v>
      </c>
      <c r="G27" s="146" t="s">
        <v>5001</v>
      </c>
      <c r="H27" s="147">
        <v>10.66</v>
      </c>
      <c r="I27" s="189"/>
      <c r="J27" s="147"/>
      <c r="K27" s="189">
        <v>2.67</v>
      </c>
      <c r="L27" s="189">
        <v>1.74</v>
      </c>
      <c r="M27" s="189"/>
      <c r="N27" s="189"/>
      <c r="O27" s="189"/>
      <c r="P27" s="189"/>
      <c r="Q27" s="189">
        <v>0</v>
      </c>
      <c r="R27" s="189"/>
      <c r="S27" s="189"/>
      <c r="T27" s="189">
        <v>0</v>
      </c>
      <c r="U27" s="189"/>
      <c r="V27" s="189"/>
      <c r="W27" s="189"/>
      <c r="X27" s="189"/>
      <c r="Y27" s="189"/>
      <c r="Z27" s="189"/>
      <c r="AA27" s="189"/>
      <c r="AB27" s="189"/>
      <c r="AC27" s="189"/>
      <c r="AD27" s="189"/>
      <c r="AE27" s="189">
        <v>6.25</v>
      </c>
      <c r="AF27" s="147"/>
      <c r="AG27" s="189"/>
      <c r="AH27" s="189"/>
      <c r="AI27" s="148"/>
      <c r="AJ27" s="148"/>
    </row>
    <row r="28" spans="1:36" ht="30">
      <c r="A28" s="142">
        <v>25</v>
      </c>
      <c r="B28" s="144" t="s">
        <v>4558</v>
      </c>
      <c r="C28" s="144" t="s">
        <v>5011</v>
      </c>
      <c r="D28" s="145" t="s">
        <v>5012</v>
      </c>
      <c r="E28" s="146" t="s">
        <v>280</v>
      </c>
      <c r="F28" s="146" t="s">
        <v>271</v>
      </c>
      <c r="G28" s="146" t="s">
        <v>258</v>
      </c>
      <c r="H28" s="147">
        <v>1.1299999999999999</v>
      </c>
      <c r="I28" s="189"/>
      <c r="J28" s="147"/>
      <c r="K28" s="189">
        <v>0.8</v>
      </c>
      <c r="L28" s="189">
        <v>0.33</v>
      </c>
      <c r="M28" s="189"/>
      <c r="N28" s="189"/>
      <c r="O28" s="189"/>
      <c r="P28" s="189"/>
      <c r="Q28" s="189"/>
      <c r="R28" s="189"/>
      <c r="S28" s="189"/>
      <c r="T28" s="189">
        <v>0</v>
      </c>
      <c r="U28" s="189"/>
      <c r="V28" s="189"/>
      <c r="W28" s="189"/>
      <c r="X28" s="189"/>
      <c r="Y28" s="189"/>
      <c r="Z28" s="189"/>
      <c r="AA28" s="189"/>
      <c r="AB28" s="189"/>
      <c r="AC28" s="189">
        <v>0</v>
      </c>
      <c r="AD28" s="189"/>
      <c r="AE28" s="189"/>
      <c r="AF28" s="147"/>
      <c r="AG28" s="189">
        <v>0</v>
      </c>
      <c r="AH28" s="189"/>
      <c r="AI28" s="148"/>
      <c r="AJ28" s="148"/>
    </row>
    <row r="29" spans="1:36" ht="18">
      <c r="A29" s="142">
        <v>26</v>
      </c>
      <c r="B29" s="144" t="s">
        <v>4558</v>
      </c>
      <c r="C29" s="144" t="s">
        <v>5043</v>
      </c>
      <c r="D29" s="145" t="s">
        <v>5044</v>
      </c>
      <c r="E29" s="146" t="s">
        <v>284</v>
      </c>
      <c r="F29" s="146" t="s">
        <v>251</v>
      </c>
      <c r="G29" s="146" t="s">
        <v>5001</v>
      </c>
      <c r="H29" s="147">
        <v>5.92</v>
      </c>
      <c r="I29" s="189">
        <v>0</v>
      </c>
      <c r="J29" s="147">
        <v>0</v>
      </c>
      <c r="K29" s="189"/>
      <c r="L29" s="189">
        <v>3.27</v>
      </c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  <c r="AC29" s="189"/>
      <c r="AD29" s="189">
        <v>0</v>
      </c>
      <c r="AE29" s="189">
        <v>2.65</v>
      </c>
      <c r="AF29" s="147"/>
      <c r="AG29" s="189"/>
      <c r="AH29" s="189"/>
      <c r="AI29" s="148"/>
      <c r="AJ29" s="148"/>
    </row>
    <row r="30" spans="1:36" ht="30">
      <c r="A30" s="142">
        <v>27</v>
      </c>
      <c r="B30" s="144" t="s">
        <v>4552</v>
      </c>
      <c r="C30" s="144" t="s">
        <v>5209</v>
      </c>
      <c r="D30" s="145" t="s">
        <v>4787</v>
      </c>
      <c r="E30" s="146" t="s">
        <v>312</v>
      </c>
      <c r="F30" s="146" t="s">
        <v>251</v>
      </c>
      <c r="G30" s="146" t="s">
        <v>518</v>
      </c>
      <c r="H30" s="147">
        <v>6.6</v>
      </c>
      <c r="I30" s="189">
        <v>0</v>
      </c>
      <c r="J30" s="147">
        <v>2.4</v>
      </c>
      <c r="K30" s="189">
        <v>3.6</v>
      </c>
      <c r="L30" s="189">
        <v>0.6</v>
      </c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  <c r="AC30" s="189"/>
      <c r="AD30" s="189">
        <v>0</v>
      </c>
      <c r="AE30" s="189"/>
      <c r="AF30" s="147"/>
      <c r="AG30" s="189"/>
      <c r="AH30" s="189"/>
      <c r="AI30" s="148"/>
      <c r="AJ30" s="148"/>
    </row>
    <row r="31" spans="1:36" ht="30">
      <c r="A31" s="142">
        <v>28</v>
      </c>
      <c r="B31" s="144" t="s">
        <v>4559</v>
      </c>
      <c r="C31" s="144" t="s">
        <v>5210</v>
      </c>
      <c r="D31" s="145" t="s">
        <v>5211</v>
      </c>
      <c r="E31" s="146" t="s">
        <v>296</v>
      </c>
      <c r="F31" s="146" t="s">
        <v>270</v>
      </c>
      <c r="G31" s="146" t="s">
        <v>509</v>
      </c>
      <c r="H31" s="147">
        <v>6.83</v>
      </c>
      <c r="I31" s="189"/>
      <c r="J31" s="147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>
        <v>6.83</v>
      </c>
      <c r="AA31" s="189"/>
      <c r="AB31" s="189">
        <v>0</v>
      </c>
      <c r="AC31" s="189"/>
      <c r="AD31" s="189"/>
      <c r="AE31" s="189"/>
      <c r="AF31" s="147"/>
      <c r="AG31" s="189"/>
      <c r="AH31" s="189"/>
      <c r="AI31" s="148"/>
      <c r="AJ31" s="148"/>
    </row>
    <row r="32" spans="1:36" ht="30">
      <c r="A32" s="142">
        <v>29</v>
      </c>
      <c r="B32" s="144" t="s">
        <v>4559</v>
      </c>
      <c r="C32" s="144" t="s">
        <v>5212</v>
      </c>
      <c r="D32" s="145" t="s">
        <v>5213</v>
      </c>
      <c r="E32" s="146" t="s">
        <v>296</v>
      </c>
      <c r="F32" s="146" t="s">
        <v>270</v>
      </c>
      <c r="G32" s="146" t="s">
        <v>509</v>
      </c>
      <c r="H32" s="147">
        <v>3.83</v>
      </c>
      <c r="I32" s="189"/>
      <c r="J32" s="147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189">
        <v>3.83</v>
      </c>
      <c r="AA32" s="189"/>
      <c r="AB32" s="189">
        <v>0</v>
      </c>
      <c r="AC32" s="189"/>
      <c r="AD32" s="189"/>
      <c r="AE32" s="189"/>
      <c r="AF32" s="147"/>
      <c r="AG32" s="189"/>
      <c r="AH32" s="189"/>
      <c r="AI32" s="148"/>
      <c r="AJ32" s="148"/>
    </row>
    <row r="33" spans="1:36" ht="30">
      <c r="A33" s="142">
        <v>30</v>
      </c>
      <c r="B33" s="144" t="s">
        <v>4555</v>
      </c>
      <c r="C33" s="144" t="s">
        <v>5214</v>
      </c>
      <c r="D33" s="145" t="s">
        <v>5215</v>
      </c>
      <c r="E33" s="146" t="s">
        <v>66</v>
      </c>
      <c r="F33" s="146" t="s">
        <v>274</v>
      </c>
      <c r="G33" s="146" t="s">
        <v>509</v>
      </c>
      <c r="H33" s="147">
        <v>8.34</v>
      </c>
      <c r="I33" s="189"/>
      <c r="J33" s="147"/>
      <c r="K33" s="189">
        <v>6.67</v>
      </c>
      <c r="L33" s="189">
        <v>1.67</v>
      </c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47">
        <v>0</v>
      </c>
      <c r="AG33" s="189"/>
      <c r="AH33" s="189"/>
      <c r="AI33" s="148"/>
      <c r="AJ33" s="148"/>
    </row>
    <row r="34" spans="1:36" ht="30">
      <c r="A34" s="142">
        <v>31</v>
      </c>
      <c r="B34" s="144"/>
      <c r="C34" s="144" t="s">
        <v>5223</v>
      </c>
      <c r="D34" s="145" t="s">
        <v>5224</v>
      </c>
      <c r="E34" s="146" t="s">
        <v>5225</v>
      </c>
      <c r="F34" s="146" t="s">
        <v>274</v>
      </c>
      <c r="G34" s="146" t="s">
        <v>520</v>
      </c>
      <c r="H34" s="147">
        <v>373.33</v>
      </c>
      <c r="I34" s="189"/>
      <c r="J34" s="147">
        <v>0</v>
      </c>
      <c r="K34" s="189">
        <v>280</v>
      </c>
      <c r="L34" s="189">
        <v>93.33</v>
      </c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47">
        <v>0</v>
      </c>
      <c r="AG34" s="189"/>
      <c r="AH34" s="189"/>
      <c r="AI34" s="148"/>
      <c r="AJ34" s="148"/>
    </row>
    <row r="35" spans="1:36" ht="45">
      <c r="A35" s="142">
        <v>32</v>
      </c>
      <c r="B35" s="144" t="s">
        <v>4633</v>
      </c>
      <c r="C35" s="144" t="s">
        <v>5262</v>
      </c>
      <c r="D35" s="145" t="s">
        <v>5263</v>
      </c>
      <c r="E35" s="146" t="s">
        <v>306</v>
      </c>
      <c r="F35" s="146" t="s">
        <v>251</v>
      </c>
      <c r="G35" s="146" t="s">
        <v>520</v>
      </c>
      <c r="H35" s="147">
        <v>5.5</v>
      </c>
      <c r="I35" s="189">
        <v>0</v>
      </c>
      <c r="J35" s="147"/>
      <c r="K35" s="189">
        <v>4</v>
      </c>
      <c r="L35" s="189">
        <v>1.5</v>
      </c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>
        <v>0</v>
      </c>
      <c r="AE35" s="189"/>
      <c r="AF35" s="147"/>
      <c r="AG35" s="189"/>
      <c r="AH35" s="189"/>
      <c r="AI35" s="148"/>
      <c r="AJ35" s="148"/>
    </row>
    <row r="36" spans="1:36" ht="45">
      <c r="A36" s="142">
        <v>33</v>
      </c>
      <c r="B36" s="144" t="s">
        <v>4633</v>
      </c>
      <c r="C36" s="144" t="s">
        <v>5264</v>
      </c>
      <c r="D36" s="145" t="s">
        <v>5261</v>
      </c>
      <c r="E36" s="146" t="s">
        <v>316</v>
      </c>
      <c r="F36" s="146" t="s">
        <v>251</v>
      </c>
      <c r="G36" s="146" t="s">
        <v>520</v>
      </c>
      <c r="H36" s="147">
        <v>6.66</v>
      </c>
      <c r="I36" s="189">
        <v>0</v>
      </c>
      <c r="J36" s="147"/>
      <c r="K36" s="189">
        <v>5.33</v>
      </c>
      <c r="L36" s="189">
        <v>1.33</v>
      </c>
      <c r="M36" s="189"/>
      <c r="N36" s="189"/>
      <c r="O36" s="189"/>
      <c r="P36" s="189"/>
      <c r="Q36" s="189"/>
      <c r="R36" s="189"/>
      <c r="S36" s="189"/>
      <c r="T36" s="189"/>
      <c r="U36" s="189"/>
      <c r="V36" s="189"/>
      <c r="W36" s="189"/>
      <c r="X36" s="189"/>
      <c r="Y36" s="189"/>
      <c r="Z36" s="189"/>
      <c r="AA36" s="189"/>
      <c r="AB36" s="189"/>
      <c r="AC36" s="189"/>
      <c r="AD36" s="189">
        <v>0</v>
      </c>
      <c r="AE36" s="189"/>
      <c r="AF36" s="147"/>
      <c r="AG36" s="189"/>
      <c r="AH36" s="189"/>
      <c r="AI36" s="148"/>
      <c r="AJ36" s="148"/>
    </row>
    <row r="37" spans="1:36" ht="90">
      <c r="A37" s="142">
        <v>34</v>
      </c>
      <c r="B37" s="144" t="s">
        <v>4696</v>
      </c>
      <c r="C37" s="144" t="s">
        <v>5265</v>
      </c>
      <c r="D37" s="145" t="s">
        <v>5266</v>
      </c>
      <c r="E37" s="146" t="s">
        <v>66</v>
      </c>
      <c r="F37" s="146" t="s">
        <v>271</v>
      </c>
      <c r="G37" s="146" t="s">
        <v>5001</v>
      </c>
      <c r="H37" s="147">
        <v>3.83</v>
      </c>
      <c r="I37" s="189"/>
      <c r="J37" s="147"/>
      <c r="K37" s="189"/>
      <c r="L37" s="189"/>
      <c r="M37" s="189"/>
      <c r="N37" s="189"/>
      <c r="O37" s="189"/>
      <c r="P37" s="189"/>
      <c r="Q37" s="189">
        <v>0.83</v>
      </c>
      <c r="R37" s="189"/>
      <c r="S37" s="189"/>
      <c r="T37" s="189">
        <v>2.5</v>
      </c>
      <c r="U37" s="189"/>
      <c r="V37" s="189"/>
      <c r="W37" s="189"/>
      <c r="X37" s="189"/>
      <c r="Y37" s="189"/>
      <c r="Z37" s="189"/>
      <c r="AA37" s="189"/>
      <c r="AB37" s="189"/>
      <c r="AC37" s="189">
        <v>0.5</v>
      </c>
      <c r="AD37" s="189"/>
      <c r="AE37" s="189"/>
      <c r="AF37" s="147"/>
      <c r="AG37" s="189"/>
      <c r="AH37" s="189"/>
      <c r="AI37" s="148"/>
      <c r="AJ37" s="148"/>
    </row>
    <row r="38" spans="1:36" ht="30">
      <c r="A38" s="142">
        <v>35</v>
      </c>
      <c r="B38" s="144" t="s">
        <v>4556</v>
      </c>
      <c r="C38" s="144" t="s">
        <v>5335</v>
      </c>
      <c r="D38" s="145" t="s">
        <v>5048</v>
      </c>
      <c r="E38" s="146" t="s">
        <v>5049</v>
      </c>
      <c r="F38" s="146" t="s">
        <v>270</v>
      </c>
      <c r="G38" s="146" t="s">
        <v>518</v>
      </c>
      <c r="H38" s="147">
        <v>153.6</v>
      </c>
      <c r="I38" s="189"/>
      <c r="J38" s="147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>
        <v>153.6</v>
      </c>
      <c r="AA38" s="189"/>
      <c r="AB38" s="189">
        <v>0</v>
      </c>
      <c r="AC38" s="189"/>
      <c r="AD38" s="189"/>
      <c r="AE38" s="189"/>
      <c r="AF38" s="147"/>
      <c r="AG38" s="189"/>
      <c r="AH38" s="189"/>
      <c r="AI38" s="148"/>
      <c r="AJ38" s="148"/>
    </row>
    <row r="39" spans="1:36" ht="45">
      <c r="A39" s="142">
        <v>36</v>
      </c>
      <c r="B39" s="144" t="s">
        <v>4564</v>
      </c>
      <c r="C39" s="144" t="s">
        <v>5336</v>
      </c>
      <c r="D39" s="145" t="s">
        <v>514</v>
      </c>
      <c r="E39" s="146" t="s">
        <v>296</v>
      </c>
      <c r="F39" s="146" t="s">
        <v>251</v>
      </c>
      <c r="G39" s="146" t="s">
        <v>262</v>
      </c>
      <c r="H39" s="147">
        <v>8.5</v>
      </c>
      <c r="I39" s="189">
        <v>0</v>
      </c>
      <c r="J39" s="147"/>
      <c r="K39" s="189"/>
      <c r="L39" s="189">
        <v>1</v>
      </c>
      <c r="M39" s="189"/>
      <c r="N39" s="189"/>
      <c r="O39" s="189"/>
      <c r="P39" s="189"/>
      <c r="Q39" s="189"/>
      <c r="R39" s="189"/>
      <c r="S39" s="189"/>
      <c r="T39" s="189"/>
      <c r="U39" s="189"/>
      <c r="V39" s="189"/>
      <c r="W39" s="189"/>
      <c r="X39" s="189"/>
      <c r="Y39" s="189"/>
      <c r="Z39" s="189"/>
      <c r="AA39" s="189"/>
      <c r="AB39" s="189"/>
      <c r="AC39" s="189"/>
      <c r="AD39" s="189">
        <v>0</v>
      </c>
      <c r="AE39" s="189">
        <v>7.5</v>
      </c>
      <c r="AF39" s="147"/>
      <c r="AG39" s="189"/>
      <c r="AH39" s="189"/>
      <c r="AI39" s="148"/>
      <c r="AJ39" s="148"/>
    </row>
    <row r="40" spans="1:36" ht="90">
      <c r="A40" s="142">
        <v>37</v>
      </c>
      <c r="B40" s="144" t="s">
        <v>4696</v>
      </c>
      <c r="C40" s="144" t="s">
        <v>5338</v>
      </c>
      <c r="D40" s="145" t="s">
        <v>5266</v>
      </c>
      <c r="E40" s="146" t="s">
        <v>66</v>
      </c>
      <c r="F40" s="146" t="s">
        <v>271</v>
      </c>
      <c r="G40" s="146" t="s">
        <v>5001</v>
      </c>
      <c r="H40" s="147">
        <v>3.83</v>
      </c>
      <c r="I40" s="189"/>
      <c r="J40" s="147"/>
      <c r="K40" s="189"/>
      <c r="L40" s="189"/>
      <c r="M40" s="189"/>
      <c r="N40" s="189"/>
      <c r="O40" s="189"/>
      <c r="P40" s="189"/>
      <c r="Q40" s="189">
        <v>0.83</v>
      </c>
      <c r="R40" s="189"/>
      <c r="S40" s="189"/>
      <c r="T40" s="189">
        <v>2.5</v>
      </c>
      <c r="U40" s="189"/>
      <c r="V40" s="189"/>
      <c r="W40" s="189"/>
      <c r="X40" s="189"/>
      <c r="Y40" s="189"/>
      <c r="Z40" s="189"/>
      <c r="AA40" s="189"/>
      <c r="AB40" s="189"/>
      <c r="AC40" s="189">
        <v>0.5</v>
      </c>
      <c r="AD40" s="189"/>
      <c r="AE40" s="189"/>
      <c r="AF40" s="147"/>
      <c r="AG40" s="189"/>
      <c r="AH40" s="189"/>
      <c r="AI40" s="148"/>
      <c r="AJ40" s="148"/>
    </row>
    <row r="41" spans="1:36" ht="45">
      <c r="A41" s="142">
        <v>38</v>
      </c>
      <c r="B41" s="144" t="s">
        <v>4637</v>
      </c>
      <c r="C41" s="144" t="s">
        <v>5650</v>
      </c>
      <c r="D41" s="145" t="s">
        <v>5651</v>
      </c>
      <c r="E41" s="146" t="s">
        <v>349</v>
      </c>
      <c r="F41" s="146" t="s">
        <v>251</v>
      </c>
      <c r="G41" s="146" t="s">
        <v>520</v>
      </c>
      <c r="H41" s="147">
        <v>2.5</v>
      </c>
      <c r="I41" s="189">
        <v>0</v>
      </c>
      <c r="J41" s="147">
        <v>0</v>
      </c>
      <c r="K41" s="189"/>
      <c r="L41" s="189">
        <v>0</v>
      </c>
      <c r="M41" s="189"/>
      <c r="N41" s="189"/>
      <c r="O41" s="189"/>
      <c r="P41" s="189"/>
      <c r="Q41" s="189"/>
      <c r="R41" s="189"/>
      <c r="S41" s="189"/>
      <c r="T41" s="189"/>
      <c r="U41" s="189"/>
      <c r="V41" s="189">
        <v>2.5</v>
      </c>
      <c r="W41" s="189"/>
      <c r="X41" s="189"/>
      <c r="Y41" s="189"/>
      <c r="Z41" s="189"/>
      <c r="AA41" s="189"/>
      <c r="AB41" s="189"/>
      <c r="AC41" s="189"/>
      <c r="AD41" s="189">
        <v>0</v>
      </c>
      <c r="AE41" s="189"/>
      <c r="AF41" s="147"/>
      <c r="AG41" s="189"/>
      <c r="AH41" s="189"/>
      <c r="AI41" s="148"/>
      <c r="AJ41" s="148"/>
    </row>
    <row r="42" spans="1:36" ht="75">
      <c r="A42" s="142">
        <v>39</v>
      </c>
      <c r="B42" s="144" t="s">
        <v>4724</v>
      </c>
      <c r="C42" s="144" t="s">
        <v>5652</v>
      </c>
      <c r="D42" s="145" t="s">
        <v>5653</v>
      </c>
      <c r="E42" s="146" t="s">
        <v>66</v>
      </c>
      <c r="F42" s="146" t="s">
        <v>268</v>
      </c>
      <c r="G42" s="146" t="s">
        <v>523</v>
      </c>
      <c r="H42" s="147">
        <v>35</v>
      </c>
      <c r="I42" s="189"/>
      <c r="J42" s="147"/>
      <c r="K42" s="189"/>
      <c r="L42" s="189"/>
      <c r="M42" s="189"/>
      <c r="N42" s="189"/>
      <c r="O42" s="189"/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>
        <v>35</v>
      </c>
      <c r="AA42" s="189"/>
      <c r="AB42" s="189"/>
      <c r="AC42" s="189"/>
      <c r="AD42" s="189"/>
      <c r="AE42" s="189"/>
      <c r="AF42" s="147"/>
      <c r="AG42" s="189"/>
      <c r="AH42" s="189"/>
      <c r="AI42" s="148"/>
      <c r="AJ42" s="148"/>
    </row>
    <row r="43" spans="1:36" ht="30">
      <c r="A43" s="142">
        <v>40</v>
      </c>
      <c r="B43" s="144" t="s">
        <v>4556</v>
      </c>
      <c r="C43" s="144" t="s">
        <v>5658</v>
      </c>
      <c r="D43" s="145" t="s">
        <v>528</v>
      </c>
      <c r="E43" s="146" t="s">
        <v>316</v>
      </c>
      <c r="F43" s="146" t="s">
        <v>264</v>
      </c>
      <c r="G43" s="146" t="s">
        <v>518</v>
      </c>
      <c r="H43" s="147">
        <v>0</v>
      </c>
      <c r="I43" s="189"/>
      <c r="J43" s="147"/>
      <c r="K43" s="189"/>
      <c r="L43" s="189"/>
      <c r="M43" s="189"/>
      <c r="N43" s="189"/>
      <c r="O43" s="189"/>
      <c r="P43" s="189"/>
      <c r="Q43" s="189"/>
      <c r="R43" s="189"/>
      <c r="S43" s="189"/>
      <c r="T43" s="189"/>
      <c r="U43" s="189"/>
      <c r="V43" s="189">
        <v>0</v>
      </c>
      <c r="W43" s="189"/>
      <c r="X43" s="189"/>
      <c r="Y43" s="189"/>
      <c r="Z43" s="189"/>
      <c r="AA43" s="189"/>
      <c r="AB43" s="189"/>
      <c r="AC43" s="189"/>
      <c r="AD43" s="189"/>
      <c r="AE43" s="189"/>
      <c r="AF43" s="147"/>
      <c r="AG43" s="189"/>
      <c r="AH43" s="189"/>
      <c r="AI43" s="148"/>
      <c r="AJ43" s="148"/>
    </row>
    <row r="44" spans="1:36" ht="30">
      <c r="A44" s="142">
        <v>41</v>
      </c>
      <c r="B44" s="144" t="s">
        <v>79</v>
      </c>
      <c r="C44" s="144" t="s">
        <v>5687</v>
      </c>
      <c r="D44" s="145" t="s">
        <v>5688</v>
      </c>
      <c r="E44" s="146" t="s">
        <v>335</v>
      </c>
      <c r="F44" s="146" t="s">
        <v>272</v>
      </c>
      <c r="G44" s="146" t="s">
        <v>509</v>
      </c>
      <c r="H44" s="147">
        <v>13.75</v>
      </c>
      <c r="I44" s="189"/>
      <c r="J44" s="147">
        <v>0</v>
      </c>
      <c r="K44" s="189">
        <v>8.33</v>
      </c>
      <c r="L44" s="189">
        <v>5.42</v>
      </c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189">
        <v>0</v>
      </c>
      <c r="AE44" s="189"/>
      <c r="AF44" s="147"/>
      <c r="AG44" s="189"/>
      <c r="AH44" s="189"/>
      <c r="AI44" s="148"/>
      <c r="AJ44" s="148"/>
    </row>
    <row r="45" spans="1:36" ht="30">
      <c r="A45" s="142">
        <v>42</v>
      </c>
      <c r="B45" s="144" t="s">
        <v>79</v>
      </c>
      <c r="C45" s="144" t="s">
        <v>5689</v>
      </c>
      <c r="D45" s="145" t="s">
        <v>5690</v>
      </c>
      <c r="E45" s="146" t="s">
        <v>349</v>
      </c>
      <c r="F45" s="146" t="s">
        <v>251</v>
      </c>
      <c r="G45" s="146" t="s">
        <v>509</v>
      </c>
      <c r="H45" s="147">
        <v>24</v>
      </c>
      <c r="I45" s="189">
        <v>0</v>
      </c>
      <c r="J45" s="147"/>
      <c r="K45" s="189">
        <v>12</v>
      </c>
      <c r="L45" s="189">
        <v>2</v>
      </c>
      <c r="M45" s="189"/>
      <c r="N45" s="189"/>
      <c r="O45" s="189"/>
      <c r="P45" s="189"/>
      <c r="Q45" s="189"/>
      <c r="R45" s="189"/>
      <c r="S45" s="189"/>
      <c r="T45" s="189">
        <v>10</v>
      </c>
      <c r="U45" s="189"/>
      <c r="V45" s="189"/>
      <c r="W45" s="189"/>
      <c r="X45" s="189"/>
      <c r="Y45" s="189"/>
      <c r="Z45" s="189"/>
      <c r="AA45" s="189"/>
      <c r="AB45" s="189"/>
      <c r="AC45" s="189"/>
      <c r="AD45" s="189">
        <v>0</v>
      </c>
      <c r="AE45" s="189"/>
      <c r="AF45" s="147"/>
      <c r="AG45" s="189"/>
      <c r="AH45" s="189"/>
      <c r="AI45" s="148"/>
      <c r="AJ45" s="148"/>
    </row>
    <row r="46" spans="1:36" ht="60">
      <c r="A46" s="142">
        <v>43</v>
      </c>
      <c r="B46" s="144" t="s">
        <v>4641</v>
      </c>
      <c r="C46" s="144" t="s">
        <v>5705</v>
      </c>
      <c r="D46" s="145" t="s">
        <v>5220</v>
      </c>
      <c r="E46" s="146" t="s">
        <v>316</v>
      </c>
      <c r="F46" s="146" t="s">
        <v>251</v>
      </c>
      <c r="G46" s="146" t="s">
        <v>509</v>
      </c>
      <c r="H46" s="147">
        <v>6.66</v>
      </c>
      <c r="I46" s="189">
        <v>0</v>
      </c>
      <c r="J46" s="147"/>
      <c r="K46" s="189"/>
      <c r="L46" s="189">
        <v>1.33</v>
      </c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>
        <v>5.33</v>
      </c>
      <c r="AE46" s="189"/>
      <c r="AF46" s="147"/>
      <c r="AG46" s="189"/>
      <c r="AH46" s="189"/>
      <c r="AI46" s="148"/>
      <c r="AJ46" s="148"/>
    </row>
    <row r="47" spans="1:36" ht="75">
      <c r="A47" s="142">
        <v>44</v>
      </c>
      <c r="B47" s="144" t="s">
        <v>4654</v>
      </c>
      <c r="C47" s="144" t="s">
        <v>5706</v>
      </c>
      <c r="D47" s="145" t="s">
        <v>5222</v>
      </c>
      <c r="E47" s="146" t="s">
        <v>349</v>
      </c>
      <c r="F47" s="146" t="s">
        <v>251</v>
      </c>
      <c r="G47" s="146" t="s">
        <v>520</v>
      </c>
      <c r="H47" s="147">
        <v>9</v>
      </c>
      <c r="I47" s="189">
        <v>0</v>
      </c>
      <c r="J47" s="147"/>
      <c r="K47" s="189">
        <v>3</v>
      </c>
      <c r="L47" s="189">
        <v>6</v>
      </c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>
        <v>0</v>
      </c>
      <c r="AE47" s="189"/>
      <c r="AF47" s="147"/>
      <c r="AG47" s="189"/>
      <c r="AH47" s="189"/>
      <c r="AI47" s="148"/>
      <c r="AJ47" s="148"/>
    </row>
    <row r="48" spans="1:36" ht="105">
      <c r="A48" s="142">
        <v>45</v>
      </c>
      <c r="B48" s="144" t="s">
        <v>4634</v>
      </c>
      <c r="C48" s="144" t="s">
        <v>5716</v>
      </c>
      <c r="D48" s="145" t="s">
        <v>5717</v>
      </c>
      <c r="E48" s="146" t="s">
        <v>66</v>
      </c>
      <c r="F48" s="146" t="s">
        <v>271</v>
      </c>
      <c r="G48" s="146" t="s">
        <v>262</v>
      </c>
      <c r="H48" s="147">
        <v>5</v>
      </c>
      <c r="I48" s="189"/>
      <c r="J48" s="147"/>
      <c r="K48" s="189"/>
      <c r="L48" s="189"/>
      <c r="M48" s="189"/>
      <c r="N48" s="189"/>
      <c r="O48" s="189"/>
      <c r="P48" s="189"/>
      <c r="Q48" s="189">
        <v>0</v>
      </c>
      <c r="R48" s="189"/>
      <c r="S48" s="189"/>
      <c r="T48" s="189">
        <v>5</v>
      </c>
      <c r="U48" s="189"/>
      <c r="V48" s="189"/>
      <c r="W48" s="189"/>
      <c r="X48" s="189"/>
      <c r="Y48" s="189"/>
      <c r="Z48" s="189"/>
      <c r="AA48" s="189"/>
      <c r="AB48" s="189"/>
      <c r="AC48" s="189">
        <v>0</v>
      </c>
      <c r="AD48" s="189"/>
      <c r="AE48" s="189"/>
      <c r="AF48" s="147"/>
      <c r="AG48" s="189"/>
      <c r="AH48" s="189"/>
      <c r="AI48" s="148"/>
      <c r="AJ48" s="148"/>
    </row>
    <row r="49" spans="1:36" ht="30">
      <c r="A49" s="142">
        <v>46</v>
      </c>
      <c r="B49" s="144" t="s">
        <v>4636</v>
      </c>
      <c r="C49" s="144" t="s">
        <v>5727</v>
      </c>
      <c r="D49" s="145" t="s">
        <v>5728</v>
      </c>
      <c r="E49" s="146" t="s">
        <v>306</v>
      </c>
      <c r="F49" s="146" t="s">
        <v>251</v>
      </c>
      <c r="G49" s="146" t="s">
        <v>520</v>
      </c>
      <c r="H49" s="147">
        <v>4</v>
      </c>
      <c r="I49" s="189">
        <v>0</v>
      </c>
      <c r="J49" s="147"/>
      <c r="K49" s="189">
        <v>3</v>
      </c>
      <c r="L49" s="189">
        <v>1</v>
      </c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>
        <v>0</v>
      </c>
      <c r="AE49" s="189"/>
      <c r="AF49" s="147"/>
      <c r="AG49" s="189"/>
      <c r="AH49" s="189"/>
      <c r="AI49" s="148"/>
      <c r="AJ49" s="148"/>
    </row>
    <row r="50" spans="1:36" ht="60">
      <c r="A50" s="142">
        <v>47</v>
      </c>
      <c r="B50" s="144" t="s">
        <v>4641</v>
      </c>
      <c r="C50" s="144" t="s">
        <v>5731</v>
      </c>
      <c r="D50" s="145" t="s">
        <v>5221</v>
      </c>
      <c r="E50" s="146" t="s">
        <v>316</v>
      </c>
      <c r="F50" s="146" t="s">
        <v>251</v>
      </c>
      <c r="G50" s="146" t="s">
        <v>509</v>
      </c>
      <c r="H50" s="147">
        <v>11</v>
      </c>
      <c r="I50" s="189">
        <v>0</v>
      </c>
      <c r="J50" s="147">
        <v>0.67</v>
      </c>
      <c r="K50" s="189"/>
      <c r="L50" s="189">
        <v>2</v>
      </c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>
        <v>8.33</v>
      </c>
      <c r="AE50" s="189"/>
      <c r="AF50" s="147"/>
      <c r="AG50" s="189"/>
      <c r="AH50" s="189"/>
      <c r="AI50" s="148"/>
      <c r="AJ50" s="148"/>
    </row>
    <row r="51" spans="1:36" ht="45">
      <c r="A51" s="142">
        <v>48</v>
      </c>
      <c r="B51" s="144" t="s">
        <v>4564</v>
      </c>
      <c r="C51" s="144" t="s">
        <v>5738</v>
      </c>
      <c r="D51" s="145" t="s">
        <v>5739</v>
      </c>
      <c r="E51" s="146" t="s">
        <v>296</v>
      </c>
      <c r="F51" s="146" t="s">
        <v>251</v>
      </c>
      <c r="G51" s="146" t="s">
        <v>262</v>
      </c>
      <c r="H51" s="147">
        <v>0.4</v>
      </c>
      <c r="I51" s="189">
        <v>0</v>
      </c>
      <c r="J51" s="147">
        <v>7.0000000000000007E-2</v>
      </c>
      <c r="K51" s="189"/>
      <c r="L51" s="189">
        <v>0</v>
      </c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>
        <v>0.33</v>
      </c>
      <c r="AE51" s="189"/>
      <c r="AF51" s="147"/>
      <c r="AG51" s="189"/>
      <c r="AH51" s="189"/>
      <c r="AI51" s="148"/>
      <c r="AJ51" s="148"/>
    </row>
    <row r="52" spans="1:36" ht="45">
      <c r="A52" s="142">
        <v>49</v>
      </c>
      <c r="B52" s="144" t="s">
        <v>4564</v>
      </c>
      <c r="C52" s="144" t="s">
        <v>5740</v>
      </c>
      <c r="D52" s="145" t="s">
        <v>5739</v>
      </c>
      <c r="E52" s="146" t="s">
        <v>296</v>
      </c>
      <c r="F52" s="146" t="s">
        <v>251</v>
      </c>
      <c r="G52" s="146" t="s">
        <v>262</v>
      </c>
      <c r="H52" s="147">
        <v>4</v>
      </c>
      <c r="I52" s="189">
        <v>0</v>
      </c>
      <c r="J52" s="147">
        <v>0.67</v>
      </c>
      <c r="K52" s="189"/>
      <c r="L52" s="189">
        <v>0</v>
      </c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>
        <v>3.33</v>
      </c>
      <c r="AE52" s="189"/>
      <c r="AF52" s="147"/>
      <c r="AG52" s="189"/>
      <c r="AH52" s="189"/>
      <c r="AI52" s="148"/>
      <c r="AJ52" s="148"/>
    </row>
    <row r="53" spans="1:36" ht="45">
      <c r="A53" s="142">
        <v>50</v>
      </c>
      <c r="B53" s="144" t="s">
        <v>4564</v>
      </c>
      <c r="C53" s="144" t="s">
        <v>5741</v>
      </c>
      <c r="D53" s="145" t="s">
        <v>514</v>
      </c>
      <c r="E53" s="146" t="s">
        <v>296</v>
      </c>
      <c r="F53" s="146" t="s">
        <v>251</v>
      </c>
      <c r="G53" s="146" t="s">
        <v>262</v>
      </c>
      <c r="H53" s="147">
        <v>11.17</v>
      </c>
      <c r="I53" s="189">
        <v>0</v>
      </c>
      <c r="J53" s="147"/>
      <c r="K53" s="189"/>
      <c r="L53" s="189">
        <v>1</v>
      </c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>
        <v>2.67</v>
      </c>
      <c r="AE53" s="189">
        <v>7.5</v>
      </c>
      <c r="AF53" s="147"/>
      <c r="AG53" s="189"/>
      <c r="AH53" s="189"/>
      <c r="AI53" s="148"/>
      <c r="AJ53" s="148"/>
    </row>
    <row r="54" spans="1:36" ht="30">
      <c r="A54" s="142">
        <v>51</v>
      </c>
      <c r="B54" s="144" t="s">
        <v>4636</v>
      </c>
      <c r="C54" s="144" t="s">
        <v>5742</v>
      </c>
      <c r="D54" s="145" t="s">
        <v>5728</v>
      </c>
      <c r="E54" s="146" t="s">
        <v>306</v>
      </c>
      <c r="F54" s="146" t="s">
        <v>251</v>
      </c>
      <c r="G54" s="146" t="s">
        <v>520</v>
      </c>
      <c r="H54" s="147">
        <v>4</v>
      </c>
      <c r="I54" s="189">
        <v>0</v>
      </c>
      <c r="J54" s="147"/>
      <c r="K54" s="189">
        <v>3</v>
      </c>
      <c r="L54" s="189">
        <v>1</v>
      </c>
      <c r="M54" s="189"/>
      <c r="N54" s="189"/>
      <c r="O54" s="189"/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>
        <v>0</v>
      </c>
      <c r="AE54" s="189"/>
      <c r="AF54" s="147"/>
      <c r="AG54" s="189"/>
      <c r="AH54" s="189"/>
      <c r="AI54" s="148"/>
      <c r="AJ54" s="148"/>
    </row>
    <row r="55" spans="1:36" ht="30">
      <c r="A55" s="142">
        <v>52</v>
      </c>
      <c r="B55" s="144" t="s">
        <v>4556</v>
      </c>
      <c r="C55" s="144" t="s">
        <v>5746</v>
      </c>
      <c r="D55" s="145" t="s">
        <v>5268</v>
      </c>
      <c r="E55" s="146" t="s">
        <v>300</v>
      </c>
      <c r="F55" s="146" t="s">
        <v>259</v>
      </c>
      <c r="G55" s="146" t="s">
        <v>511</v>
      </c>
      <c r="H55" s="147">
        <v>0.4</v>
      </c>
      <c r="I55" s="189"/>
      <c r="J55" s="147"/>
      <c r="K55" s="189"/>
      <c r="L55" s="189"/>
      <c r="M55" s="189"/>
      <c r="N55" s="189"/>
      <c r="O55" s="189"/>
      <c r="P55" s="189"/>
      <c r="Q55" s="189">
        <v>0</v>
      </c>
      <c r="R55" s="189">
        <v>0</v>
      </c>
      <c r="S55" s="189"/>
      <c r="T55" s="189">
        <v>0.4</v>
      </c>
      <c r="U55" s="189"/>
      <c r="V55" s="189"/>
      <c r="W55" s="189"/>
      <c r="X55" s="189"/>
      <c r="Y55" s="189"/>
      <c r="Z55" s="189"/>
      <c r="AA55" s="189"/>
      <c r="AB55" s="189"/>
      <c r="AC55" s="189"/>
      <c r="AD55" s="189"/>
      <c r="AE55" s="189"/>
      <c r="AF55" s="147"/>
      <c r="AG55" s="189"/>
      <c r="AH55" s="189"/>
      <c r="AI55" s="148"/>
      <c r="AJ55" s="148"/>
    </row>
    <row r="56" spans="1:36" ht="30">
      <c r="A56" s="142">
        <v>53</v>
      </c>
      <c r="B56" s="144" t="s">
        <v>4556</v>
      </c>
      <c r="C56" s="144" t="s">
        <v>5747</v>
      </c>
      <c r="D56" s="145" t="s">
        <v>5748</v>
      </c>
      <c r="E56" s="146" t="s">
        <v>292</v>
      </c>
      <c r="F56" s="146" t="s">
        <v>259</v>
      </c>
      <c r="G56" s="146" t="s">
        <v>511</v>
      </c>
      <c r="H56" s="147">
        <v>0.27</v>
      </c>
      <c r="I56" s="189"/>
      <c r="J56" s="147"/>
      <c r="K56" s="189"/>
      <c r="L56" s="189"/>
      <c r="M56" s="189"/>
      <c r="N56" s="189"/>
      <c r="O56" s="189"/>
      <c r="P56" s="189"/>
      <c r="Q56" s="189">
        <v>0</v>
      </c>
      <c r="R56" s="189">
        <v>0</v>
      </c>
      <c r="S56" s="189"/>
      <c r="T56" s="189">
        <v>0.27</v>
      </c>
      <c r="U56" s="189"/>
      <c r="V56" s="189"/>
      <c r="W56" s="189"/>
      <c r="X56" s="189"/>
      <c r="Y56" s="189"/>
      <c r="Z56" s="189"/>
      <c r="AA56" s="189"/>
      <c r="AB56" s="189"/>
      <c r="AC56" s="189"/>
      <c r="AD56" s="189"/>
      <c r="AE56" s="189"/>
      <c r="AF56" s="147"/>
      <c r="AG56" s="189"/>
      <c r="AH56" s="189"/>
      <c r="AI56" s="148"/>
      <c r="AJ56" s="148"/>
    </row>
    <row r="57" spans="1:36" ht="30">
      <c r="A57" s="142">
        <v>54</v>
      </c>
      <c r="B57" s="144" t="s">
        <v>4556</v>
      </c>
      <c r="C57" s="144" t="s">
        <v>5749</v>
      </c>
      <c r="D57" s="145" t="s">
        <v>5267</v>
      </c>
      <c r="E57" s="146" t="s">
        <v>292</v>
      </c>
      <c r="F57" s="146" t="s">
        <v>259</v>
      </c>
      <c r="G57" s="146" t="s">
        <v>511</v>
      </c>
      <c r="H57" s="147">
        <v>0.27</v>
      </c>
      <c r="I57" s="189"/>
      <c r="J57" s="147"/>
      <c r="K57" s="189"/>
      <c r="L57" s="189"/>
      <c r="M57" s="189"/>
      <c r="N57" s="189"/>
      <c r="O57" s="189"/>
      <c r="P57" s="189"/>
      <c r="Q57" s="189">
        <v>0</v>
      </c>
      <c r="R57" s="189">
        <v>0</v>
      </c>
      <c r="S57" s="189"/>
      <c r="T57" s="189">
        <v>0.27</v>
      </c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47"/>
      <c r="AG57" s="189"/>
      <c r="AH57" s="189"/>
      <c r="AI57" s="148"/>
      <c r="AJ57" s="148"/>
    </row>
    <row r="58" spans="1:36" ht="60">
      <c r="A58" s="142">
        <v>55</v>
      </c>
      <c r="B58" s="144" t="s">
        <v>4608</v>
      </c>
      <c r="C58" s="144" t="s">
        <v>5752</v>
      </c>
      <c r="D58" s="145" t="s">
        <v>5750</v>
      </c>
      <c r="E58" s="146" t="s">
        <v>5753</v>
      </c>
      <c r="F58" s="146" t="s">
        <v>251</v>
      </c>
      <c r="G58" s="146" t="s">
        <v>262</v>
      </c>
      <c r="H58" s="147">
        <v>247.33</v>
      </c>
      <c r="I58" s="189">
        <v>22.08</v>
      </c>
      <c r="J58" s="147"/>
      <c r="K58" s="189"/>
      <c r="L58" s="189">
        <v>53</v>
      </c>
      <c r="M58" s="189"/>
      <c r="N58" s="189"/>
      <c r="O58" s="189"/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>
        <v>172.25</v>
      </c>
      <c r="AE58" s="189"/>
      <c r="AF58" s="147"/>
      <c r="AG58" s="189"/>
      <c r="AH58" s="189"/>
      <c r="AI58" s="148"/>
      <c r="AJ58" s="148"/>
    </row>
    <row r="59" spans="1:36" ht="60">
      <c r="A59" s="142">
        <v>56</v>
      </c>
      <c r="B59" s="144" t="s">
        <v>4552</v>
      </c>
      <c r="C59" s="144" t="s">
        <v>5791</v>
      </c>
      <c r="D59" s="145" t="s">
        <v>5792</v>
      </c>
      <c r="E59" s="146" t="s">
        <v>5137</v>
      </c>
      <c r="F59" s="146" t="s">
        <v>259</v>
      </c>
      <c r="G59" s="146" t="s">
        <v>262</v>
      </c>
      <c r="H59" s="147">
        <v>22.13</v>
      </c>
      <c r="I59" s="189"/>
      <c r="J59" s="147"/>
      <c r="K59" s="189">
        <v>21.33</v>
      </c>
      <c r="L59" s="189">
        <v>0.8</v>
      </c>
      <c r="M59" s="189"/>
      <c r="N59" s="189"/>
      <c r="O59" s="189"/>
      <c r="P59" s="189"/>
      <c r="Q59" s="189">
        <v>0</v>
      </c>
      <c r="R59" s="189"/>
      <c r="S59" s="189"/>
      <c r="T59" s="189">
        <v>0</v>
      </c>
      <c r="U59" s="189"/>
      <c r="V59" s="189"/>
      <c r="W59" s="189"/>
      <c r="X59" s="189"/>
      <c r="Y59" s="189"/>
      <c r="Z59" s="189"/>
      <c r="AA59" s="189"/>
      <c r="AB59" s="189"/>
      <c r="AC59" s="189"/>
      <c r="AD59" s="189"/>
      <c r="AE59" s="189"/>
      <c r="AF59" s="147"/>
      <c r="AG59" s="189"/>
      <c r="AH59" s="189"/>
      <c r="AI59" s="148"/>
      <c r="AJ59" s="148"/>
    </row>
    <row r="60" spans="1:36" ht="30">
      <c r="A60" s="142">
        <v>57</v>
      </c>
      <c r="B60" s="144" t="s">
        <v>4552</v>
      </c>
      <c r="C60" s="144" t="s">
        <v>5793</v>
      </c>
      <c r="D60" s="145" t="s">
        <v>5794</v>
      </c>
      <c r="E60" s="146" t="s">
        <v>5795</v>
      </c>
      <c r="F60" s="146" t="s">
        <v>274</v>
      </c>
      <c r="G60" s="146" t="s">
        <v>262</v>
      </c>
      <c r="H60" s="147">
        <v>22.67</v>
      </c>
      <c r="I60" s="189"/>
      <c r="J60" s="147">
        <v>17</v>
      </c>
      <c r="K60" s="189"/>
      <c r="L60" s="189"/>
      <c r="M60" s="189"/>
      <c r="N60" s="189"/>
      <c r="O60" s="189"/>
      <c r="P60" s="189"/>
      <c r="Q60" s="189"/>
      <c r="R60" s="189"/>
      <c r="S60" s="189"/>
      <c r="T60" s="189"/>
      <c r="U60" s="189"/>
      <c r="V60" s="189"/>
      <c r="W60" s="189"/>
      <c r="X60" s="189"/>
      <c r="Y60" s="189"/>
      <c r="Z60" s="189"/>
      <c r="AA60" s="189"/>
      <c r="AB60" s="189"/>
      <c r="AC60" s="189"/>
      <c r="AD60" s="189"/>
      <c r="AE60" s="189"/>
      <c r="AF60" s="147">
        <v>5.67</v>
      </c>
      <c r="AG60" s="189"/>
      <c r="AH60" s="189"/>
      <c r="AI60" s="148"/>
      <c r="AJ60" s="148"/>
    </row>
    <row r="61" spans="1:36" ht="45">
      <c r="A61" s="142">
        <v>58</v>
      </c>
      <c r="B61" s="144" t="s">
        <v>4552</v>
      </c>
      <c r="C61" s="144" t="s">
        <v>5796</v>
      </c>
      <c r="D61" s="145" t="s">
        <v>5797</v>
      </c>
      <c r="E61" s="146" t="s">
        <v>316</v>
      </c>
      <c r="F61" s="146" t="s">
        <v>274</v>
      </c>
      <c r="G61" s="146" t="s">
        <v>262</v>
      </c>
      <c r="H61" s="147">
        <v>1.88</v>
      </c>
      <c r="I61" s="189"/>
      <c r="J61" s="147">
        <v>0.33</v>
      </c>
      <c r="K61" s="189"/>
      <c r="L61" s="189"/>
      <c r="M61" s="189"/>
      <c r="N61" s="189"/>
      <c r="O61" s="189"/>
      <c r="P61" s="189"/>
      <c r="Q61" s="189"/>
      <c r="R61" s="189"/>
      <c r="S61" s="189"/>
      <c r="T61" s="189"/>
      <c r="U61" s="189"/>
      <c r="V61" s="189"/>
      <c r="W61" s="189"/>
      <c r="X61" s="189"/>
      <c r="Y61" s="189"/>
      <c r="Z61" s="189"/>
      <c r="AA61" s="189"/>
      <c r="AB61" s="189"/>
      <c r="AC61" s="189"/>
      <c r="AD61" s="189"/>
      <c r="AE61" s="189"/>
      <c r="AF61" s="147">
        <v>1.55</v>
      </c>
      <c r="AG61" s="189"/>
      <c r="AH61" s="189"/>
      <c r="AI61" s="148"/>
      <c r="AJ61" s="148"/>
    </row>
    <row r="62" spans="1:36" ht="30">
      <c r="A62" s="142">
        <v>59</v>
      </c>
      <c r="B62" s="144" t="s">
        <v>4552</v>
      </c>
      <c r="C62" s="144" t="s">
        <v>5798</v>
      </c>
      <c r="D62" s="145" t="s">
        <v>5799</v>
      </c>
      <c r="E62" s="146" t="s">
        <v>296</v>
      </c>
      <c r="F62" s="146" t="s">
        <v>259</v>
      </c>
      <c r="G62" s="146" t="s">
        <v>262</v>
      </c>
      <c r="H62" s="147">
        <v>0</v>
      </c>
      <c r="I62" s="189"/>
      <c r="J62" s="147"/>
      <c r="K62" s="189"/>
      <c r="L62" s="189"/>
      <c r="M62" s="189"/>
      <c r="N62" s="189"/>
      <c r="O62" s="189"/>
      <c r="P62" s="189"/>
      <c r="Q62" s="189">
        <v>0</v>
      </c>
      <c r="R62" s="189">
        <v>0</v>
      </c>
      <c r="S62" s="189"/>
      <c r="T62" s="189">
        <v>0</v>
      </c>
      <c r="U62" s="189"/>
      <c r="V62" s="189"/>
      <c r="W62" s="189"/>
      <c r="X62" s="189"/>
      <c r="Y62" s="189"/>
      <c r="Z62" s="189"/>
      <c r="AA62" s="189"/>
      <c r="AB62" s="189"/>
      <c r="AC62" s="189"/>
      <c r="AD62" s="189"/>
      <c r="AE62" s="189"/>
      <c r="AF62" s="147"/>
      <c r="AG62" s="189"/>
      <c r="AH62" s="189"/>
      <c r="AI62" s="148"/>
      <c r="AJ62" s="148"/>
    </row>
    <row r="63" spans="1:36" ht="45">
      <c r="A63" s="142">
        <v>60</v>
      </c>
      <c r="B63" s="144"/>
      <c r="C63" s="144" t="s">
        <v>5921</v>
      </c>
      <c r="D63" s="145" t="s">
        <v>5922</v>
      </c>
      <c r="E63" s="146" t="s">
        <v>5923</v>
      </c>
      <c r="F63" s="146" t="s">
        <v>259</v>
      </c>
      <c r="G63" s="146" t="s">
        <v>254</v>
      </c>
      <c r="H63" s="147">
        <v>133.33000000000001</v>
      </c>
      <c r="I63" s="189"/>
      <c r="J63" s="147"/>
      <c r="K63" s="189"/>
      <c r="L63" s="189"/>
      <c r="M63" s="189"/>
      <c r="N63" s="189"/>
      <c r="O63" s="189"/>
      <c r="P63" s="189"/>
      <c r="Q63" s="189">
        <v>0</v>
      </c>
      <c r="R63" s="189">
        <v>133.33000000000001</v>
      </c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47"/>
      <c r="AG63" s="189"/>
      <c r="AH63" s="189"/>
      <c r="AI63" s="148"/>
      <c r="AJ63" s="148"/>
    </row>
    <row r="64" spans="1:36" ht="30">
      <c r="A64" s="142">
        <v>61</v>
      </c>
      <c r="B64" s="144" t="s">
        <v>4558</v>
      </c>
      <c r="C64" s="144" t="s">
        <v>5924</v>
      </c>
      <c r="D64" s="145" t="s">
        <v>5925</v>
      </c>
      <c r="E64" s="146" t="s">
        <v>296</v>
      </c>
      <c r="F64" s="146" t="s">
        <v>251</v>
      </c>
      <c r="G64" s="146" t="s">
        <v>262</v>
      </c>
      <c r="H64" s="147">
        <v>4.67</v>
      </c>
      <c r="I64" s="189">
        <v>0</v>
      </c>
      <c r="J64" s="147"/>
      <c r="K64" s="189">
        <v>2</v>
      </c>
      <c r="L64" s="189">
        <v>2.67</v>
      </c>
      <c r="M64" s="189"/>
      <c r="N64" s="189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>
        <v>0</v>
      </c>
      <c r="AE64" s="189"/>
      <c r="AF64" s="147"/>
      <c r="AG64" s="189"/>
      <c r="AH64" s="189"/>
      <c r="AI64" s="148"/>
      <c r="AJ64" s="148"/>
    </row>
    <row r="65" spans="1:36" ht="75">
      <c r="A65" s="142">
        <v>62</v>
      </c>
      <c r="B65" s="144" t="s">
        <v>4743</v>
      </c>
      <c r="C65" s="144" t="s">
        <v>5926</v>
      </c>
      <c r="D65" s="145" t="s">
        <v>5927</v>
      </c>
      <c r="E65" s="146" t="s">
        <v>5928</v>
      </c>
      <c r="F65" s="146" t="s">
        <v>274</v>
      </c>
      <c r="G65" s="146" t="s">
        <v>511</v>
      </c>
      <c r="H65" s="147">
        <v>73.150000000000006</v>
      </c>
      <c r="I65" s="189"/>
      <c r="J65" s="147">
        <v>12.83</v>
      </c>
      <c r="K65" s="189"/>
      <c r="L65" s="189">
        <v>6.42</v>
      </c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47">
        <v>53.9</v>
      </c>
      <c r="AG65" s="189"/>
      <c r="AH65" s="189"/>
      <c r="AI65" s="148"/>
      <c r="AJ65" s="148"/>
    </row>
    <row r="66" spans="1:36" ht="75">
      <c r="A66" s="142">
        <v>63</v>
      </c>
      <c r="B66" s="144" t="s">
        <v>4743</v>
      </c>
      <c r="C66" s="144" t="s">
        <v>5929</v>
      </c>
      <c r="D66" s="145" t="s">
        <v>5927</v>
      </c>
      <c r="E66" s="146" t="s">
        <v>5928</v>
      </c>
      <c r="F66" s="146" t="s">
        <v>274</v>
      </c>
      <c r="G66" s="146" t="s">
        <v>511</v>
      </c>
      <c r="H66" s="147">
        <v>73.150000000000006</v>
      </c>
      <c r="I66" s="189"/>
      <c r="J66" s="147">
        <v>12.83</v>
      </c>
      <c r="K66" s="189"/>
      <c r="L66" s="189">
        <v>6.42</v>
      </c>
      <c r="M66" s="189"/>
      <c r="N66" s="189"/>
      <c r="O66" s="189"/>
      <c r="P66" s="189"/>
      <c r="Q66" s="189"/>
      <c r="R66" s="189"/>
      <c r="S66" s="189"/>
      <c r="T66" s="189"/>
      <c r="U66" s="189"/>
      <c r="V66" s="189"/>
      <c r="W66" s="189"/>
      <c r="X66" s="189"/>
      <c r="Y66" s="189"/>
      <c r="Z66" s="189"/>
      <c r="AA66" s="189"/>
      <c r="AB66" s="189"/>
      <c r="AC66" s="189"/>
      <c r="AD66" s="189"/>
      <c r="AE66" s="189"/>
      <c r="AF66" s="147">
        <v>53.9</v>
      </c>
      <c r="AG66" s="189"/>
      <c r="AH66" s="189"/>
      <c r="AI66" s="148"/>
      <c r="AJ66" s="148"/>
    </row>
    <row r="67" spans="1:36" ht="60">
      <c r="A67" s="142">
        <v>64</v>
      </c>
      <c r="B67" s="144" t="s">
        <v>4765</v>
      </c>
      <c r="C67" s="144" t="s">
        <v>5930</v>
      </c>
      <c r="D67" s="145" t="s">
        <v>5931</v>
      </c>
      <c r="E67" s="146" t="s">
        <v>5932</v>
      </c>
      <c r="F67" s="146" t="s">
        <v>274</v>
      </c>
      <c r="G67" s="146" t="s">
        <v>262</v>
      </c>
      <c r="H67" s="147">
        <v>29</v>
      </c>
      <c r="I67" s="189"/>
      <c r="J67" s="147">
        <v>29</v>
      </c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189"/>
      <c r="AA67" s="189"/>
      <c r="AB67" s="189"/>
      <c r="AC67" s="189"/>
      <c r="AD67" s="189"/>
      <c r="AE67" s="189"/>
      <c r="AF67" s="147">
        <v>0</v>
      </c>
      <c r="AG67" s="189"/>
      <c r="AH67" s="189"/>
      <c r="AI67" s="148"/>
      <c r="AJ67" s="148"/>
    </row>
    <row r="68" spans="1:36" ht="60">
      <c r="A68" s="142">
        <v>65</v>
      </c>
      <c r="B68" s="144" t="s">
        <v>4617</v>
      </c>
      <c r="C68" s="144" t="s">
        <v>5933</v>
      </c>
      <c r="D68" s="145" t="s">
        <v>5647</v>
      </c>
      <c r="E68" s="146" t="s">
        <v>335</v>
      </c>
      <c r="F68" s="146" t="s">
        <v>274</v>
      </c>
      <c r="G68" s="146" t="s">
        <v>509</v>
      </c>
      <c r="H68" s="147">
        <v>3.79</v>
      </c>
      <c r="I68" s="189"/>
      <c r="J68" s="147">
        <v>0.83</v>
      </c>
      <c r="K68" s="189"/>
      <c r="L68" s="189">
        <v>0.42</v>
      </c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189"/>
      <c r="AA68" s="189"/>
      <c r="AB68" s="189"/>
      <c r="AC68" s="189"/>
      <c r="AD68" s="189"/>
      <c r="AE68" s="189"/>
      <c r="AF68" s="147">
        <v>2.54</v>
      </c>
      <c r="AG68" s="189"/>
      <c r="AH68" s="189"/>
      <c r="AI68" s="148"/>
      <c r="AJ68" s="148"/>
    </row>
    <row r="69" spans="1:36" ht="105">
      <c r="A69" s="142">
        <v>66</v>
      </c>
      <c r="B69" s="144" t="s">
        <v>4634</v>
      </c>
      <c r="C69" s="144" t="s">
        <v>5934</v>
      </c>
      <c r="D69" s="145" t="s">
        <v>5935</v>
      </c>
      <c r="E69" s="146" t="s">
        <v>360</v>
      </c>
      <c r="F69" s="146" t="s">
        <v>274</v>
      </c>
      <c r="G69" s="146" t="s">
        <v>509</v>
      </c>
      <c r="H69" s="147">
        <v>4.67</v>
      </c>
      <c r="I69" s="189"/>
      <c r="J69" s="147">
        <v>1.17</v>
      </c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47">
        <v>3.5</v>
      </c>
      <c r="AG69" s="189"/>
      <c r="AH69" s="189"/>
      <c r="AI69" s="148"/>
      <c r="AJ69" s="148"/>
    </row>
    <row r="70" spans="1:36" ht="60">
      <c r="A70" s="142">
        <v>67</v>
      </c>
      <c r="B70" s="144" t="s">
        <v>4603</v>
      </c>
      <c r="C70" s="144" t="s">
        <v>5936</v>
      </c>
      <c r="D70" s="145" t="s">
        <v>5644</v>
      </c>
      <c r="E70" s="146" t="s">
        <v>67</v>
      </c>
      <c r="F70" s="146" t="s">
        <v>274</v>
      </c>
      <c r="G70" s="146" t="s">
        <v>509</v>
      </c>
      <c r="H70" s="147">
        <v>16.670000000000002</v>
      </c>
      <c r="I70" s="189"/>
      <c r="J70" s="147">
        <v>5</v>
      </c>
      <c r="K70" s="189"/>
      <c r="L70" s="189">
        <v>5</v>
      </c>
      <c r="M70" s="189"/>
      <c r="N70" s="189"/>
      <c r="O70" s="189"/>
      <c r="P70" s="189"/>
      <c r="Q70" s="189"/>
      <c r="R70" s="189"/>
      <c r="S70" s="189"/>
      <c r="T70" s="189"/>
      <c r="U70" s="189"/>
      <c r="V70" s="189"/>
      <c r="W70" s="189"/>
      <c r="X70" s="189"/>
      <c r="Y70" s="189"/>
      <c r="Z70" s="189"/>
      <c r="AA70" s="189"/>
      <c r="AB70" s="189"/>
      <c r="AC70" s="189"/>
      <c r="AD70" s="189"/>
      <c r="AE70" s="189"/>
      <c r="AF70" s="147">
        <v>6.67</v>
      </c>
      <c r="AG70" s="189"/>
      <c r="AH70" s="189"/>
      <c r="AI70" s="148"/>
      <c r="AJ70" s="148"/>
    </row>
    <row r="71" spans="1:36" ht="30">
      <c r="A71" s="142">
        <v>68</v>
      </c>
      <c r="B71" s="144" t="s">
        <v>4556</v>
      </c>
      <c r="C71" s="144" t="s">
        <v>5937</v>
      </c>
      <c r="D71" s="145" t="s">
        <v>5938</v>
      </c>
      <c r="E71" s="146" t="s">
        <v>316</v>
      </c>
      <c r="F71" s="146" t="s">
        <v>251</v>
      </c>
      <c r="G71" s="146" t="s">
        <v>518</v>
      </c>
      <c r="H71" s="147">
        <v>24</v>
      </c>
      <c r="I71" s="189">
        <v>0</v>
      </c>
      <c r="J71" s="147"/>
      <c r="K71" s="189"/>
      <c r="L71" s="189">
        <v>10</v>
      </c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>
        <v>14</v>
      </c>
      <c r="AE71" s="189"/>
      <c r="AF71" s="147"/>
      <c r="AG71" s="189"/>
      <c r="AH71" s="189"/>
      <c r="AI71" s="148"/>
      <c r="AJ71" s="148"/>
    </row>
    <row r="72" spans="1:36" ht="45">
      <c r="A72" s="142">
        <v>69</v>
      </c>
      <c r="B72" s="144" t="s">
        <v>4554</v>
      </c>
      <c r="C72" s="144" t="s">
        <v>5939</v>
      </c>
      <c r="D72" s="145" t="s">
        <v>5270</v>
      </c>
      <c r="E72" s="146" t="s">
        <v>306</v>
      </c>
      <c r="F72" s="146" t="s">
        <v>274</v>
      </c>
      <c r="G72" s="146" t="s">
        <v>509</v>
      </c>
      <c r="H72" s="147">
        <v>2.5</v>
      </c>
      <c r="I72" s="189"/>
      <c r="J72" s="147"/>
      <c r="K72" s="189"/>
      <c r="L72" s="189">
        <v>1</v>
      </c>
      <c r="M72" s="189"/>
      <c r="N72" s="189"/>
      <c r="O72" s="189"/>
      <c r="P72" s="189"/>
      <c r="Q72" s="189"/>
      <c r="R72" s="189"/>
      <c r="S72" s="189"/>
      <c r="T72" s="189"/>
      <c r="U72" s="189"/>
      <c r="V72" s="189"/>
      <c r="W72" s="189"/>
      <c r="X72" s="189"/>
      <c r="Y72" s="189"/>
      <c r="Z72" s="189"/>
      <c r="AA72" s="189"/>
      <c r="AB72" s="189"/>
      <c r="AC72" s="189"/>
      <c r="AD72" s="189"/>
      <c r="AE72" s="189"/>
      <c r="AF72" s="147">
        <v>1.5</v>
      </c>
      <c r="AG72" s="189"/>
      <c r="AH72" s="189"/>
      <c r="AI72" s="148"/>
      <c r="AJ72" s="148"/>
    </row>
    <row r="73" spans="1:36" ht="45">
      <c r="A73" s="142">
        <v>70</v>
      </c>
      <c r="B73" s="144" t="s">
        <v>96</v>
      </c>
      <c r="C73" s="144" t="s">
        <v>5940</v>
      </c>
      <c r="D73" s="145" t="s">
        <v>5941</v>
      </c>
      <c r="E73" s="146" t="s">
        <v>335</v>
      </c>
      <c r="F73" s="146" t="s">
        <v>274</v>
      </c>
      <c r="G73" s="146" t="s">
        <v>509</v>
      </c>
      <c r="H73" s="147">
        <v>1.56</v>
      </c>
      <c r="I73" s="189"/>
      <c r="J73" s="147"/>
      <c r="K73" s="189"/>
      <c r="L73" s="189">
        <v>0.17</v>
      </c>
      <c r="M73" s="189"/>
      <c r="N73" s="189"/>
      <c r="O73" s="189"/>
      <c r="P73" s="189"/>
      <c r="Q73" s="189"/>
      <c r="R73" s="189"/>
      <c r="S73" s="189"/>
      <c r="T73" s="189"/>
      <c r="U73" s="189"/>
      <c r="V73" s="189"/>
      <c r="W73" s="189"/>
      <c r="X73" s="189"/>
      <c r="Y73" s="189"/>
      <c r="Z73" s="189"/>
      <c r="AA73" s="189"/>
      <c r="AB73" s="189"/>
      <c r="AC73" s="189"/>
      <c r="AD73" s="189"/>
      <c r="AE73" s="189"/>
      <c r="AF73" s="147">
        <v>1.39</v>
      </c>
      <c r="AG73" s="189"/>
      <c r="AH73" s="189"/>
      <c r="AI73" s="148"/>
      <c r="AJ73" s="148"/>
    </row>
    <row r="74" spans="1:36" ht="45">
      <c r="A74" s="142">
        <v>71</v>
      </c>
      <c r="B74" s="144" t="s">
        <v>4557</v>
      </c>
      <c r="C74" s="144" t="s">
        <v>5942</v>
      </c>
      <c r="D74" s="145" t="s">
        <v>5646</v>
      </c>
      <c r="E74" s="146" t="s">
        <v>306</v>
      </c>
      <c r="F74" s="146" t="s">
        <v>274</v>
      </c>
      <c r="G74" s="146" t="s">
        <v>509</v>
      </c>
      <c r="H74" s="147">
        <v>1.75</v>
      </c>
      <c r="I74" s="189"/>
      <c r="J74" s="147">
        <v>0.25</v>
      </c>
      <c r="K74" s="189"/>
      <c r="L74" s="189">
        <v>0.5</v>
      </c>
      <c r="M74" s="189"/>
      <c r="N74" s="189"/>
      <c r="O74" s="189"/>
      <c r="P74" s="189"/>
      <c r="Q74" s="189"/>
      <c r="R74" s="189"/>
      <c r="S74" s="189"/>
      <c r="T74" s="189"/>
      <c r="U74" s="189"/>
      <c r="V74" s="189"/>
      <c r="W74" s="189"/>
      <c r="X74" s="189"/>
      <c r="Y74" s="189"/>
      <c r="Z74" s="189"/>
      <c r="AA74" s="189"/>
      <c r="AB74" s="189"/>
      <c r="AC74" s="189"/>
      <c r="AD74" s="189"/>
      <c r="AE74" s="189"/>
      <c r="AF74" s="147">
        <v>1</v>
      </c>
      <c r="AG74" s="189"/>
      <c r="AH74" s="189"/>
      <c r="AI74" s="148"/>
      <c r="AJ74" s="148"/>
    </row>
    <row r="75" spans="1:36" ht="75">
      <c r="A75" s="142">
        <v>72</v>
      </c>
      <c r="B75" s="144" t="s">
        <v>4650</v>
      </c>
      <c r="C75" s="144" t="s">
        <v>5943</v>
      </c>
      <c r="D75" s="145" t="s">
        <v>5645</v>
      </c>
      <c r="E75" s="146" t="s">
        <v>335</v>
      </c>
      <c r="F75" s="146" t="s">
        <v>274</v>
      </c>
      <c r="G75" s="146" t="s">
        <v>509</v>
      </c>
      <c r="H75" s="147">
        <v>2.92</v>
      </c>
      <c r="I75" s="189"/>
      <c r="J75" s="147">
        <v>0.42</v>
      </c>
      <c r="K75" s="189"/>
      <c r="L75" s="189">
        <v>0.83</v>
      </c>
      <c r="M75" s="189"/>
      <c r="N75" s="189"/>
      <c r="O75" s="189"/>
      <c r="P75" s="189"/>
      <c r="Q75" s="189"/>
      <c r="R75" s="189"/>
      <c r="S75" s="189"/>
      <c r="T75" s="189"/>
      <c r="U75" s="189"/>
      <c r="V75" s="189"/>
      <c r="W75" s="189"/>
      <c r="X75" s="189"/>
      <c r="Y75" s="189"/>
      <c r="Z75" s="189"/>
      <c r="AA75" s="189"/>
      <c r="AB75" s="189"/>
      <c r="AC75" s="189"/>
      <c r="AD75" s="189"/>
      <c r="AE75" s="189"/>
      <c r="AF75" s="147">
        <v>1.67</v>
      </c>
      <c r="AG75" s="189"/>
      <c r="AH75" s="189"/>
      <c r="AI75" s="148"/>
      <c r="AJ75" s="148"/>
    </row>
    <row r="76" spans="1:36" ht="45">
      <c r="A76" s="142">
        <v>73</v>
      </c>
      <c r="B76" s="144" t="s">
        <v>96</v>
      </c>
      <c r="C76" s="144" t="s">
        <v>5944</v>
      </c>
      <c r="D76" s="145" t="s">
        <v>5945</v>
      </c>
      <c r="E76" s="146" t="s">
        <v>335</v>
      </c>
      <c r="F76" s="146" t="s">
        <v>274</v>
      </c>
      <c r="G76" s="146" t="s">
        <v>509</v>
      </c>
      <c r="H76" s="147">
        <v>4.58</v>
      </c>
      <c r="I76" s="189"/>
      <c r="J76" s="147">
        <v>1.67</v>
      </c>
      <c r="K76" s="189"/>
      <c r="L76" s="189">
        <v>0.83</v>
      </c>
      <c r="M76" s="189"/>
      <c r="N76" s="189"/>
      <c r="O76" s="189"/>
      <c r="P76" s="189"/>
      <c r="Q76" s="189"/>
      <c r="R76" s="189"/>
      <c r="S76" s="189"/>
      <c r="T76" s="189"/>
      <c r="U76" s="189"/>
      <c r="V76" s="189"/>
      <c r="W76" s="189"/>
      <c r="X76" s="189"/>
      <c r="Y76" s="189"/>
      <c r="Z76" s="189"/>
      <c r="AA76" s="189"/>
      <c r="AB76" s="189"/>
      <c r="AC76" s="189"/>
      <c r="AD76" s="189"/>
      <c r="AE76" s="189"/>
      <c r="AF76" s="147">
        <v>2.08</v>
      </c>
      <c r="AG76" s="189"/>
      <c r="AH76" s="189"/>
      <c r="AI76" s="148"/>
      <c r="AJ76" s="148"/>
    </row>
    <row r="77" spans="1:36" ht="45">
      <c r="A77" s="142">
        <v>74</v>
      </c>
      <c r="B77" s="144" t="s">
        <v>96</v>
      </c>
      <c r="C77" s="144" t="s">
        <v>5946</v>
      </c>
      <c r="D77" s="145" t="s">
        <v>5947</v>
      </c>
      <c r="E77" s="146" t="s">
        <v>488</v>
      </c>
      <c r="F77" s="146" t="s">
        <v>274</v>
      </c>
      <c r="G77" s="146" t="s">
        <v>509</v>
      </c>
      <c r="H77" s="147">
        <v>10</v>
      </c>
      <c r="I77" s="189"/>
      <c r="J77" s="147">
        <v>1.25</v>
      </c>
      <c r="K77" s="189"/>
      <c r="L77" s="189">
        <v>2.5</v>
      </c>
      <c r="M77" s="189"/>
      <c r="N77" s="189"/>
      <c r="O77" s="189"/>
      <c r="P77" s="189"/>
      <c r="Q77" s="189"/>
      <c r="R77" s="189"/>
      <c r="S77" s="189"/>
      <c r="T77" s="189"/>
      <c r="U77" s="189"/>
      <c r="V77" s="189"/>
      <c r="W77" s="189"/>
      <c r="X77" s="189"/>
      <c r="Y77" s="189"/>
      <c r="Z77" s="189"/>
      <c r="AA77" s="189"/>
      <c r="AB77" s="189"/>
      <c r="AC77" s="189"/>
      <c r="AD77" s="189"/>
      <c r="AE77" s="189"/>
      <c r="AF77" s="147">
        <v>6.25</v>
      </c>
      <c r="AG77" s="189"/>
      <c r="AH77" s="189"/>
      <c r="AI77" s="148"/>
      <c r="AJ77" s="148"/>
    </row>
    <row r="78" spans="1:36" ht="60">
      <c r="A78" s="142">
        <v>75</v>
      </c>
      <c r="B78" s="144" t="s">
        <v>4617</v>
      </c>
      <c r="C78" s="144" t="s">
        <v>5948</v>
      </c>
      <c r="D78" s="145" t="s">
        <v>5647</v>
      </c>
      <c r="E78" s="146" t="s">
        <v>335</v>
      </c>
      <c r="F78" s="146" t="s">
        <v>274</v>
      </c>
      <c r="G78" s="146" t="s">
        <v>509</v>
      </c>
      <c r="H78" s="147">
        <v>3.79</v>
      </c>
      <c r="I78" s="189"/>
      <c r="J78" s="147">
        <v>0.83</v>
      </c>
      <c r="K78" s="189"/>
      <c r="L78" s="189">
        <v>0.42</v>
      </c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189"/>
      <c r="Z78" s="189"/>
      <c r="AA78" s="189"/>
      <c r="AB78" s="189"/>
      <c r="AC78" s="189"/>
      <c r="AD78" s="189"/>
      <c r="AE78" s="189"/>
      <c r="AF78" s="147">
        <v>2.54</v>
      </c>
      <c r="AG78" s="189"/>
      <c r="AH78" s="189"/>
      <c r="AI78" s="148"/>
      <c r="AJ78" s="148"/>
    </row>
    <row r="79" spans="1:36" ht="105">
      <c r="A79" s="142">
        <v>76</v>
      </c>
      <c r="B79" s="144" t="s">
        <v>4634</v>
      </c>
      <c r="C79" s="144" t="s">
        <v>5949</v>
      </c>
      <c r="D79" s="145" t="s">
        <v>5935</v>
      </c>
      <c r="E79" s="146" t="s">
        <v>360</v>
      </c>
      <c r="F79" s="146" t="s">
        <v>274</v>
      </c>
      <c r="G79" s="146" t="s">
        <v>509</v>
      </c>
      <c r="H79" s="147">
        <v>4.67</v>
      </c>
      <c r="I79" s="189"/>
      <c r="J79" s="147">
        <v>1.17</v>
      </c>
      <c r="K79" s="189"/>
      <c r="L79" s="189"/>
      <c r="M79" s="189"/>
      <c r="N79" s="189"/>
      <c r="O79" s="189"/>
      <c r="P79" s="189"/>
      <c r="Q79" s="189"/>
      <c r="R79" s="189"/>
      <c r="S79" s="189"/>
      <c r="T79" s="189"/>
      <c r="U79" s="189"/>
      <c r="V79" s="189"/>
      <c r="W79" s="189"/>
      <c r="X79" s="189"/>
      <c r="Y79" s="189"/>
      <c r="Z79" s="189"/>
      <c r="AA79" s="189"/>
      <c r="AB79" s="189"/>
      <c r="AC79" s="189"/>
      <c r="AD79" s="189"/>
      <c r="AE79" s="189"/>
      <c r="AF79" s="147">
        <v>3.5</v>
      </c>
      <c r="AG79" s="189"/>
      <c r="AH79" s="189"/>
      <c r="AI79" s="148"/>
      <c r="AJ79" s="148"/>
    </row>
    <row r="80" spans="1:36" ht="45">
      <c r="A80" s="142">
        <v>77</v>
      </c>
      <c r="B80" s="144" t="s">
        <v>4753</v>
      </c>
      <c r="C80" s="144" t="s">
        <v>5950</v>
      </c>
      <c r="D80" s="145" t="s">
        <v>5951</v>
      </c>
      <c r="E80" s="146" t="s">
        <v>5952</v>
      </c>
      <c r="F80" s="146" t="s">
        <v>274</v>
      </c>
      <c r="G80" s="146" t="s">
        <v>258</v>
      </c>
      <c r="H80" s="147">
        <v>57.6</v>
      </c>
      <c r="I80" s="189"/>
      <c r="J80" s="147">
        <v>57.6</v>
      </c>
      <c r="K80" s="189"/>
      <c r="L80" s="189"/>
      <c r="M80" s="189"/>
      <c r="N80" s="189"/>
      <c r="O80" s="189"/>
      <c r="P80" s="189"/>
      <c r="Q80" s="189"/>
      <c r="R80" s="189"/>
      <c r="S80" s="189"/>
      <c r="T80" s="189"/>
      <c r="U80" s="189"/>
      <c r="V80" s="189"/>
      <c r="W80" s="189"/>
      <c r="X80" s="189"/>
      <c r="Y80" s="189"/>
      <c r="Z80" s="189"/>
      <c r="AA80" s="189"/>
      <c r="AB80" s="189"/>
      <c r="AC80" s="189"/>
      <c r="AD80" s="189"/>
      <c r="AE80" s="189"/>
      <c r="AF80" s="147">
        <v>0</v>
      </c>
      <c r="AG80" s="189"/>
      <c r="AH80" s="189"/>
      <c r="AI80" s="148"/>
      <c r="AJ80" s="148"/>
    </row>
    <row r="81" spans="1:36" ht="45">
      <c r="A81" s="142">
        <v>78</v>
      </c>
      <c r="B81" s="144" t="s">
        <v>4564</v>
      </c>
      <c r="C81" s="144" t="s">
        <v>5953</v>
      </c>
      <c r="D81" s="145" t="s">
        <v>5954</v>
      </c>
      <c r="E81" s="146" t="s">
        <v>5047</v>
      </c>
      <c r="F81" s="146" t="s">
        <v>272</v>
      </c>
      <c r="G81" s="146" t="s">
        <v>518</v>
      </c>
      <c r="H81" s="147">
        <v>150</v>
      </c>
      <c r="I81" s="189"/>
      <c r="J81" s="147">
        <v>30</v>
      </c>
      <c r="K81" s="189"/>
      <c r="L81" s="189">
        <v>20</v>
      </c>
      <c r="M81" s="189"/>
      <c r="N81" s="189"/>
      <c r="O81" s="189"/>
      <c r="P81" s="189"/>
      <c r="Q81" s="189"/>
      <c r="R81" s="189"/>
      <c r="S81" s="189"/>
      <c r="T81" s="189"/>
      <c r="U81" s="189"/>
      <c r="V81" s="189"/>
      <c r="W81" s="189"/>
      <c r="X81" s="189"/>
      <c r="Y81" s="189"/>
      <c r="Z81" s="189"/>
      <c r="AA81" s="189"/>
      <c r="AB81" s="189"/>
      <c r="AC81" s="189"/>
      <c r="AD81" s="189">
        <v>100</v>
      </c>
      <c r="AE81" s="189"/>
      <c r="AF81" s="147"/>
      <c r="AG81" s="189"/>
      <c r="AH81" s="189"/>
      <c r="AI81" s="148"/>
      <c r="AJ81" s="148"/>
    </row>
    <row r="82" spans="1:36" ht="45">
      <c r="A82" s="142">
        <v>79</v>
      </c>
      <c r="B82" s="144" t="s">
        <v>4557</v>
      </c>
      <c r="C82" s="144" t="s">
        <v>5955</v>
      </c>
      <c r="D82" s="145" t="s">
        <v>5956</v>
      </c>
      <c r="E82" s="146" t="s">
        <v>335</v>
      </c>
      <c r="F82" s="146" t="s">
        <v>274</v>
      </c>
      <c r="G82" s="146" t="s">
        <v>509</v>
      </c>
      <c r="H82" s="147">
        <v>5.41</v>
      </c>
      <c r="I82" s="189"/>
      <c r="J82" s="147">
        <v>0.83</v>
      </c>
      <c r="K82" s="189"/>
      <c r="L82" s="189">
        <v>1.25</v>
      </c>
      <c r="M82" s="189"/>
      <c r="N82" s="189"/>
      <c r="O82" s="189"/>
      <c r="P82" s="189"/>
      <c r="Q82" s="189"/>
      <c r="R82" s="189"/>
      <c r="S82" s="189"/>
      <c r="T82" s="189">
        <v>3.33</v>
      </c>
      <c r="U82" s="189"/>
      <c r="V82" s="189"/>
      <c r="W82" s="189"/>
      <c r="X82" s="189"/>
      <c r="Y82" s="189"/>
      <c r="Z82" s="189"/>
      <c r="AA82" s="189"/>
      <c r="AB82" s="189"/>
      <c r="AC82" s="189"/>
      <c r="AD82" s="189"/>
      <c r="AE82" s="189"/>
      <c r="AF82" s="147">
        <v>0</v>
      </c>
      <c r="AG82" s="189"/>
      <c r="AH82" s="189"/>
      <c r="AI82" s="148"/>
      <c r="AJ82" s="148"/>
    </row>
    <row r="83" spans="1:36" ht="45">
      <c r="A83" s="142">
        <v>80</v>
      </c>
      <c r="B83" s="144" t="s">
        <v>4557</v>
      </c>
      <c r="C83" s="144" t="s">
        <v>5957</v>
      </c>
      <c r="D83" s="145" t="s">
        <v>5958</v>
      </c>
      <c r="E83" s="146" t="s">
        <v>66</v>
      </c>
      <c r="F83" s="146" t="s">
        <v>254</v>
      </c>
      <c r="G83" s="146" t="s">
        <v>509</v>
      </c>
      <c r="H83" s="147">
        <v>45</v>
      </c>
      <c r="I83" s="189"/>
      <c r="J83" s="147"/>
      <c r="K83" s="189"/>
      <c r="L83" s="189">
        <v>20</v>
      </c>
      <c r="M83" s="189"/>
      <c r="N83" s="189"/>
      <c r="O83" s="189"/>
      <c r="P83" s="189"/>
      <c r="Q83" s="189"/>
      <c r="R83" s="189"/>
      <c r="S83" s="189"/>
      <c r="T83" s="189"/>
      <c r="U83" s="189"/>
      <c r="V83" s="189"/>
      <c r="W83" s="189"/>
      <c r="X83" s="189"/>
      <c r="Y83" s="189"/>
      <c r="Z83" s="189"/>
      <c r="AA83" s="189"/>
      <c r="AB83" s="189"/>
      <c r="AC83" s="189"/>
      <c r="AD83" s="189"/>
      <c r="AE83" s="189"/>
      <c r="AF83" s="147">
        <v>25</v>
      </c>
      <c r="AG83" s="189"/>
      <c r="AH83" s="189"/>
      <c r="AI83" s="148"/>
      <c r="AJ83" s="148"/>
    </row>
    <row r="84" spans="1:36" ht="45">
      <c r="A84" s="142">
        <v>81</v>
      </c>
      <c r="B84" s="144" t="s">
        <v>4557</v>
      </c>
      <c r="C84" s="144" t="s">
        <v>5959</v>
      </c>
      <c r="D84" s="145" t="s">
        <v>5960</v>
      </c>
      <c r="E84" s="146" t="s">
        <v>66</v>
      </c>
      <c r="F84" s="146" t="s">
        <v>274</v>
      </c>
      <c r="G84" s="146" t="s">
        <v>523</v>
      </c>
      <c r="H84" s="147">
        <v>1.67</v>
      </c>
      <c r="I84" s="189"/>
      <c r="J84" s="147">
        <v>1.67</v>
      </c>
      <c r="K84" s="189"/>
      <c r="L84" s="189"/>
      <c r="M84" s="189"/>
      <c r="N84" s="189"/>
      <c r="O84" s="189"/>
      <c r="P84" s="189"/>
      <c r="Q84" s="189"/>
      <c r="R84" s="189"/>
      <c r="S84" s="189"/>
      <c r="T84" s="189"/>
      <c r="U84" s="189"/>
      <c r="V84" s="189"/>
      <c r="W84" s="189"/>
      <c r="X84" s="189"/>
      <c r="Y84" s="189"/>
      <c r="Z84" s="189"/>
      <c r="AA84" s="189"/>
      <c r="AB84" s="189"/>
      <c r="AC84" s="189"/>
      <c r="AD84" s="189"/>
      <c r="AE84" s="189"/>
      <c r="AF84" s="147">
        <v>0</v>
      </c>
      <c r="AG84" s="189"/>
      <c r="AH84" s="189"/>
      <c r="AI84" s="148"/>
      <c r="AJ84" s="148"/>
    </row>
    <row r="85" spans="1:36" ht="45">
      <c r="A85" s="142">
        <v>82</v>
      </c>
      <c r="B85" s="144" t="s">
        <v>4557</v>
      </c>
      <c r="C85" s="144" t="s">
        <v>5961</v>
      </c>
      <c r="D85" s="145" t="s">
        <v>5962</v>
      </c>
      <c r="E85" s="146" t="s">
        <v>335</v>
      </c>
      <c r="F85" s="146" t="s">
        <v>274</v>
      </c>
      <c r="G85" s="146" t="s">
        <v>509</v>
      </c>
      <c r="H85" s="147">
        <v>0.83</v>
      </c>
      <c r="I85" s="189"/>
      <c r="J85" s="147">
        <v>0.83</v>
      </c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189"/>
      <c r="AA85" s="189"/>
      <c r="AB85" s="189"/>
      <c r="AC85" s="189"/>
      <c r="AD85" s="189"/>
      <c r="AE85" s="189"/>
      <c r="AF85" s="147">
        <v>0</v>
      </c>
      <c r="AG85" s="189"/>
      <c r="AH85" s="189"/>
      <c r="AI85" s="148"/>
      <c r="AJ85" s="148"/>
    </row>
    <row r="86" spans="1:36" ht="45">
      <c r="A86" s="142">
        <v>83</v>
      </c>
      <c r="B86" s="144" t="s">
        <v>4557</v>
      </c>
      <c r="C86" s="144" t="s">
        <v>5963</v>
      </c>
      <c r="D86" s="145" t="s">
        <v>5964</v>
      </c>
      <c r="E86" s="146" t="s">
        <v>335</v>
      </c>
      <c r="F86" s="146" t="s">
        <v>274</v>
      </c>
      <c r="G86" s="146" t="s">
        <v>509</v>
      </c>
      <c r="H86" s="147">
        <v>17.760000000000002</v>
      </c>
      <c r="I86" s="189"/>
      <c r="J86" s="147"/>
      <c r="K86" s="189"/>
      <c r="L86" s="189">
        <v>4.17</v>
      </c>
      <c r="M86" s="189"/>
      <c r="N86" s="189"/>
      <c r="O86" s="189"/>
      <c r="P86" s="189"/>
      <c r="Q86" s="189"/>
      <c r="R86" s="189"/>
      <c r="S86" s="189"/>
      <c r="T86" s="189">
        <v>1.67</v>
      </c>
      <c r="U86" s="189">
        <v>6.67</v>
      </c>
      <c r="V86" s="189">
        <v>1.67</v>
      </c>
      <c r="W86" s="189"/>
      <c r="X86" s="189"/>
      <c r="Y86" s="189"/>
      <c r="Z86" s="189"/>
      <c r="AA86" s="189"/>
      <c r="AB86" s="189"/>
      <c r="AC86" s="189"/>
      <c r="AD86" s="189"/>
      <c r="AE86" s="189"/>
      <c r="AF86" s="147">
        <v>3.58</v>
      </c>
      <c r="AG86" s="189"/>
      <c r="AH86" s="189"/>
      <c r="AI86" s="148"/>
      <c r="AJ86" s="148"/>
    </row>
    <row r="87" spans="1:36" ht="60">
      <c r="A87" s="142">
        <v>84</v>
      </c>
      <c r="B87" s="144" t="s">
        <v>4603</v>
      </c>
      <c r="C87" s="144" t="s">
        <v>5965</v>
      </c>
      <c r="D87" s="145" t="s">
        <v>5644</v>
      </c>
      <c r="E87" s="146" t="s">
        <v>67</v>
      </c>
      <c r="F87" s="146" t="s">
        <v>274</v>
      </c>
      <c r="G87" s="146" t="s">
        <v>509</v>
      </c>
      <c r="H87" s="147">
        <v>16.670000000000002</v>
      </c>
      <c r="I87" s="189"/>
      <c r="J87" s="147">
        <v>5</v>
      </c>
      <c r="K87" s="189"/>
      <c r="L87" s="189">
        <v>5</v>
      </c>
      <c r="M87" s="189"/>
      <c r="N87" s="189"/>
      <c r="O87" s="189"/>
      <c r="P87" s="189"/>
      <c r="Q87" s="189"/>
      <c r="R87" s="189"/>
      <c r="S87" s="189"/>
      <c r="T87" s="189"/>
      <c r="U87" s="189"/>
      <c r="V87" s="189"/>
      <c r="W87" s="189"/>
      <c r="X87" s="189"/>
      <c r="Y87" s="189"/>
      <c r="Z87" s="189"/>
      <c r="AA87" s="189"/>
      <c r="AB87" s="189"/>
      <c r="AC87" s="189"/>
      <c r="AD87" s="189"/>
      <c r="AE87" s="189"/>
      <c r="AF87" s="147">
        <v>6.67</v>
      </c>
      <c r="AG87" s="189"/>
      <c r="AH87" s="189"/>
      <c r="AI87" s="148"/>
      <c r="AJ87" s="148"/>
    </row>
    <row r="88" spans="1:36" ht="45">
      <c r="A88" s="142">
        <v>85</v>
      </c>
      <c r="B88" s="144" t="s">
        <v>4557</v>
      </c>
      <c r="C88" s="144" t="s">
        <v>5966</v>
      </c>
      <c r="D88" s="145" t="s">
        <v>5967</v>
      </c>
      <c r="E88" s="146" t="s">
        <v>335</v>
      </c>
      <c r="F88" s="146" t="s">
        <v>274</v>
      </c>
      <c r="G88" s="146" t="s">
        <v>509</v>
      </c>
      <c r="H88" s="147">
        <v>5.01</v>
      </c>
      <c r="I88" s="189"/>
      <c r="J88" s="147">
        <v>0.42</v>
      </c>
      <c r="K88" s="189"/>
      <c r="L88" s="189">
        <v>1.67</v>
      </c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189"/>
      <c r="AA88" s="189"/>
      <c r="AB88" s="189"/>
      <c r="AC88" s="189"/>
      <c r="AD88" s="189"/>
      <c r="AE88" s="189"/>
      <c r="AF88" s="147">
        <v>2.92</v>
      </c>
      <c r="AG88" s="189"/>
      <c r="AH88" s="189"/>
      <c r="AI88" s="148"/>
      <c r="AJ88" s="148"/>
    </row>
    <row r="89" spans="1:36" ht="45">
      <c r="A89" s="142">
        <v>86</v>
      </c>
      <c r="B89" s="144" t="s">
        <v>4557</v>
      </c>
      <c r="C89" s="144" t="s">
        <v>5968</v>
      </c>
      <c r="D89" s="145" t="s">
        <v>5969</v>
      </c>
      <c r="E89" s="146" t="s">
        <v>335</v>
      </c>
      <c r="F89" s="146" t="s">
        <v>274</v>
      </c>
      <c r="G89" s="146" t="s">
        <v>509</v>
      </c>
      <c r="H89" s="147">
        <v>5.41</v>
      </c>
      <c r="I89" s="189"/>
      <c r="J89" s="147">
        <v>0.83</v>
      </c>
      <c r="K89" s="189"/>
      <c r="L89" s="189">
        <v>1.25</v>
      </c>
      <c r="M89" s="189"/>
      <c r="N89" s="189"/>
      <c r="O89" s="189"/>
      <c r="P89" s="189"/>
      <c r="Q89" s="189"/>
      <c r="R89" s="189"/>
      <c r="S89" s="189"/>
      <c r="T89" s="189">
        <v>3.33</v>
      </c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47">
        <v>0</v>
      </c>
      <c r="AG89" s="189"/>
      <c r="AH89" s="189"/>
      <c r="AI89" s="148"/>
      <c r="AJ89" s="148"/>
    </row>
    <row r="90" spans="1:36" ht="75">
      <c r="A90" s="142">
        <v>87</v>
      </c>
      <c r="B90" s="144" t="s">
        <v>4556</v>
      </c>
      <c r="C90" s="144" t="s">
        <v>5970</v>
      </c>
      <c r="D90" s="145" t="s">
        <v>5971</v>
      </c>
      <c r="E90" s="146" t="s">
        <v>66</v>
      </c>
      <c r="F90" s="146" t="s">
        <v>271</v>
      </c>
      <c r="G90" s="146" t="s">
        <v>265</v>
      </c>
      <c r="H90" s="147">
        <v>1.67</v>
      </c>
      <c r="I90" s="189"/>
      <c r="J90" s="147"/>
      <c r="K90" s="189"/>
      <c r="L90" s="189"/>
      <c r="M90" s="189"/>
      <c r="N90" s="189"/>
      <c r="O90" s="189"/>
      <c r="P90" s="189"/>
      <c r="Q90" s="189"/>
      <c r="R90" s="189"/>
      <c r="S90" s="189"/>
      <c r="T90" s="189">
        <v>1.67</v>
      </c>
      <c r="U90" s="189"/>
      <c r="V90" s="189"/>
      <c r="W90" s="189"/>
      <c r="X90" s="189"/>
      <c r="Y90" s="189"/>
      <c r="Z90" s="189"/>
      <c r="AA90" s="189"/>
      <c r="AB90" s="189"/>
      <c r="AC90" s="189">
        <v>0</v>
      </c>
      <c r="AD90" s="189"/>
      <c r="AE90" s="189"/>
      <c r="AF90" s="147"/>
      <c r="AG90" s="189"/>
      <c r="AH90" s="189"/>
      <c r="AI90" s="148"/>
      <c r="AJ90" s="148"/>
    </row>
    <row r="91" spans="1:36" ht="75">
      <c r="A91" s="142">
        <v>88</v>
      </c>
      <c r="B91" s="144" t="s">
        <v>4556</v>
      </c>
      <c r="C91" s="144" t="s">
        <v>5972</v>
      </c>
      <c r="D91" s="145" t="s">
        <v>5971</v>
      </c>
      <c r="E91" s="146" t="s">
        <v>66</v>
      </c>
      <c r="F91" s="146" t="s">
        <v>271</v>
      </c>
      <c r="G91" s="146" t="s">
        <v>265</v>
      </c>
      <c r="H91" s="147">
        <v>1.67</v>
      </c>
      <c r="I91" s="189"/>
      <c r="J91" s="147"/>
      <c r="K91" s="189"/>
      <c r="L91" s="189"/>
      <c r="M91" s="189"/>
      <c r="N91" s="189"/>
      <c r="O91" s="189"/>
      <c r="P91" s="189"/>
      <c r="Q91" s="189"/>
      <c r="R91" s="189"/>
      <c r="S91" s="189"/>
      <c r="T91" s="189">
        <v>1.67</v>
      </c>
      <c r="U91" s="189"/>
      <c r="V91" s="189"/>
      <c r="W91" s="189"/>
      <c r="X91" s="189"/>
      <c r="Y91" s="189"/>
      <c r="Z91" s="189"/>
      <c r="AA91" s="189"/>
      <c r="AB91" s="189"/>
      <c r="AC91" s="189">
        <v>0</v>
      </c>
      <c r="AD91" s="189"/>
      <c r="AE91" s="189"/>
      <c r="AF91" s="147"/>
      <c r="AG91" s="189"/>
      <c r="AH91" s="189"/>
      <c r="AI91" s="148"/>
      <c r="AJ91" s="148"/>
    </row>
    <row r="92" spans="1:36" ht="15">
      <c r="A92" s="334" t="s">
        <v>525</v>
      </c>
      <c r="B92" s="335"/>
      <c r="C92" s="335"/>
      <c r="D92" s="335"/>
      <c r="E92" s="335"/>
      <c r="F92" s="335"/>
      <c r="G92" s="336"/>
      <c r="H92" s="149">
        <f t="shared" ref="H92:AH92" si="0">SUM(H4:H91)</f>
        <v>2153.2200000000012</v>
      </c>
      <c r="I92" s="149">
        <f t="shared" si="0"/>
        <v>22.08</v>
      </c>
      <c r="J92" s="149">
        <f t="shared" si="0"/>
        <v>187.97</v>
      </c>
      <c r="K92" s="149">
        <f t="shared" si="0"/>
        <v>619.14000000000021</v>
      </c>
      <c r="L92" s="149">
        <f t="shared" si="0"/>
        <v>393.37000000000006</v>
      </c>
      <c r="M92" s="149">
        <f t="shared" si="0"/>
        <v>17.5</v>
      </c>
      <c r="N92" s="149">
        <f t="shared" si="0"/>
        <v>0</v>
      </c>
      <c r="O92" s="149">
        <f t="shared" si="0"/>
        <v>0</v>
      </c>
      <c r="P92" s="149">
        <f t="shared" si="0"/>
        <v>0</v>
      </c>
      <c r="Q92" s="149">
        <f t="shared" si="0"/>
        <v>1.66</v>
      </c>
      <c r="R92" s="149">
        <f t="shared" si="0"/>
        <v>133.46</v>
      </c>
      <c r="S92" s="149">
        <f t="shared" si="0"/>
        <v>0</v>
      </c>
      <c r="T92" s="149">
        <f t="shared" si="0"/>
        <v>34.410000000000004</v>
      </c>
      <c r="U92" s="149">
        <f t="shared" si="0"/>
        <v>10</v>
      </c>
      <c r="V92" s="149">
        <f t="shared" si="0"/>
        <v>4.17</v>
      </c>
      <c r="W92" s="149">
        <f t="shared" si="0"/>
        <v>0</v>
      </c>
      <c r="X92" s="149">
        <f t="shared" si="0"/>
        <v>0</v>
      </c>
      <c r="Y92" s="149">
        <f t="shared" si="0"/>
        <v>0</v>
      </c>
      <c r="Z92" s="149">
        <f t="shared" si="0"/>
        <v>199.26</v>
      </c>
      <c r="AA92" s="149">
        <f t="shared" si="0"/>
        <v>0</v>
      </c>
      <c r="AB92" s="149">
        <f t="shared" si="0"/>
        <v>0</v>
      </c>
      <c r="AC92" s="149">
        <f t="shared" si="0"/>
        <v>1</v>
      </c>
      <c r="AD92" s="149">
        <f t="shared" si="0"/>
        <v>306.24</v>
      </c>
      <c r="AE92" s="149">
        <f t="shared" si="0"/>
        <v>37.129999999999995</v>
      </c>
      <c r="AF92" s="149">
        <f t="shared" si="0"/>
        <v>185.82999999999998</v>
      </c>
      <c r="AG92" s="149">
        <f t="shared" si="0"/>
        <v>0</v>
      </c>
      <c r="AH92" s="149">
        <f t="shared" si="0"/>
        <v>0</v>
      </c>
      <c r="AI92" s="100"/>
      <c r="AJ92" s="100"/>
    </row>
    <row r="93" spans="1:36">
      <c r="A93" s="100"/>
      <c r="B93" s="100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</row>
    <row r="94" spans="1:36">
      <c r="A94" s="10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</row>
    <row r="95" spans="1:36" ht="26.25">
      <c r="A95" s="140" t="s">
        <v>526</v>
      </c>
      <c r="B95" s="140"/>
      <c r="C95" s="141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50"/>
      <c r="AI95" s="100"/>
      <c r="AJ95" s="100"/>
    </row>
    <row r="96" spans="1:36" ht="30">
      <c r="A96" s="151" t="s">
        <v>501</v>
      </c>
      <c r="B96" s="152" t="s">
        <v>502</v>
      </c>
      <c r="C96" s="151" t="s">
        <v>503</v>
      </c>
      <c r="D96" s="151" t="s">
        <v>504</v>
      </c>
      <c r="E96" s="151" t="s">
        <v>505</v>
      </c>
      <c r="F96" s="151" t="s">
        <v>506</v>
      </c>
      <c r="G96" s="152" t="s">
        <v>507</v>
      </c>
      <c r="H96" s="152" t="s">
        <v>508</v>
      </c>
      <c r="I96" s="153" t="s">
        <v>251</v>
      </c>
      <c r="J96" s="153" t="s">
        <v>252</v>
      </c>
      <c r="K96" s="153" t="s">
        <v>253</v>
      </c>
      <c r="L96" s="153" t="s">
        <v>254</v>
      </c>
      <c r="M96" s="153" t="s">
        <v>255</v>
      </c>
      <c r="N96" s="153" t="s">
        <v>256</v>
      </c>
      <c r="O96" s="153" t="s">
        <v>257</v>
      </c>
      <c r="P96" s="153" t="s">
        <v>258</v>
      </c>
      <c r="Q96" s="153" t="s">
        <v>259</v>
      </c>
      <c r="R96" s="153" t="s">
        <v>260</v>
      </c>
      <c r="S96" s="153" t="s">
        <v>261</v>
      </c>
      <c r="T96" s="153" t="s">
        <v>262</v>
      </c>
      <c r="U96" s="153" t="s">
        <v>263</v>
      </c>
      <c r="V96" s="153" t="s">
        <v>264</v>
      </c>
      <c r="W96" s="153" t="s">
        <v>265</v>
      </c>
      <c r="X96" s="153" t="s">
        <v>266</v>
      </c>
      <c r="Y96" s="153" t="s">
        <v>267</v>
      </c>
      <c r="Z96" s="153" t="s">
        <v>268</v>
      </c>
      <c r="AA96" s="153" t="s">
        <v>269</v>
      </c>
      <c r="AB96" s="153" t="s">
        <v>270</v>
      </c>
      <c r="AC96" s="153" t="s">
        <v>271</v>
      </c>
      <c r="AD96" s="153" t="s">
        <v>272</v>
      </c>
      <c r="AE96" s="153" t="s">
        <v>273</v>
      </c>
      <c r="AF96" s="153" t="s">
        <v>274</v>
      </c>
      <c r="AG96" s="153" t="s">
        <v>275</v>
      </c>
      <c r="AH96" s="153" t="s">
        <v>276</v>
      </c>
      <c r="AI96" s="100"/>
      <c r="AJ96" s="100"/>
    </row>
    <row r="97" spans="1:36" ht="30">
      <c r="A97" s="151">
        <v>1</v>
      </c>
      <c r="B97" s="152" t="s">
        <v>4559</v>
      </c>
      <c r="C97" s="144" t="s">
        <v>5037</v>
      </c>
      <c r="D97" s="145" t="s">
        <v>5038</v>
      </c>
      <c r="E97" s="146" t="s">
        <v>284</v>
      </c>
      <c r="F97" s="146" t="s">
        <v>251</v>
      </c>
      <c r="G97" s="146" t="s">
        <v>254</v>
      </c>
      <c r="H97" s="147">
        <v>5.6</v>
      </c>
      <c r="I97" s="147">
        <v>1.07</v>
      </c>
      <c r="J97" s="147"/>
      <c r="K97" s="189"/>
      <c r="L97" s="147">
        <v>0.4</v>
      </c>
      <c r="M97" s="189">
        <v>3.33</v>
      </c>
      <c r="N97" s="189"/>
      <c r="O97" s="189"/>
      <c r="P97" s="189"/>
      <c r="Q97" s="189"/>
      <c r="R97" s="189"/>
      <c r="S97" s="189"/>
      <c r="T97" s="189"/>
      <c r="U97" s="189"/>
      <c r="V97" s="189"/>
      <c r="W97" s="189"/>
      <c r="X97" s="189"/>
      <c r="Y97" s="189"/>
      <c r="Z97" s="189"/>
      <c r="AA97" s="189"/>
      <c r="AB97" s="189"/>
      <c r="AC97" s="189"/>
      <c r="AD97" s="147">
        <v>0.8</v>
      </c>
      <c r="AE97" s="189"/>
      <c r="AF97" s="189"/>
      <c r="AG97" s="189"/>
      <c r="AH97" s="190"/>
      <c r="AI97" s="100"/>
      <c r="AJ97" s="100"/>
    </row>
    <row r="98" spans="1:36" ht="75">
      <c r="A98" s="151">
        <v>2</v>
      </c>
      <c r="B98" s="152" t="s">
        <v>4686</v>
      </c>
      <c r="C98" s="144" t="s">
        <v>5216</v>
      </c>
      <c r="D98" s="145" t="s">
        <v>5217</v>
      </c>
      <c r="E98" s="146" t="s">
        <v>335</v>
      </c>
      <c r="F98" s="146" t="s">
        <v>271</v>
      </c>
      <c r="G98" s="146" t="s">
        <v>5001</v>
      </c>
      <c r="H98" s="147">
        <v>1.92</v>
      </c>
      <c r="I98" s="147"/>
      <c r="J98" s="147"/>
      <c r="K98" s="189"/>
      <c r="L98" s="147"/>
      <c r="M98" s="189"/>
      <c r="N98" s="189"/>
      <c r="O98" s="189"/>
      <c r="P98" s="189"/>
      <c r="Q98" s="189">
        <v>0.42</v>
      </c>
      <c r="R98" s="189"/>
      <c r="S98" s="189"/>
      <c r="T98" s="189">
        <v>1.25</v>
      </c>
      <c r="U98" s="189"/>
      <c r="V98" s="189"/>
      <c r="W98" s="189"/>
      <c r="X98" s="189"/>
      <c r="Y98" s="189"/>
      <c r="Z98" s="189"/>
      <c r="AA98" s="189"/>
      <c r="AB98" s="189"/>
      <c r="AC98" s="189">
        <v>0.25</v>
      </c>
      <c r="AD98" s="147"/>
      <c r="AE98" s="189"/>
      <c r="AF98" s="189"/>
      <c r="AG98" s="189"/>
      <c r="AH98" s="190"/>
      <c r="AI98" s="100"/>
      <c r="AJ98" s="100"/>
    </row>
    <row r="99" spans="1:36" ht="30">
      <c r="A99" s="151">
        <v>3</v>
      </c>
      <c r="B99" s="152" t="s">
        <v>4552</v>
      </c>
      <c r="C99" s="144" t="s">
        <v>5218</v>
      </c>
      <c r="D99" s="145" t="s">
        <v>5219</v>
      </c>
      <c r="E99" s="146" t="s">
        <v>403</v>
      </c>
      <c r="F99" s="146" t="s">
        <v>259</v>
      </c>
      <c r="G99" s="146" t="s">
        <v>518</v>
      </c>
      <c r="H99" s="147">
        <v>6.4</v>
      </c>
      <c r="I99" s="147"/>
      <c r="J99" s="147"/>
      <c r="K99" s="189"/>
      <c r="L99" s="147"/>
      <c r="M99" s="189"/>
      <c r="N99" s="189"/>
      <c r="O99" s="189"/>
      <c r="P99" s="189"/>
      <c r="Q99" s="189">
        <v>0.8</v>
      </c>
      <c r="R99" s="189">
        <v>2.4</v>
      </c>
      <c r="S99" s="189"/>
      <c r="T99" s="189">
        <v>3.2</v>
      </c>
      <c r="U99" s="189"/>
      <c r="V99" s="189"/>
      <c r="W99" s="189"/>
      <c r="X99" s="189"/>
      <c r="Y99" s="189"/>
      <c r="Z99" s="189"/>
      <c r="AA99" s="189"/>
      <c r="AB99" s="189"/>
      <c r="AC99" s="189"/>
      <c r="AD99" s="147"/>
      <c r="AE99" s="189"/>
      <c r="AF99" s="189"/>
      <c r="AG99" s="189"/>
      <c r="AH99" s="190"/>
      <c r="AI99" s="100"/>
      <c r="AJ99" s="100"/>
    </row>
    <row r="100" spans="1:36" ht="60">
      <c r="A100" s="151">
        <v>4</v>
      </c>
      <c r="B100" s="152" t="s">
        <v>4603</v>
      </c>
      <c r="C100" s="144" t="s">
        <v>5326</v>
      </c>
      <c r="D100" s="145" t="s">
        <v>5327</v>
      </c>
      <c r="E100" s="146" t="s">
        <v>335</v>
      </c>
      <c r="F100" s="146" t="s">
        <v>259</v>
      </c>
      <c r="G100" s="146" t="s">
        <v>520</v>
      </c>
      <c r="H100" s="147">
        <v>5</v>
      </c>
      <c r="I100" s="147"/>
      <c r="J100" s="147"/>
      <c r="K100" s="189"/>
      <c r="L100" s="147"/>
      <c r="M100" s="189"/>
      <c r="N100" s="189"/>
      <c r="O100" s="189"/>
      <c r="P100" s="189"/>
      <c r="Q100" s="189">
        <v>0.83</v>
      </c>
      <c r="R100" s="189"/>
      <c r="S100" s="189"/>
      <c r="T100" s="189"/>
      <c r="U100" s="189"/>
      <c r="V100" s="189"/>
      <c r="W100" s="189"/>
      <c r="X100" s="189"/>
      <c r="Y100" s="189"/>
      <c r="Z100" s="189">
        <v>4.17</v>
      </c>
      <c r="AA100" s="189"/>
      <c r="AB100" s="189"/>
      <c r="AC100" s="189"/>
      <c r="AD100" s="147"/>
      <c r="AE100" s="189"/>
      <c r="AF100" s="189"/>
      <c r="AG100" s="189"/>
      <c r="AH100" s="190"/>
      <c r="AI100" s="100"/>
      <c r="AJ100" s="100"/>
    </row>
    <row r="101" spans="1:36" ht="45">
      <c r="A101" s="151">
        <v>5</v>
      </c>
      <c r="B101" s="152" t="s">
        <v>4557</v>
      </c>
      <c r="C101" s="144" t="s">
        <v>5330</v>
      </c>
      <c r="D101" s="145" t="s">
        <v>5331</v>
      </c>
      <c r="E101" s="146" t="s">
        <v>335</v>
      </c>
      <c r="F101" s="146" t="s">
        <v>274</v>
      </c>
      <c r="G101" s="146" t="s">
        <v>509</v>
      </c>
      <c r="H101" s="147">
        <v>2.92</v>
      </c>
      <c r="I101" s="147"/>
      <c r="J101" s="147"/>
      <c r="K101" s="189"/>
      <c r="L101" s="147">
        <v>0.42</v>
      </c>
      <c r="M101" s="189"/>
      <c r="N101" s="189"/>
      <c r="O101" s="189"/>
      <c r="P101" s="189"/>
      <c r="Q101" s="189"/>
      <c r="R101" s="189"/>
      <c r="S101" s="189"/>
      <c r="T101" s="189"/>
      <c r="U101" s="189"/>
      <c r="V101" s="189"/>
      <c r="W101" s="189"/>
      <c r="X101" s="189"/>
      <c r="Y101" s="189"/>
      <c r="Z101" s="189"/>
      <c r="AA101" s="189"/>
      <c r="AB101" s="189"/>
      <c r="AC101" s="189"/>
      <c r="AD101" s="147"/>
      <c r="AE101" s="189"/>
      <c r="AF101" s="189">
        <v>2.5</v>
      </c>
      <c r="AG101" s="189"/>
      <c r="AH101" s="190"/>
      <c r="AI101" s="100"/>
      <c r="AJ101" s="100"/>
    </row>
    <row r="102" spans="1:36" ht="30">
      <c r="A102" s="151">
        <v>6</v>
      </c>
      <c r="B102" s="152" t="s">
        <v>79</v>
      </c>
      <c r="C102" s="144" t="s">
        <v>5333</v>
      </c>
      <c r="D102" s="145" t="s">
        <v>5334</v>
      </c>
      <c r="E102" s="146" t="s">
        <v>306</v>
      </c>
      <c r="F102" s="146" t="s">
        <v>259</v>
      </c>
      <c r="G102" s="146" t="s">
        <v>262</v>
      </c>
      <c r="H102" s="147">
        <v>31</v>
      </c>
      <c r="I102" s="147"/>
      <c r="J102" s="147"/>
      <c r="K102" s="189"/>
      <c r="L102" s="147"/>
      <c r="M102" s="189"/>
      <c r="N102" s="189"/>
      <c r="O102" s="189"/>
      <c r="P102" s="189"/>
      <c r="Q102" s="189">
        <v>3.25</v>
      </c>
      <c r="R102" s="189"/>
      <c r="S102" s="189"/>
      <c r="T102" s="189">
        <v>27.75</v>
      </c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47"/>
      <c r="AE102" s="189"/>
      <c r="AF102" s="189"/>
      <c r="AG102" s="189"/>
      <c r="AH102" s="190"/>
      <c r="AI102" s="100"/>
      <c r="AJ102" s="100"/>
    </row>
    <row r="103" spans="1:36" ht="105">
      <c r="A103" s="151">
        <v>7</v>
      </c>
      <c r="B103" s="152" t="s">
        <v>4727</v>
      </c>
      <c r="C103" s="144" t="s">
        <v>5654</v>
      </c>
      <c r="D103" s="145" t="s">
        <v>5329</v>
      </c>
      <c r="E103" s="146" t="s">
        <v>68</v>
      </c>
      <c r="F103" s="146" t="s">
        <v>270</v>
      </c>
      <c r="G103" s="146" t="s">
        <v>523</v>
      </c>
      <c r="H103" s="147">
        <v>135</v>
      </c>
      <c r="I103" s="147"/>
      <c r="J103" s="147"/>
      <c r="K103" s="189"/>
      <c r="L103" s="147"/>
      <c r="M103" s="189"/>
      <c r="N103" s="189"/>
      <c r="O103" s="189"/>
      <c r="P103" s="189"/>
      <c r="Q103" s="189"/>
      <c r="R103" s="189"/>
      <c r="S103" s="189"/>
      <c r="T103" s="189"/>
      <c r="U103" s="189"/>
      <c r="V103" s="189"/>
      <c r="W103" s="189"/>
      <c r="X103" s="189"/>
      <c r="Y103" s="189"/>
      <c r="Z103" s="189">
        <v>115</v>
      </c>
      <c r="AA103" s="189"/>
      <c r="AB103" s="189">
        <v>20</v>
      </c>
      <c r="AC103" s="189"/>
      <c r="AD103" s="147"/>
      <c r="AE103" s="189"/>
      <c r="AF103" s="189"/>
      <c r="AG103" s="189"/>
      <c r="AH103" s="190"/>
      <c r="AI103" s="100"/>
      <c r="AJ103" s="100"/>
    </row>
    <row r="104" spans="1:36" ht="75">
      <c r="A104" s="151">
        <v>8</v>
      </c>
      <c r="B104" s="152" t="s">
        <v>4650</v>
      </c>
      <c r="C104" s="144" t="s">
        <v>5655</v>
      </c>
      <c r="D104" s="145" t="s">
        <v>5656</v>
      </c>
      <c r="E104" s="146" t="s">
        <v>550</v>
      </c>
      <c r="F104" s="146" t="s">
        <v>270</v>
      </c>
      <c r="G104" s="146" t="s">
        <v>523</v>
      </c>
      <c r="H104" s="147">
        <v>58.33</v>
      </c>
      <c r="I104" s="147"/>
      <c r="J104" s="147"/>
      <c r="K104" s="189"/>
      <c r="L104" s="147"/>
      <c r="M104" s="189"/>
      <c r="N104" s="189"/>
      <c r="O104" s="189"/>
      <c r="P104" s="189"/>
      <c r="Q104" s="189"/>
      <c r="R104" s="189"/>
      <c r="S104" s="189"/>
      <c r="T104" s="189"/>
      <c r="U104" s="189"/>
      <c r="V104" s="189"/>
      <c r="W104" s="189"/>
      <c r="X104" s="189"/>
      <c r="Y104" s="189"/>
      <c r="Z104" s="189">
        <v>50</v>
      </c>
      <c r="AA104" s="189"/>
      <c r="AB104" s="189">
        <v>8.33</v>
      </c>
      <c r="AC104" s="189"/>
      <c r="AD104" s="147"/>
      <c r="AE104" s="189"/>
      <c r="AF104" s="189"/>
      <c r="AG104" s="189"/>
      <c r="AH104" s="190"/>
      <c r="AI104" s="100"/>
      <c r="AJ104" s="100"/>
    </row>
    <row r="105" spans="1:36" ht="45">
      <c r="A105" s="151">
        <v>9</v>
      </c>
      <c r="B105" s="152" t="s">
        <v>4557</v>
      </c>
      <c r="C105" s="144" t="s">
        <v>5659</v>
      </c>
      <c r="D105" s="145" t="s">
        <v>5660</v>
      </c>
      <c r="E105" s="146" t="s">
        <v>335</v>
      </c>
      <c r="F105" s="146" t="s">
        <v>270</v>
      </c>
      <c r="G105" s="146" t="s">
        <v>509</v>
      </c>
      <c r="H105" s="147">
        <v>6.67</v>
      </c>
      <c r="I105" s="147"/>
      <c r="J105" s="147"/>
      <c r="K105" s="189"/>
      <c r="L105" s="147"/>
      <c r="M105" s="189"/>
      <c r="N105" s="189"/>
      <c r="O105" s="189"/>
      <c r="P105" s="189"/>
      <c r="Q105" s="189"/>
      <c r="R105" s="189"/>
      <c r="S105" s="189"/>
      <c r="T105" s="189"/>
      <c r="U105" s="189"/>
      <c r="V105" s="189"/>
      <c r="W105" s="189"/>
      <c r="X105" s="189"/>
      <c r="Y105" s="189"/>
      <c r="Z105" s="189">
        <v>4.17</v>
      </c>
      <c r="AA105" s="189"/>
      <c r="AB105" s="189">
        <v>2.5</v>
      </c>
      <c r="AC105" s="189"/>
      <c r="AD105" s="147"/>
      <c r="AE105" s="189"/>
      <c r="AF105" s="189"/>
      <c r="AG105" s="189"/>
      <c r="AH105" s="190"/>
      <c r="AI105" s="100"/>
      <c r="AJ105" s="100"/>
    </row>
    <row r="106" spans="1:36" ht="90">
      <c r="A106" s="151">
        <v>10</v>
      </c>
      <c r="B106" s="152" t="s">
        <v>4642</v>
      </c>
      <c r="C106" s="144" t="s">
        <v>5661</v>
      </c>
      <c r="D106" s="145" t="s">
        <v>5662</v>
      </c>
      <c r="E106" s="146" t="s">
        <v>69</v>
      </c>
      <c r="F106" s="146" t="s">
        <v>274</v>
      </c>
      <c r="G106" s="146" t="s">
        <v>509</v>
      </c>
      <c r="H106" s="147">
        <v>240</v>
      </c>
      <c r="I106" s="147"/>
      <c r="J106" s="147"/>
      <c r="K106" s="189"/>
      <c r="L106" s="147">
        <v>213.33</v>
      </c>
      <c r="M106" s="189"/>
      <c r="N106" s="189"/>
      <c r="O106" s="189"/>
      <c r="P106" s="189"/>
      <c r="Q106" s="189"/>
      <c r="R106" s="189"/>
      <c r="S106" s="189"/>
      <c r="T106" s="189"/>
      <c r="U106" s="189"/>
      <c r="V106" s="189"/>
      <c r="W106" s="189"/>
      <c r="X106" s="189"/>
      <c r="Y106" s="189"/>
      <c r="Z106" s="189"/>
      <c r="AA106" s="189"/>
      <c r="AB106" s="189"/>
      <c r="AC106" s="189"/>
      <c r="AD106" s="147"/>
      <c r="AE106" s="189"/>
      <c r="AF106" s="189">
        <v>26.67</v>
      </c>
      <c r="AG106" s="189"/>
      <c r="AH106" s="190"/>
      <c r="AI106" s="100"/>
      <c r="AJ106" s="100"/>
    </row>
    <row r="107" spans="1:36" ht="90">
      <c r="A107" s="151">
        <v>11</v>
      </c>
      <c r="B107" s="152" t="s">
        <v>4642</v>
      </c>
      <c r="C107" s="144" t="s">
        <v>5663</v>
      </c>
      <c r="D107" s="145" t="s">
        <v>5662</v>
      </c>
      <c r="E107" s="146" t="s">
        <v>69</v>
      </c>
      <c r="F107" s="146" t="s">
        <v>274</v>
      </c>
      <c r="G107" s="146" t="s">
        <v>509</v>
      </c>
      <c r="H107" s="147">
        <v>240</v>
      </c>
      <c r="I107" s="147"/>
      <c r="J107" s="147"/>
      <c r="K107" s="189"/>
      <c r="L107" s="147">
        <v>213.33</v>
      </c>
      <c r="M107" s="189"/>
      <c r="N107" s="189"/>
      <c r="O107" s="189"/>
      <c r="P107" s="189"/>
      <c r="Q107" s="189"/>
      <c r="R107" s="189"/>
      <c r="S107" s="189"/>
      <c r="T107" s="189"/>
      <c r="U107" s="189"/>
      <c r="V107" s="189"/>
      <c r="W107" s="189"/>
      <c r="X107" s="189"/>
      <c r="Y107" s="189"/>
      <c r="Z107" s="189"/>
      <c r="AA107" s="189"/>
      <c r="AB107" s="189"/>
      <c r="AC107" s="189"/>
      <c r="AD107" s="147"/>
      <c r="AE107" s="189"/>
      <c r="AF107" s="189">
        <v>26.67</v>
      </c>
      <c r="AG107" s="189"/>
      <c r="AH107" s="190"/>
      <c r="AI107" s="100"/>
      <c r="AJ107" s="100"/>
    </row>
    <row r="108" spans="1:36" ht="30">
      <c r="A108" s="151">
        <v>12</v>
      </c>
      <c r="B108" s="152" t="s">
        <v>79</v>
      </c>
      <c r="C108" s="144" t="s">
        <v>5664</v>
      </c>
      <c r="D108" s="145" t="s">
        <v>5665</v>
      </c>
      <c r="E108" s="146" t="s">
        <v>68</v>
      </c>
      <c r="F108" s="146" t="s">
        <v>259</v>
      </c>
      <c r="G108" s="146" t="s">
        <v>509</v>
      </c>
      <c r="H108" s="147">
        <v>77.5</v>
      </c>
      <c r="I108" s="147"/>
      <c r="J108" s="147">
        <v>5</v>
      </c>
      <c r="K108" s="189"/>
      <c r="L108" s="147"/>
      <c r="M108" s="189"/>
      <c r="N108" s="189"/>
      <c r="O108" s="189"/>
      <c r="P108" s="189"/>
      <c r="Q108" s="189">
        <v>2.5</v>
      </c>
      <c r="R108" s="189">
        <v>10</v>
      </c>
      <c r="S108" s="189"/>
      <c r="T108" s="189">
        <v>60</v>
      </c>
      <c r="U108" s="189"/>
      <c r="V108" s="189"/>
      <c r="W108" s="189"/>
      <c r="X108" s="189"/>
      <c r="Y108" s="189"/>
      <c r="Z108" s="189"/>
      <c r="AA108" s="189"/>
      <c r="AB108" s="189"/>
      <c r="AC108" s="189"/>
      <c r="AD108" s="147"/>
      <c r="AE108" s="189"/>
      <c r="AF108" s="189"/>
      <c r="AG108" s="189"/>
      <c r="AH108" s="190"/>
      <c r="AI108" s="100"/>
      <c r="AJ108" s="100"/>
    </row>
    <row r="109" spans="1:36" ht="30">
      <c r="A109" s="151">
        <v>13</v>
      </c>
      <c r="B109" s="152" t="s">
        <v>4561</v>
      </c>
      <c r="C109" s="144" t="s">
        <v>5666</v>
      </c>
      <c r="D109" s="145" t="s">
        <v>5667</v>
      </c>
      <c r="E109" s="146" t="s">
        <v>296</v>
      </c>
      <c r="F109" s="146" t="s">
        <v>251</v>
      </c>
      <c r="G109" s="146" t="s">
        <v>531</v>
      </c>
      <c r="H109" s="147">
        <v>12.46</v>
      </c>
      <c r="I109" s="147">
        <v>0.17</v>
      </c>
      <c r="J109" s="147"/>
      <c r="K109" s="189">
        <v>6.33</v>
      </c>
      <c r="L109" s="147">
        <v>1.69</v>
      </c>
      <c r="M109" s="189"/>
      <c r="N109" s="189"/>
      <c r="O109" s="189"/>
      <c r="P109" s="189"/>
      <c r="Q109" s="189"/>
      <c r="R109" s="189"/>
      <c r="S109" s="189"/>
      <c r="T109" s="189"/>
      <c r="U109" s="189"/>
      <c r="V109" s="189"/>
      <c r="W109" s="189"/>
      <c r="X109" s="189"/>
      <c r="Y109" s="189"/>
      <c r="Z109" s="189"/>
      <c r="AA109" s="189"/>
      <c r="AB109" s="189"/>
      <c r="AC109" s="189"/>
      <c r="AD109" s="147">
        <v>4.2699999999999996</v>
      </c>
      <c r="AE109" s="189"/>
      <c r="AF109" s="189"/>
      <c r="AG109" s="189"/>
      <c r="AH109" s="190"/>
      <c r="AI109" s="100"/>
      <c r="AJ109" s="100"/>
    </row>
    <row r="110" spans="1:36" ht="30">
      <c r="A110" s="151">
        <v>14</v>
      </c>
      <c r="B110" s="152" t="s">
        <v>79</v>
      </c>
      <c r="C110" s="144" t="s">
        <v>5672</v>
      </c>
      <c r="D110" s="145" t="s">
        <v>5673</v>
      </c>
      <c r="E110" s="146" t="s">
        <v>66</v>
      </c>
      <c r="F110" s="146" t="s">
        <v>272</v>
      </c>
      <c r="G110" s="146" t="s">
        <v>509</v>
      </c>
      <c r="H110" s="147">
        <v>95.84</v>
      </c>
      <c r="I110" s="147"/>
      <c r="J110" s="147">
        <v>1.67</v>
      </c>
      <c r="K110" s="189">
        <v>16.670000000000002</v>
      </c>
      <c r="L110" s="147">
        <v>10.83</v>
      </c>
      <c r="M110" s="189"/>
      <c r="N110" s="189"/>
      <c r="O110" s="189"/>
      <c r="P110" s="189"/>
      <c r="Q110" s="189"/>
      <c r="R110" s="189"/>
      <c r="S110" s="189"/>
      <c r="T110" s="189"/>
      <c r="U110" s="189"/>
      <c r="V110" s="189"/>
      <c r="W110" s="189"/>
      <c r="X110" s="189"/>
      <c r="Y110" s="189"/>
      <c r="Z110" s="189"/>
      <c r="AA110" s="189"/>
      <c r="AB110" s="189"/>
      <c r="AC110" s="189"/>
      <c r="AD110" s="147">
        <v>66.67</v>
      </c>
      <c r="AE110" s="189"/>
      <c r="AF110" s="189"/>
      <c r="AG110" s="189"/>
      <c r="AH110" s="190"/>
      <c r="AI110" s="100"/>
      <c r="AJ110" s="100"/>
    </row>
    <row r="111" spans="1:36" ht="30">
      <c r="A111" s="151">
        <v>15</v>
      </c>
      <c r="B111" s="152" t="s">
        <v>79</v>
      </c>
      <c r="C111" s="144" t="s">
        <v>5675</v>
      </c>
      <c r="D111" s="145" t="s">
        <v>5676</v>
      </c>
      <c r="E111" s="146" t="s">
        <v>306</v>
      </c>
      <c r="F111" s="146" t="s">
        <v>259</v>
      </c>
      <c r="G111" s="146" t="s">
        <v>509</v>
      </c>
      <c r="H111" s="147">
        <v>52.21</v>
      </c>
      <c r="I111" s="147"/>
      <c r="J111" s="147"/>
      <c r="K111" s="189"/>
      <c r="L111" s="147">
        <v>10.5</v>
      </c>
      <c r="M111" s="189"/>
      <c r="N111" s="189"/>
      <c r="O111" s="189"/>
      <c r="P111" s="189"/>
      <c r="Q111" s="189">
        <v>0.5</v>
      </c>
      <c r="R111" s="189"/>
      <c r="S111" s="189"/>
      <c r="T111" s="189">
        <v>37.5</v>
      </c>
      <c r="U111" s="189"/>
      <c r="V111" s="189"/>
      <c r="W111" s="189"/>
      <c r="X111" s="189"/>
      <c r="Y111" s="189"/>
      <c r="Z111" s="189"/>
      <c r="AA111" s="189"/>
      <c r="AB111" s="189"/>
      <c r="AC111" s="189"/>
      <c r="AD111" s="147"/>
      <c r="AE111" s="189">
        <v>3.71</v>
      </c>
      <c r="AF111" s="189"/>
      <c r="AG111" s="189"/>
      <c r="AH111" s="190"/>
      <c r="AI111" s="100"/>
      <c r="AJ111" s="100"/>
    </row>
    <row r="112" spans="1:36" ht="30">
      <c r="A112" s="151">
        <v>16</v>
      </c>
      <c r="B112" s="152" t="s">
        <v>79</v>
      </c>
      <c r="C112" s="144" t="s">
        <v>5677</v>
      </c>
      <c r="D112" s="145" t="s">
        <v>5678</v>
      </c>
      <c r="E112" s="146" t="s">
        <v>296</v>
      </c>
      <c r="F112" s="146" t="s">
        <v>259</v>
      </c>
      <c r="G112" s="146" t="s">
        <v>509</v>
      </c>
      <c r="H112" s="147">
        <v>22.33</v>
      </c>
      <c r="I112" s="147"/>
      <c r="J112" s="147"/>
      <c r="K112" s="189"/>
      <c r="L112" s="147">
        <v>6.67</v>
      </c>
      <c r="M112" s="189"/>
      <c r="N112" s="189"/>
      <c r="O112" s="189"/>
      <c r="P112" s="189"/>
      <c r="Q112" s="189">
        <v>0.33</v>
      </c>
      <c r="R112" s="189"/>
      <c r="S112" s="189"/>
      <c r="T112" s="189">
        <v>9.33</v>
      </c>
      <c r="U112" s="189"/>
      <c r="V112" s="189"/>
      <c r="W112" s="189"/>
      <c r="X112" s="189"/>
      <c r="Y112" s="189"/>
      <c r="Z112" s="189"/>
      <c r="AA112" s="189"/>
      <c r="AB112" s="189"/>
      <c r="AC112" s="189"/>
      <c r="AD112" s="147"/>
      <c r="AE112" s="189">
        <v>6</v>
      </c>
      <c r="AF112" s="189"/>
      <c r="AG112" s="189"/>
      <c r="AH112" s="190"/>
      <c r="AI112" s="100"/>
      <c r="AJ112" s="100"/>
    </row>
    <row r="113" spans="1:36" ht="150">
      <c r="A113" s="151">
        <v>17</v>
      </c>
      <c r="B113" s="152" t="s">
        <v>4701</v>
      </c>
      <c r="C113" s="144" t="s">
        <v>5686</v>
      </c>
      <c r="D113" s="145" t="s">
        <v>5332</v>
      </c>
      <c r="E113" s="146" t="s">
        <v>335</v>
      </c>
      <c r="F113" s="146" t="s">
        <v>271</v>
      </c>
      <c r="G113" s="146" t="s">
        <v>5001</v>
      </c>
      <c r="H113" s="147">
        <v>1.67</v>
      </c>
      <c r="I113" s="147"/>
      <c r="J113" s="147"/>
      <c r="K113" s="189"/>
      <c r="L113" s="147"/>
      <c r="M113" s="189"/>
      <c r="N113" s="189"/>
      <c r="O113" s="189"/>
      <c r="P113" s="189"/>
      <c r="Q113" s="189">
        <v>0.42</v>
      </c>
      <c r="R113" s="189"/>
      <c r="S113" s="189"/>
      <c r="T113" s="189">
        <v>0.83</v>
      </c>
      <c r="U113" s="189"/>
      <c r="V113" s="189"/>
      <c r="W113" s="189"/>
      <c r="X113" s="189"/>
      <c r="Y113" s="189"/>
      <c r="Z113" s="189"/>
      <c r="AA113" s="189"/>
      <c r="AB113" s="189"/>
      <c r="AC113" s="189">
        <v>0.42</v>
      </c>
      <c r="AD113" s="147"/>
      <c r="AE113" s="189"/>
      <c r="AF113" s="189"/>
      <c r="AG113" s="189"/>
      <c r="AH113" s="190"/>
      <c r="AI113" s="100"/>
      <c r="AJ113" s="100"/>
    </row>
    <row r="114" spans="1:36" ht="30">
      <c r="A114" s="151">
        <v>18</v>
      </c>
      <c r="B114" s="152" t="s">
        <v>79</v>
      </c>
      <c r="C114" s="144" t="s">
        <v>5691</v>
      </c>
      <c r="D114" s="145" t="s">
        <v>515</v>
      </c>
      <c r="E114" s="146" t="s">
        <v>516</v>
      </c>
      <c r="F114" s="146" t="s">
        <v>259</v>
      </c>
      <c r="G114" s="146" t="s">
        <v>262</v>
      </c>
      <c r="H114" s="147">
        <v>97.04</v>
      </c>
      <c r="I114" s="147"/>
      <c r="J114" s="147"/>
      <c r="K114" s="189">
        <v>9.4700000000000006</v>
      </c>
      <c r="L114" s="147">
        <v>9.4700000000000006</v>
      </c>
      <c r="M114" s="189"/>
      <c r="N114" s="189"/>
      <c r="O114" s="189"/>
      <c r="P114" s="189"/>
      <c r="Q114" s="189">
        <v>2.37</v>
      </c>
      <c r="R114" s="189"/>
      <c r="S114" s="189"/>
      <c r="T114" s="189">
        <v>4.7300000000000004</v>
      </c>
      <c r="U114" s="189"/>
      <c r="V114" s="189"/>
      <c r="W114" s="189"/>
      <c r="X114" s="189"/>
      <c r="Y114" s="189"/>
      <c r="Z114" s="189"/>
      <c r="AA114" s="189"/>
      <c r="AB114" s="189"/>
      <c r="AC114" s="189"/>
      <c r="AD114" s="147"/>
      <c r="AE114" s="189">
        <v>71</v>
      </c>
      <c r="AF114" s="189"/>
      <c r="AG114" s="189"/>
      <c r="AH114" s="190"/>
      <c r="AI114" s="100"/>
      <c r="AJ114" s="100"/>
    </row>
    <row r="115" spans="1:36" ht="30">
      <c r="A115" s="151">
        <v>19</v>
      </c>
      <c r="B115" s="152" t="s">
        <v>4636</v>
      </c>
      <c r="C115" s="144" t="s">
        <v>5692</v>
      </c>
      <c r="D115" s="145" t="s">
        <v>5693</v>
      </c>
      <c r="E115" s="146" t="s">
        <v>349</v>
      </c>
      <c r="F115" s="146" t="s">
        <v>259</v>
      </c>
      <c r="G115" s="146" t="s">
        <v>520</v>
      </c>
      <c r="H115" s="147">
        <v>8</v>
      </c>
      <c r="I115" s="147"/>
      <c r="J115" s="147"/>
      <c r="K115" s="189"/>
      <c r="L115" s="147"/>
      <c r="M115" s="189"/>
      <c r="N115" s="189"/>
      <c r="O115" s="189"/>
      <c r="P115" s="189"/>
      <c r="Q115" s="189">
        <v>2</v>
      </c>
      <c r="R115" s="189"/>
      <c r="S115" s="189"/>
      <c r="T115" s="189"/>
      <c r="U115" s="189"/>
      <c r="V115" s="189"/>
      <c r="W115" s="189"/>
      <c r="X115" s="189"/>
      <c r="Y115" s="189"/>
      <c r="Z115" s="189">
        <v>6</v>
      </c>
      <c r="AA115" s="189"/>
      <c r="AB115" s="189"/>
      <c r="AC115" s="189"/>
      <c r="AD115" s="147"/>
      <c r="AE115" s="189"/>
      <c r="AF115" s="189"/>
      <c r="AG115" s="189"/>
      <c r="AH115" s="190"/>
      <c r="AI115" s="100"/>
      <c r="AJ115" s="100"/>
    </row>
    <row r="116" spans="1:36" ht="60">
      <c r="A116" s="151">
        <v>20</v>
      </c>
      <c r="B116" s="152" t="s">
        <v>4652</v>
      </c>
      <c r="C116" s="144" t="s">
        <v>5694</v>
      </c>
      <c r="D116" s="145" t="s">
        <v>5695</v>
      </c>
      <c r="E116" s="146" t="s">
        <v>395</v>
      </c>
      <c r="F116" s="146" t="s">
        <v>259</v>
      </c>
      <c r="G116" s="146" t="s">
        <v>520</v>
      </c>
      <c r="H116" s="147">
        <v>9</v>
      </c>
      <c r="I116" s="147"/>
      <c r="J116" s="147"/>
      <c r="K116" s="189"/>
      <c r="L116" s="147"/>
      <c r="M116" s="189"/>
      <c r="N116" s="189"/>
      <c r="O116" s="189"/>
      <c r="P116" s="189"/>
      <c r="Q116" s="189">
        <v>3</v>
      </c>
      <c r="R116" s="189"/>
      <c r="S116" s="189"/>
      <c r="T116" s="189"/>
      <c r="U116" s="189"/>
      <c r="V116" s="189"/>
      <c r="W116" s="189"/>
      <c r="X116" s="189"/>
      <c r="Y116" s="189"/>
      <c r="Z116" s="189">
        <v>6</v>
      </c>
      <c r="AA116" s="189"/>
      <c r="AB116" s="189"/>
      <c r="AC116" s="189"/>
      <c r="AD116" s="147"/>
      <c r="AE116" s="189"/>
      <c r="AF116" s="189"/>
      <c r="AG116" s="189"/>
      <c r="AH116" s="190"/>
      <c r="AI116" s="100"/>
      <c r="AJ116" s="100"/>
    </row>
    <row r="117" spans="1:36" ht="45">
      <c r="A117" s="151">
        <v>21</v>
      </c>
      <c r="B117" s="152" t="s">
        <v>4557</v>
      </c>
      <c r="C117" s="144" t="s">
        <v>5697</v>
      </c>
      <c r="D117" s="145" t="s">
        <v>5698</v>
      </c>
      <c r="E117" s="146" t="s">
        <v>335</v>
      </c>
      <c r="F117" s="146" t="s">
        <v>259</v>
      </c>
      <c r="G117" s="146" t="s">
        <v>520</v>
      </c>
      <c r="H117" s="147">
        <v>5.84</v>
      </c>
      <c r="I117" s="147"/>
      <c r="J117" s="147"/>
      <c r="K117" s="189"/>
      <c r="L117" s="147"/>
      <c r="M117" s="189"/>
      <c r="N117" s="189"/>
      <c r="O117" s="189"/>
      <c r="P117" s="189"/>
      <c r="Q117" s="189">
        <v>1.67</v>
      </c>
      <c r="R117" s="189"/>
      <c r="S117" s="189"/>
      <c r="T117" s="189"/>
      <c r="U117" s="189"/>
      <c r="V117" s="189"/>
      <c r="W117" s="189"/>
      <c r="X117" s="189"/>
      <c r="Y117" s="189"/>
      <c r="Z117" s="189">
        <v>4.17</v>
      </c>
      <c r="AA117" s="189"/>
      <c r="AB117" s="189"/>
      <c r="AC117" s="189"/>
      <c r="AD117" s="147"/>
      <c r="AE117" s="189"/>
      <c r="AF117" s="189"/>
      <c r="AG117" s="189"/>
      <c r="AH117" s="190"/>
      <c r="AI117" s="100"/>
      <c r="AJ117" s="100"/>
    </row>
    <row r="118" spans="1:36" ht="30">
      <c r="A118" s="151">
        <v>22</v>
      </c>
      <c r="B118" s="152" t="s">
        <v>4556</v>
      </c>
      <c r="C118" s="144" t="s">
        <v>5699</v>
      </c>
      <c r="D118" s="145" t="s">
        <v>5700</v>
      </c>
      <c r="E118" s="146" t="s">
        <v>67</v>
      </c>
      <c r="F118" s="146" t="s">
        <v>272</v>
      </c>
      <c r="G118" s="146" t="s">
        <v>518</v>
      </c>
      <c r="H118" s="147">
        <v>15.34</v>
      </c>
      <c r="I118" s="147"/>
      <c r="J118" s="147"/>
      <c r="K118" s="189"/>
      <c r="L118" s="147">
        <v>1.67</v>
      </c>
      <c r="M118" s="189"/>
      <c r="N118" s="189"/>
      <c r="O118" s="189"/>
      <c r="P118" s="189"/>
      <c r="Q118" s="189"/>
      <c r="R118" s="189"/>
      <c r="S118" s="189"/>
      <c r="T118" s="189"/>
      <c r="U118" s="189"/>
      <c r="V118" s="189"/>
      <c r="W118" s="189"/>
      <c r="X118" s="189"/>
      <c r="Y118" s="189"/>
      <c r="Z118" s="189"/>
      <c r="AA118" s="189"/>
      <c r="AB118" s="189"/>
      <c r="AC118" s="189"/>
      <c r="AD118" s="147">
        <v>13.67</v>
      </c>
      <c r="AE118" s="189"/>
      <c r="AF118" s="189"/>
      <c r="AG118" s="189"/>
      <c r="AH118" s="190"/>
      <c r="AI118" s="100"/>
      <c r="AJ118" s="100"/>
    </row>
    <row r="119" spans="1:36" ht="75">
      <c r="A119" s="151">
        <v>23</v>
      </c>
      <c r="B119" s="152" t="s">
        <v>4654</v>
      </c>
      <c r="C119" s="144" t="s">
        <v>5701</v>
      </c>
      <c r="D119" s="145" t="s">
        <v>5702</v>
      </c>
      <c r="E119" s="146" t="s">
        <v>66</v>
      </c>
      <c r="F119" s="146" t="s">
        <v>262</v>
      </c>
      <c r="G119" s="146" t="s">
        <v>520</v>
      </c>
      <c r="H119" s="147">
        <v>16.670000000000002</v>
      </c>
      <c r="I119" s="147"/>
      <c r="J119" s="147"/>
      <c r="K119" s="189"/>
      <c r="L119" s="147"/>
      <c r="M119" s="189"/>
      <c r="N119" s="189"/>
      <c r="O119" s="189"/>
      <c r="P119" s="189"/>
      <c r="Q119" s="189"/>
      <c r="R119" s="189"/>
      <c r="S119" s="189"/>
      <c r="T119" s="189">
        <v>16.670000000000002</v>
      </c>
      <c r="U119" s="189"/>
      <c r="V119" s="189"/>
      <c r="W119" s="189"/>
      <c r="X119" s="189"/>
      <c r="Y119" s="189"/>
      <c r="Z119" s="189"/>
      <c r="AA119" s="189"/>
      <c r="AB119" s="189"/>
      <c r="AC119" s="189"/>
      <c r="AD119" s="147"/>
      <c r="AE119" s="189"/>
      <c r="AF119" s="189"/>
      <c r="AG119" s="189"/>
      <c r="AH119" s="190"/>
      <c r="AI119" s="100"/>
      <c r="AJ119" s="100"/>
    </row>
    <row r="120" spans="1:36" ht="60">
      <c r="A120" s="151">
        <v>24</v>
      </c>
      <c r="B120" s="152" t="s">
        <v>4641</v>
      </c>
      <c r="C120" s="144" t="s">
        <v>5703</v>
      </c>
      <c r="D120" s="145" t="s">
        <v>5704</v>
      </c>
      <c r="E120" s="146" t="s">
        <v>316</v>
      </c>
      <c r="F120" s="146" t="s">
        <v>251</v>
      </c>
      <c r="G120" s="146" t="s">
        <v>509</v>
      </c>
      <c r="H120" s="147">
        <v>9.99</v>
      </c>
      <c r="I120" s="147">
        <v>0.33</v>
      </c>
      <c r="J120" s="147">
        <v>3.33</v>
      </c>
      <c r="K120" s="189"/>
      <c r="L120" s="147">
        <v>2.33</v>
      </c>
      <c r="M120" s="189"/>
      <c r="N120" s="189"/>
      <c r="O120" s="189"/>
      <c r="P120" s="189"/>
      <c r="Q120" s="189"/>
      <c r="R120" s="189"/>
      <c r="S120" s="189"/>
      <c r="T120" s="189"/>
      <c r="U120" s="189"/>
      <c r="V120" s="189"/>
      <c r="W120" s="189"/>
      <c r="X120" s="189"/>
      <c r="Y120" s="189"/>
      <c r="Z120" s="189"/>
      <c r="AA120" s="189"/>
      <c r="AB120" s="189"/>
      <c r="AC120" s="189"/>
      <c r="AD120" s="147">
        <v>4</v>
      </c>
      <c r="AE120" s="189"/>
      <c r="AF120" s="189"/>
      <c r="AG120" s="189"/>
      <c r="AH120" s="190"/>
      <c r="AI120" s="100"/>
      <c r="AJ120" s="100"/>
    </row>
    <row r="121" spans="1:36" ht="60">
      <c r="A121" s="151">
        <v>25</v>
      </c>
      <c r="B121" s="152" t="s">
        <v>4641</v>
      </c>
      <c r="C121" s="144" t="s">
        <v>5707</v>
      </c>
      <c r="D121" s="145" t="s">
        <v>5269</v>
      </c>
      <c r="E121" s="146" t="s">
        <v>316</v>
      </c>
      <c r="F121" s="146" t="s">
        <v>271</v>
      </c>
      <c r="G121" s="146" t="s">
        <v>509</v>
      </c>
      <c r="H121" s="147">
        <v>4.33</v>
      </c>
      <c r="I121" s="147"/>
      <c r="J121" s="147"/>
      <c r="K121" s="189"/>
      <c r="L121" s="147"/>
      <c r="M121" s="189"/>
      <c r="N121" s="189"/>
      <c r="O121" s="189"/>
      <c r="P121" s="189"/>
      <c r="Q121" s="189"/>
      <c r="R121" s="189"/>
      <c r="S121" s="189"/>
      <c r="T121" s="189">
        <v>4</v>
      </c>
      <c r="U121" s="189"/>
      <c r="V121" s="189"/>
      <c r="W121" s="189"/>
      <c r="X121" s="189"/>
      <c r="Y121" s="189"/>
      <c r="Z121" s="189"/>
      <c r="AA121" s="189"/>
      <c r="AB121" s="189"/>
      <c r="AC121" s="189">
        <v>0.33</v>
      </c>
      <c r="AD121" s="147"/>
      <c r="AE121" s="189"/>
      <c r="AF121" s="189"/>
      <c r="AG121" s="189"/>
      <c r="AH121" s="190"/>
      <c r="AI121" s="100"/>
      <c r="AJ121" s="100"/>
    </row>
    <row r="122" spans="1:36" ht="60">
      <c r="A122" s="151">
        <v>26</v>
      </c>
      <c r="B122" s="152" t="s">
        <v>4641</v>
      </c>
      <c r="C122" s="144" t="s">
        <v>5708</v>
      </c>
      <c r="D122" s="145" t="s">
        <v>5709</v>
      </c>
      <c r="E122" s="146" t="s">
        <v>316</v>
      </c>
      <c r="F122" s="146" t="s">
        <v>259</v>
      </c>
      <c r="G122" s="146" t="s">
        <v>509</v>
      </c>
      <c r="H122" s="147">
        <v>8</v>
      </c>
      <c r="I122" s="147"/>
      <c r="J122" s="147"/>
      <c r="K122" s="189"/>
      <c r="L122" s="147"/>
      <c r="M122" s="189"/>
      <c r="N122" s="189"/>
      <c r="O122" s="189"/>
      <c r="P122" s="189"/>
      <c r="Q122" s="189">
        <v>1.33</v>
      </c>
      <c r="R122" s="189"/>
      <c r="S122" s="189"/>
      <c r="T122" s="189"/>
      <c r="U122" s="189"/>
      <c r="V122" s="189"/>
      <c r="W122" s="189"/>
      <c r="X122" s="189"/>
      <c r="Y122" s="189"/>
      <c r="Z122" s="189">
        <v>6.67</v>
      </c>
      <c r="AA122" s="189"/>
      <c r="AB122" s="189"/>
      <c r="AC122" s="189"/>
      <c r="AD122" s="147"/>
      <c r="AE122" s="189"/>
      <c r="AF122" s="189"/>
      <c r="AG122" s="189"/>
      <c r="AH122" s="190"/>
      <c r="AI122" s="100"/>
      <c r="AJ122" s="100"/>
    </row>
    <row r="123" spans="1:36" ht="60">
      <c r="A123" s="151">
        <v>27</v>
      </c>
      <c r="B123" s="152" t="s">
        <v>4603</v>
      </c>
      <c r="C123" s="144" t="s">
        <v>5710</v>
      </c>
      <c r="D123" s="145" t="s">
        <v>5327</v>
      </c>
      <c r="E123" s="146" t="s">
        <v>335</v>
      </c>
      <c r="F123" s="146" t="s">
        <v>259</v>
      </c>
      <c r="G123" s="146" t="s">
        <v>520</v>
      </c>
      <c r="H123" s="147">
        <v>5</v>
      </c>
      <c r="I123" s="147"/>
      <c r="J123" s="147"/>
      <c r="K123" s="189"/>
      <c r="L123" s="147"/>
      <c r="M123" s="189"/>
      <c r="N123" s="189"/>
      <c r="O123" s="189"/>
      <c r="P123" s="189"/>
      <c r="Q123" s="189">
        <v>0.83</v>
      </c>
      <c r="R123" s="189"/>
      <c r="S123" s="189"/>
      <c r="T123" s="189"/>
      <c r="U123" s="189"/>
      <c r="V123" s="189"/>
      <c r="W123" s="189"/>
      <c r="X123" s="189"/>
      <c r="Y123" s="189"/>
      <c r="Z123" s="189">
        <v>4.17</v>
      </c>
      <c r="AA123" s="189"/>
      <c r="AB123" s="189"/>
      <c r="AC123" s="189"/>
      <c r="AD123" s="147"/>
      <c r="AE123" s="189"/>
      <c r="AF123" s="189"/>
      <c r="AG123" s="189"/>
      <c r="AH123" s="190"/>
      <c r="AI123" s="100"/>
      <c r="AJ123" s="100"/>
    </row>
    <row r="124" spans="1:36" ht="150">
      <c r="A124" s="151">
        <v>28</v>
      </c>
      <c r="B124" s="152" t="s">
        <v>4701</v>
      </c>
      <c r="C124" s="144" t="s">
        <v>5711</v>
      </c>
      <c r="D124" s="145" t="s">
        <v>5332</v>
      </c>
      <c r="E124" s="146" t="s">
        <v>335</v>
      </c>
      <c r="F124" s="146" t="s">
        <v>271</v>
      </c>
      <c r="G124" s="146" t="s">
        <v>5001</v>
      </c>
      <c r="H124" s="147">
        <v>1.67</v>
      </c>
      <c r="I124" s="147"/>
      <c r="J124" s="147"/>
      <c r="K124" s="189"/>
      <c r="L124" s="147"/>
      <c r="M124" s="189"/>
      <c r="N124" s="189"/>
      <c r="O124" s="189"/>
      <c r="P124" s="189"/>
      <c r="Q124" s="189">
        <v>0.42</v>
      </c>
      <c r="R124" s="189"/>
      <c r="S124" s="189"/>
      <c r="T124" s="189">
        <v>0.83</v>
      </c>
      <c r="U124" s="189"/>
      <c r="V124" s="189"/>
      <c r="W124" s="189"/>
      <c r="X124" s="189"/>
      <c r="Y124" s="189"/>
      <c r="Z124" s="189"/>
      <c r="AA124" s="189"/>
      <c r="AB124" s="189"/>
      <c r="AC124" s="189">
        <v>0.42</v>
      </c>
      <c r="AD124" s="147"/>
      <c r="AE124" s="189"/>
      <c r="AF124" s="189"/>
      <c r="AG124" s="189"/>
      <c r="AH124" s="190"/>
      <c r="AI124" s="100"/>
      <c r="AJ124" s="100"/>
    </row>
    <row r="125" spans="1:36" ht="150">
      <c r="A125" s="151">
        <v>29</v>
      </c>
      <c r="B125" s="152" t="s">
        <v>4701</v>
      </c>
      <c r="C125" s="144" t="s">
        <v>5712</v>
      </c>
      <c r="D125" s="145" t="s">
        <v>5332</v>
      </c>
      <c r="E125" s="146" t="s">
        <v>66</v>
      </c>
      <c r="F125" s="146" t="s">
        <v>271</v>
      </c>
      <c r="G125" s="146" t="s">
        <v>531</v>
      </c>
      <c r="H125" s="147">
        <v>3.33</v>
      </c>
      <c r="I125" s="147"/>
      <c r="J125" s="147"/>
      <c r="K125" s="189"/>
      <c r="L125" s="147"/>
      <c r="M125" s="189"/>
      <c r="N125" s="189"/>
      <c r="O125" s="189"/>
      <c r="P125" s="189"/>
      <c r="Q125" s="189">
        <v>0.83</v>
      </c>
      <c r="R125" s="189"/>
      <c r="S125" s="189"/>
      <c r="T125" s="189">
        <v>1.67</v>
      </c>
      <c r="U125" s="189"/>
      <c r="V125" s="189"/>
      <c r="W125" s="189"/>
      <c r="X125" s="189"/>
      <c r="Y125" s="189"/>
      <c r="Z125" s="189"/>
      <c r="AA125" s="189"/>
      <c r="AB125" s="189"/>
      <c r="AC125" s="189">
        <v>0.83</v>
      </c>
      <c r="AD125" s="147"/>
      <c r="AE125" s="189"/>
      <c r="AF125" s="189"/>
      <c r="AG125" s="189"/>
      <c r="AH125" s="190"/>
      <c r="AI125" s="100"/>
      <c r="AJ125" s="100"/>
    </row>
    <row r="126" spans="1:36" ht="150">
      <c r="A126" s="151">
        <v>30</v>
      </c>
      <c r="B126" s="152" t="s">
        <v>4701</v>
      </c>
      <c r="C126" s="144" t="s">
        <v>5713</v>
      </c>
      <c r="D126" s="145" t="s">
        <v>5332</v>
      </c>
      <c r="E126" s="146" t="s">
        <v>66</v>
      </c>
      <c r="F126" s="146" t="s">
        <v>271</v>
      </c>
      <c r="G126" s="146" t="s">
        <v>531</v>
      </c>
      <c r="H126" s="147">
        <v>3.33</v>
      </c>
      <c r="I126" s="147"/>
      <c r="J126" s="147"/>
      <c r="K126" s="189"/>
      <c r="L126" s="147"/>
      <c r="M126" s="189"/>
      <c r="N126" s="189"/>
      <c r="O126" s="189"/>
      <c r="P126" s="189"/>
      <c r="Q126" s="189">
        <v>0.83</v>
      </c>
      <c r="R126" s="189"/>
      <c r="S126" s="189"/>
      <c r="T126" s="189">
        <v>1.67</v>
      </c>
      <c r="U126" s="189"/>
      <c r="V126" s="189"/>
      <c r="W126" s="189"/>
      <c r="X126" s="189"/>
      <c r="Y126" s="189"/>
      <c r="Z126" s="189"/>
      <c r="AA126" s="189"/>
      <c r="AB126" s="189"/>
      <c r="AC126" s="189">
        <v>0.83</v>
      </c>
      <c r="AD126" s="147"/>
      <c r="AE126" s="189"/>
      <c r="AF126" s="189"/>
      <c r="AG126" s="189"/>
      <c r="AH126" s="190"/>
      <c r="AI126" s="100"/>
      <c r="AJ126" s="100"/>
    </row>
    <row r="127" spans="1:36" ht="30">
      <c r="A127" s="151">
        <v>31</v>
      </c>
      <c r="B127" s="152" t="s">
        <v>4555</v>
      </c>
      <c r="C127" s="144" t="s">
        <v>5718</v>
      </c>
      <c r="D127" s="145" t="s">
        <v>5719</v>
      </c>
      <c r="E127" s="146" t="s">
        <v>316</v>
      </c>
      <c r="F127" s="146" t="s">
        <v>259</v>
      </c>
      <c r="G127" s="146" t="s">
        <v>520</v>
      </c>
      <c r="H127" s="147">
        <v>7.34</v>
      </c>
      <c r="I127" s="147"/>
      <c r="J127" s="147"/>
      <c r="K127" s="189"/>
      <c r="L127" s="147"/>
      <c r="M127" s="189"/>
      <c r="N127" s="189"/>
      <c r="O127" s="189"/>
      <c r="P127" s="189"/>
      <c r="Q127" s="189">
        <v>0.67</v>
      </c>
      <c r="R127" s="189"/>
      <c r="S127" s="189"/>
      <c r="T127" s="189"/>
      <c r="U127" s="189"/>
      <c r="V127" s="189"/>
      <c r="W127" s="189"/>
      <c r="X127" s="189"/>
      <c r="Y127" s="189"/>
      <c r="Z127" s="189">
        <v>6.67</v>
      </c>
      <c r="AA127" s="189"/>
      <c r="AB127" s="189"/>
      <c r="AC127" s="189"/>
      <c r="AD127" s="147"/>
      <c r="AE127" s="189"/>
      <c r="AF127" s="189"/>
      <c r="AG127" s="189"/>
      <c r="AH127" s="190"/>
      <c r="AI127" s="100"/>
      <c r="AJ127" s="100"/>
    </row>
    <row r="128" spans="1:36" ht="75">
      <c r="A128" s="151">
        <v>32</v>
      </c>
      <c r="B128" s="152" t="s">
        <v>4725</v>
      </c>
      <c r="C128" s="144" t="s">
        <v>5722</v>
      </c>
      <c r="D128" s="145" t="s">
        <v>5723</v>
      </c>
      <c r="E128" s="146" t="s">
        <v>5225</v>
      </c>
      <c r="F128" s="146" t="s">
        <v>262</v>
      </c>
      <c r="G128" s="146" t="s">
        <v>262</v>
      </c>
      <c r="H128" s="147">
        <v>93.33</v>
      </c>
      <c r="I128" s="147"/>
      <c r="J128" s="147"/>
      <c r="K128" s="189"/>
      <c r="L128" s="147"/>
      <c r="M128" s="189"/>
      <c r="N128" s="189"/>
      <c r="O128" s="189"/>
      <c r="P128" s="189"/>
      <c r="Q128" s="189"/>
      <c r="R128" s="189"/>
      <c r="S128" s="189"/>
      <c r="T128" s="189">
        <v>93.33</v>
      </c>
      <c r="U128" s="189"/>
      <c r="V128" s="189"/>
      <c r="W128" s="189"/>
      <c r="X128" s="189"/>
      <c r="Y128" s="189"/>
      <c r="Z128" s="189"/>
      <c r="AA128" s="189"/>
      <c r="AB128" s="189"/>
      <c r="AC128" s="189"/>
      <c r="AD128" s="147"/>
      <c r="AE128" s="189"/>
      <c r="AF128" s="189"/>
      <c r="AG128" s="189"/>
      <c r="AH128" s="190"/>
      <c r="AI128" s="100"/>
      <c r="AJ128" s="100"/>
    </row>
    <row r="129" spans="1:36" ht="30">
      <c r="A129" s="151">
        <v>33</v>
      </c>
      <c r="B129" s="152" t="s">
        <v>79</v>
      </c>
      <c r="C129" s="144" t="s">
        <v>5724</v>
      </c>
      <c r="D129" s="145" t="s">
        <v>5725</v>
      </c>
      <c r="E129" s="146" t="s">
        <v>306</v>
      </c>
      <c r="F129" s="146" t="s">
        <v>259</v>
      </c>
      <c r="G129" s="146" t="s">
        <v>262</v>
      </c>
      <c r="H129" s="147">
        <v>29.75</v>
      </c>
      <c r="I129" s="147"/>
      <c r="J129" s="147"/>
      <c r="K129" s="189"/>
      <c r="L129" s="147"/>
      <c r="M129" s="189"/>
      <c r="N129" s="189"/>
      <c r="O129" s="189"/>
      <c r="P129" s="189"/>
      <c r="Q129" s="189">
        <v>2.75</v>
      </c>
      <c r="R129" s="189">
        <v>0.5</v>
      </c>
      <c r="S129" s="189"/>
      <c r="T129" s="189">
        <v>26.5</v>
      </c>
      <c r="U129" s="189"/>
      <c r="V129" s="189"/>
      <c r="W129" s="189"/>
      <c r="X129" s="189"/>
      <c r="Y129" s="189"/>
      <c r="Z129" s="189"/>
      <c r="AA129" s="189"/>
      <c r="AB129" s="189"/>
      <c r="AC129" s="189"/>
      <c r="AD129" s="147"/>
      <c r="AE129" s="189"/>
      <c r="AF129" s="189"/>
      <c r="AG129" s="189"/>
      <c r="AH129" s="190"/>
      <c r="AI129" s="100"/>
      <c r="AJ129" s="100"/>
    </row>
    <row r="130" spans="1:36" ht="30">
      <c r="A130" s="151">
        <v>34</v>
      </c>
      <c r="B130" s="152" t="s">
        <v>79</v>
      </c>
      <c r="C130" s="144" t="s">
        <v>5726</v>
      </c>
      <c r="D130" s="145" t="s">
        <v>5725</v>
      </c>
      <c r="E130" s="146" t="s">
        <v>306</v>
      </c>
      <c r="F130" s="146" t="s">
        <v>259</v>
      </c>
      <c r="G130" s="146" t="s">
        <v>262</v>
      </c>
      <c r="H130" s="147">
        <v>29.75</v>
      </c>
      <c r="I130" s="147"/>
      <c r="J130" s="147"/>
      <c r="K130" s="189"/>
      <c r="L130" s="147"/>
      <c r="M130" s="189"/>
      <c r="N130" s="189"/>
      <c r="O130" s="189"/>
      <c r="P130" s="189"/>
      <c r="Q130" s="189">
        <v>2.75</v>
      </c>
      <c r="R130" s="189">
        <v>0.5</v>
      </c>
      <c r="S130" s="189"/>
      <c r="T130" s="189">
        <v>26.5</v>
      </c>
      <c r="U130" s="189"/>
      <c r="V130" s="189"/>
      <c r="W130" s="189"/>
      <c r="X130" s="189"/>
      <c r="Y130" s="189"/>
      <c r="Z130" s="189"/>
      <c r="AA130" s="189"/>
      <c r="AB130" s="189"/>
      <c r="AC130" s="189"/>
      <c r="AD130" s="147"/>
      <c r="AE130" s="189"/>
      <c r="AF130" s="189"/>
      <c r="AG130" s="189"/>
      <c r="AH130" s="190"/>
      <c r="AI130" s="100"/>
      <c r="AJ130" s="100"/>
    </row>
    <row r="131" spans="1:36" ht="75">
      <c r="A131" s="151">
        <v>35</v>
      </c>
      <c r="B131" s="152" t="s">
        <v>4654</v>
      </c>
      <c r="C131" s="144" t="s">
        <v>5729</v>
      </c>
      <c r="D131" s="145" t="s">
        <v>524</v>
      </c>
      <c r="E131" s="146" t="s">
        <v>306</v>
      </c>
      <c r="F131" s="146" t="s">
        <v>251</v>
      </c>
      <c r="G131" s="146" t="s">
        <v>520</v>
      </c>
      <c r="H131" s="147">
        <v>18.79</v>
      </c>
      <c r="I131" s="147">
        <v>0.25</v>
      </c>
      <c r="J131" s="147">
        <v>1.5</v>
      </c>
      <c r="K131" s="189">
        <v>11</v>
      </c>
      <c r="L131" s="147">
        <v>2.5299999999999998</v>
      </c>
      <c r="M131" s="189"/>
      <c r="N131" s="189"/>
      <c r="O131" s="189"/>
      <c r="P131" s="189"/>
      <c r="Q131" s="189"/>
      <c r="R131" s="189"/>
      <c r="S131" s="189"/>
      <c r="T131" s="189"/>
      <c r="U131" s="189"/>
      <c r="V131" s="189"/>
      <c r="W131" s="189"/>
      <c r="X131" s="189"/>
      <c r="Y131" s="189"/>
      <c r="Z131" s="189"/>
      <c r="AA131" s="189"/>
      <c r="AB131" s="189"/>
      <c r="AC131" s="189"/>
      <c r="AD131" s="147">
        <v>3.51</v>
      </c>
      <c r="AE131" s="189"/>
      <c r="AF131" s="189"/>
      <c r="AG131" s="189"/>
      <c r="AH131" s="190"/>
      <c r="AI131" s="100"/>
      <c r="AJ131" s="100"/>
    </row>
    <row r="132" spans="1:36" ht="45">
      <c r="A132" s="151">
        <v>36</v>
      </c>
      <c r="B132" s="152" t="s">
        <v>4633</v>
      </c>
      <c r="C132" s="144" t="s">
        <v>5730</v>
      </c>
      <c r="D132" s="145" t="s">
        <v>5261</v>
      </c>
      <c r="E132" s="146" t="s">
        <v>316</v>
      </c>
      <c r="F132" s="146" t="s">
        <v>251</v>
      </c>
      <c r="G132" s="146" t="s">
        <v>520</v>
      </c>
      <c r="H132" s="147">
        <v>15.66</v>
      </c>
      <c r="I132" s="147">
        <v>2.67</v>
      </c>
      <c r="J132" s="147">
        <v>0.67</v>
      </c>
      <c r="K132" s="189">
        <v>5.33</v>
      </c>
      <c r="L132" s="147">
        <v>2</v>
      </c>
      <c r="M132" s="189"/>
      <c r="N132" s="189"/>
      <c r="O132" s="189"/>
      <c r="P132" s="189"/>
      <c r="Q132" s="189"/>
      <c r="R132" s="189"/>
      <c r="S132" s="189"/>
      <c r="T132" s="189"/>
      <c r="U132" s="189"/>
      <c r="V132" s="189"/>
      <c r="W132" s="189"/>
      <c r="X132" s="189"/>
      <c r="Y132" s="189"/>
      <c r="Z132" s="189"/>
      <c r="AA132" s="189"/>
      <c r="AB132" s="189"/>
      <c r="AC132" s="189"/>
      <c r="AD132" s="147">
        <v>4.99</v>
      </c>
      <c r="AE132" s="189"/>
      <c r="AF132" s="189"/>
      <c r="AG132" s="189"/>
      <c r="AH132" s="190"/>
      <c r="AI132" s="100"/>
      <c r="AJ132" s="100"/>
    </row>
    <row r="133" spans="1:36" ht="60">
      <c r="A133" s="151">
        <v>37</v>
      </c>
      <c r="B133" s="152" t="s">
        <v>4641</v>
      </c>
      <c r="C133" s="144" t="s">
        <v>5732</v>
      </c>
      <c r="D133" s="145" t="s">
        <v>5733</v>
      </c>
      <c r="E133" s="146" t="s">
        <v>436</v>
      </c>
      <c r="F133" s="146" t="s">
        <v>271</v>
      </c>
      <c r="G133" s="146" t="s">
        <v>509</v>
      </c>
      <c r="H133" s="147">
        <v>7</v>
      </c>
      <c r="I133" s="147"/>
      <c r="J133" s="147"/>
      <c r="K133" s="189"/>
      <c r="L133" s="147"/>
      <c r="M133" s="189"/>
      <c r="N133" s="189"/>
      <c r="O133" s="189"/>
      <c r="P133" s="189"/>
      <c r="Q133" s="189"/>
      <c r="R133" s="189"/>
      <c r="S133" s="189"/>
      <c r="T133" s="189">
        <v>6</v>
      </c>
      <c r="U133" s="189"/>
      <c r="V133" s="189"/>
      <c r="W133" s="189"/>
      <c r="X133" s="189"/>
      <c r="Y133" s="189"/>
      <c r="Z133" s="189"/>
      <c r="AA133" s="189"/>
      <c r="AB133" s="189"/>
      <c r="AC133" s="189">
        <v>1</v>
      </c>
      <c r="AD133" s="147"/>
      <c r="AE133" s="189"/>
      <c r="AF133" s="189"/>
      <c r="AG133" s="189"/>
      <c r="AH133" s="190"/>
      <c r="AI133" s="100"/>
      <c r="AJ133" s="100"/>
    </row>
    <row r="134" spans="1:36" ht="60">
      <c r="A134" s="151">
        <v>38</v>
      </c>
      <c r="B134" s="152" t="s">
        <v>4641</v>
      </c>
      <c r="C134" s="144" t="s">
        <v>5734</v>
      </c>
      <c r="D134" s="145" t="s">
        <v>5733</v>
      </c>
      <c r="E134" s="146" t="s">
        <v>436</v>
      </c>
      <c r="F134" s="146" t="s">
        <v>271</v>
      </c>
      <c r="G134" s="146" t="s">
        <v>509</v>
      </c>
      <c r="H134" s="147">
        <v>7</v>
      </c>
      <c r="I134" s="147"/>
      <c r="J134" s="147"/>
      <c r="K134" s="189"/>
      <c r="L134" s="147"/>
      <c r="M134" s="189"/>
      <c r="N134" s="189"/>
      <c r="O134" s="189"/>
      <c r="P134" s="189"/>
      <c r="Q134" s="189"/>
      <c r="R134" s="189"/>
      <c r="S134" s="189"/>
      <c r="T134" s="189">
        <v>6</v>
      </c>
      <c r="U134" s="189"/>
      <c r="V134" s="189"/>
      <c r="W134" s="189"/>
      <c r="X134" s="189"/>
      <c r="Y134" s="189"/>
      <c r="Z134" s="189"/>
      <c r="AA134" s="189"/>
      <c r="AB134" s="189"/>
      <c r="AC134" s="189">
        <v>1</v>
      </c>
      <c r="AD134" s="147"/>
      <c r="AE134" s="189"/>
      <c r="AF134" s="189"/>
      <c r="AG134" s="189"/>
      <c r="AH134" s="190"/>
      <c r="AI134" s="100"/>
      <c r="AJ134" s="100"/>
    </row>
    <row r="135" spans="1:36" ht="30">
      <c r="A135" s="151">
        <v>39</v>
      </c>
      <c r="B135" s="152" t="s">
        <v>4636</v>
      </c>
      <c r="C135" s="144" t="s">
        <v>5735</v>
      </c>
      <c r="D135" s="145" t="s">
        <v>5736</v>
      </c>
      <c r="E135" s="146" t="s">
        <v>349</v>
      </c>
      <c r="F135" s="146" t="s">
        <v>259</v>
      </c>
      <c r="G135" s="146" t="s">
        <v>520</v>
      </c>
      <c r="H135" s="147">
        <v>12</v>
      </c>
      <c r="I135" s="147"/>
      <c r="J135" s="147"/>
      <c r="K135" s="189"/>
      <c r="L135" s="147"/>
      <c r="M135" s="189"/>
      <c r="N135" s="189"/>
      <c r="O135" s="189"/>
      <c r="P135" s="189"/>
      <c r="Q135" s="189">
        <v>2</v>
      </c>
      <c r="R135" s="189"/>
      <c r="S135" s="189"/>
      <c r="T135" s="189"/>
      <c r="U135" s="189"/>
      <c r="V135" s="189"/>
      <c r="W135" s="189"/>
      <c r="X135" s="189"/>
      <c r="Y135" s="189"/>
      <c r="Z135" s="189">
        <v>10</v>
      </c>
      <c r="AA135" s="189"/>
      <c r="AB135" s="189"/>
      <c r="AC135" s="189"/>
      <c r="AD135" s="147"/>
      <c r="AE135" s="189"/>
      <c r="AF135" s="189"/>
      <c r="AG135" s="189"/>
      <c r="AH135" s="190"/>
      <c r="AI135" s="100"/>
      <c r="AJ135" s="100"/>
    </row>
    <row r="136" spans="1:36" ht="60">
      <c r="A136" s="151">
        <v>40</v>
      </c>
      <c r="B136" s="152" t="s">
        <v>4641</v>
      </c>
      <c r="C136" s="144" t="s">
        <v>5737</v>
      </c>
      <c r="D136" s="145" t="s">
        <v>5709</v>
      </c>
      <c r="E136" s="146" t="s">
        <v>316</v>
      </c>
      <c r="F136" s="146" t="s">
        <v>259</v>
      </c>
      <c r="G136" s="146" t="s">
        <v>509</v>
      </c>
      <c r="H136" s="147">
        <v>8</v>
      </c>
      <c r="I136" s="147"/>
      <c r="J136" s="147"/>
      <c r="K136" s="189"/>
      <c r="L136" s="147"/>
      <c r="M136" s="189"/>
      <c r="N136" s="189"/>
      <c r="O136" s="189"/>
      <c r="P136" s="189"/>
      <c r="Q136" s="189">
        <v>1.33</v>
      </c>
      <c r="R136" s="189"/>
      <c r="S136" s="189"/>
      <c r="T136" s="189"/>
      <c r="U136" s="189"/>
      <c r="V136" s="189"/>
      <c r="W136" s="189"/>
      <c r="X136" s="189"/>
      <c r="Y136" s="189"/>
      <c r="Z136" s="189">
        <v>6.67</v>
      </c>
      <c r="AA136" s="189"/>
      <c r="AB136" s="189"/>
      <c r="AC136" s="189"/>
      <c r="AD136" s="147"/>
      <c r="AE136" s="189"/>
      <c r="AF136" s="189"/>
      <c r="AG136" s="189"/>
      <c r="AH136" s="190"/>
      <c r="AI136" s="100"/>
      <c r="AJ136" s="100"/>
    </row>
    <row r="137" spans="1:36" ht="60">
      <c r="A137" s="151">
        <v>41</v>
      </c>
      <c r="B137" s="152" t="s">
        <v>4608</v>
      </c>
      <c r="C137" s="144" t="s">
        <v>5751</v>
      </c>
      <c r="D137" s="145" t="s">
        <v>5750</v>
      </c>
      <c r="E137" s="146" t="s">
        <v>68</v>
      </c>
      <c r="F137" s="146" t="s">
        <v>251</v>
      </c>
      <c r="G137" s="146" t="s">
        <v>262</v>
      </c>
      <c r="H137" s="147">
        <v>140</v>
      </c>
      <c r="I137" s="147">
        <v>12.5</v>
      </c>
      <c r="J137" s="147"/>
      <c r="K137" s="189"/>
      <c r="L137" s="147">
        <v>30</v>
      </c>
      <c r="M137" s="189"/>
      <c r="N137" s="189"/>
      <c r="O137" s="189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  <c r="AA137" s="189"/>
      <c r="AB137" s="189"/>
      <c r="AC137" s="189"/>
      <c r="AD137" s="147">
        <v>97.5</v>
      </c>
      <c r="AE137" s="189"/>
      <c r="AF137" s="189"/>
      <c r="AG137" s="189"/>
      <c r="AH137" s="190"/>
      <c r="AI137" s="100"/>
      <c r="AJ137" s="100"/>
    </row>
    <row r="138" spans="1:36" ht="60">
      <c r="A138" s="151">
        <v>42</v>
      </c>
      <c r="B138" s="152" t="s">
        <v>4608</v>
      </c>
      <c r="C138" s="144" t="s">
        <v>5754</v>
      </c>
      <c r="D138" s="145" t="s">
        <v>5750</v>
      </c>
      <c r="E138" s="146" t="s">
        <v>5753</v>
      </c>
      <c r="F138" s="146" t="s">
        <v>251</v>
      </c>
      <c r="G138" s="146" t="s">
        <v>262</v>
      </c>
      <c r="H138" s="147">
        <v>247.33</v>
      </c>
      <c r="I138" s="147">
        <v>22.08</v>
      </c>
      <c r="J138" s="147"/>
      <c r="K138" s="189"/>
      <c r="L138" s="147">
        <v>53</v>
      </c>
      <c r="M138" s="189"/>
      <c r="N138" s="189"/>
      <c r="O138" s="189"/>
      <c r="P138" s="189"/>
      <c r="Q138" s="189"/>
      <c r="R138" s="189"/>
      <c r="S138" s="189"/>
      <c r="T138" s="189"/>
      <c r="U138" s="189"/>
      <c r="V138" s="189"/>
      <c r="W138" s="189"/>
      <c r="X138" s="189"/>
      <c r="Y138" s="189"/>
      <c r="Z138" s="189"/>
      <c r="AA138" s="189"/>
      <c r="AB138" s="189"/>
      <c r="AC138" s="189"/>
      <c r="AD138" s="147">
        <v>172.25</v>
      </c>
      <c r="AE138" s="189"/>
      <c r="AF138" s="189"/>
      <c r="AG138" s="189"/>
      <c r="AH138" s="190"/>
      <c r="AI138" s="100"/>
      <c r="AJ138" s="100"/>
    </row>
    <row r="139" spans="1:36" ht="30">
      <c r="A139" s="151">
        <v>43</v>
      </c>
      <c r="B139" s="152" t="s">
        <v>4556</v>
      </c>
      <c r="C139" s="144" t="s">
        <v>5785</v>
      </c>
      <c r="D139" s="145" t="s">
        <v>5649</v>
      </c>
      <c r="E139" s="146" t="s">
        <v>5786</v>
      </c>
      <c r="F139" s="146" t="s">
        <v>274</v>
      </c>
      <c r="G139" s="146" t="s">
        <v>523</v>
      </c>
      <c r="H139" s="147">
        <v>270.83999999999997</v>
      </c>
      <c r="I139" s="147"/>
      <c r="J139" s="147">
        <v>54.17</v>
      </c>
      <c r="K139" s="189"/>
      <c r="L139" s="147"/>
      <c r="M139" s="189"/>
      <c r="N139" s="189"/>
      <c r="O139" s="189"/>
      <c r="P139" s="189"/>
      <c r="Q139" s="189"/>
      <c r="R139" s="189"/>
      <c r="S139" s="189"/>
      <c r="T139" s="189"/>
      <c r="U139" s="189"/>
      <c r="V139" s="189"/>
      <c r="W139" s="189"/>
      <c r="X139" s="189"/>
      <c r="Y139" s="189"/>
      <c r="Z139" s="189"/>
      <c r="AA139" s="189"/>
      <c r="AB139" s="189"/>
      <c r="AC139" s="189"/>
      <c r="AD139" s="147"/>
      <c r="AE139" s="189"/>
      <c r="AF139" s="189">
        <v>216.67</v>
      </c>
      <c r="AG139" s="189"/>
      <c r="AH139" s="190"/>
      <c r="AI139" s="100"/>
      <c r="AJ139" s="100"/>
    </row>
    <row r="140" spans="1:36" ht="60">
      <c r="A140" s="151">
        <v>44</v>
      </c>
      <c r="B140" s="152" t="s">
        <v>4641</v>
      </c>
      <c r="C140" s="144" t="s">
        <v>5787</v>
      </c>
      <c r="D140" s="145" t="s">
        <v>5221</v>
      </c>
      <c r="E140" s="146" t="s">
        <v>335</v>
      </c>
      <c r="F140" s="146" t="s">
        <v>251</v>
      </c>
      <c r="G140" s="146" t="s">
        <v>520</v>
      </c>
      <c r="H140" s="147">
        <v>13.83</v>
      </c>
      <c r="I140" s="147">
        <v>0.04</v>
      </c>
      <c r="J140" s="147">
        <v>0.83</v>
      </c>
      <c r="K140" s="189"/>
      <c r="L140" s="147">
        <v>2.54</v>
      </c>
      <c r="M140" s="189"/>
      <c r="N140" s="189"/>
      <c r="O140" s="189"/>
      <c r="P140" s="189"/>
      <c r="Q140" s="189"/>
      <c r="R140" s="189"/>
      <c r="S140" s="189"/>
      <c r="T140" s="189"/>
      <c r="U140" s="189"/>
      <c r="V140" s="189"/>
      <c r="W140" s="189"/>
      <c r="X140" s="189"/>
      <c r="Y140" s="189"/>
      <c r="Z140" s="189"/>
      <c r="AA140" s="189"/>
      <c r="AB140" s="189"/>
      <c r="AC140" s="189"/>
      <c r="AD140" s="147">
        <v>10.42</v>
      </c>
      <c r="AE140" s="189"/>
      <c r="AF140" s="189"/>
      <c r="AG140" s="189"/>
      <c r="AH140" s="190"/>
      <c r="AI140" s="100"/>
      <c r="AJ140" s="100"/>
    </row>
    <row r="141" spans="1:36" ht="60">
      <c r="A141" s="151">
        <v>45</v>
      </c>
      <c r="B141" s="152" t="s">
        <v>4641</v>
      </c>
      <c r="C141" s="144" t="s">
        <v>5790</v>
      </c>
      <c r="D141" s="145" t="s">
        <v>5269</v>
      </c>
      <c r="E141" s="146" t="s">
        <v>316</v>
      </c>
      <c r="F141" s="146" t="s">
        <v>271</v>
      </c>
      <c r="G141" s="146" t="s">
        <v>509</v>
      </c>
      <c r="H141" s="147">
        <v>4.33</v>
      </c>
      <c r="I141" s="147"/>
      <c r="J141" s="147"/>
      <c r="K141" s="189"/>
      <c r="L141" s="147"/>
      <c r="M141" s="189"/>
      <c r="N141" s="189"/>
      <c r="O141" s="189"/>
      <c r="P141" s="189"/>
      <c r="Q141" s="189"/>
      <c r="R141" s="189"/>
      <c r="S141" s="189"/>
      <c r="T141" s="189">
        <v>4</v>
      </c>
      <c r="U141" s="189"/>
      <c r="V141" s="189"/>
      <c r="W141" s="189"/>
      <c r="X141" s="189"/>
      <c r="Y141" s="189"/>
      <c r="Z141" s="189"/>
      <c r="AA141" s="189"/>
      <c r="AB141" s="189"/>
      <c r="AC141" s="189">
        <v>0.33</v>
      </c>
      <c r="AD141" s="147"/>
      <c r="AE141" s="189"/>
      <c r="AF141" s="189"/>
      <c r="AG141" s="189"/>
      <c r="AH141" s="190"/>
      <c r="AI141" s="100"/>
      <c r="AJ141" s="100"/>
    </row>
    <row r="142" spans="1:36" ht="30">
      <c r="A142" s="151">
        <v>46</v>
      </c>
      <c r="B142" s="152" t="s">
        <v>4552</v>
      </c>
      <c r="C142" s="144" t="s">
        <v>5800</v>
      </c>
      <c r="D142" s="145" t="s">
        <v>5801</v>
      </c>
      <c r="E142" s="146" t="s">
        <v>296</v>
      </c>
      <c r="F142" s="146" t="s">
        <v>251</v>
      </c>
      <c r="G142" s="146" t="s">
        <v>262</v>
      </c>
      <c r="H142" s="147">
        <v>8.68</v>
      </c>
      <c r="I142" s="147">
        <v>0.17</v>
      </c>
      <c r="J142" s="147">
        <v>0.67</v>
      </c>
      <c r="K142" s="189">
        <v>6.67</v>
      </c>
      <c r="L142" s="147">
        <v>1.17</v>
      </c>
      <c r="M142" s="189"/>
      <c r="N142" s="189"/>
      <c r="O142" s="189"/>
      <c r="P142" s="189"/>
      <c r="Q142" s="189"/>
      <c r="R142" s="189"/>
      <c r="S142" s="189"/>
      <c r="T142" s="189"/>
      <c r="U142" s="189"/>
      <c r="V142" s="189"/>
      <c r="W142" s="189"/>
      <c r="X142" s="189"/>
      <c r="Y142" s="189"/>
      <c r="Z142" s="189"/>
      <c r="AA142" s="189"/>
      <c r="AB142" s="189"/>
      <c r="AC142" s="189"/>
      <c r="AD142" s="147"/>
      <c r="AE142" s="189"/>
      <c r="AF142" s="189"/>
      <c r="AG142" s="189"/>
      <c r="AH142" s="190"/>
      <c r="AI142" s="100"/>
      <c r="AJ142" s="100"/>
    </row>
    <row r="143" spans="1:36" ht="30">
      <c r="A143" s="151">
        <v>47</v>
      </c>
      <c r="B143" s="152" t="s">
        <v>4552</v>
      </c>
      <c r="C143" s="144" t="s">
        <v>5802</v>
      </c>
      <c r="D143" s="145" t="s">
        <v>530</v>
      </c>
      <c r="E143" s="146" t="s">
        <v>306</v>
      </c>
      <c r="F143" s="146" t="s">
        <v>251</v>
      </c>
      <c r="G143" s="146" t="s">
        <v>262</v>
      </c>
      <c r="H143" s="147">
        <v>9.1</v>
      </c>
      <c r="I143" s="147">
        <v>0.05</v>
      </c>
      <c r="J143" s="147">
        <v>1</v>
      </c>
      <c r="K143" s="189">
        <v>7</v>
      </c>
      <c r="L143" s="147">
        <v>1.05</v>
      </c>
      <c r="M143" s="189"/>
      <c r="N143" s="189"/>
      <c r="O143" s="189"/>
      <c r="P143" s="189"/>
      <c r="Q143" s="189"/>
      <c r="R143" s="189"/>
      <c r="S143" s="189"/>
      <c r="T143" s="189"/>
      <c r="U143" s="189"/>
      <c r="V143" s="189"/>
      <c r="W143" s="189"/>
      <c r="X143" s="189"/>
      <c r="Y143" s="189"/>
      <c r="Z143" s="189"/>
      <c r="AA143" s="189"/>
      <c r="AB143" s="189"/>
      <c r="AC143" s="189"/>
      <c r="AD143" s="147"/>
      <c r="AE143" s="189"/>
      <c r="AF143" s="189"/>
      <c r="AG143" s="189"/>
      <c r="AH143" s="190"/>
      <c r="AI143" s="100"/>
      <c r="AJ143" s="100"/>
    </row>
    <row r="144" spans="1:36" ht="45">
      <c r="A144" s="151">
        <v>48</v>
      </c>
      <c r="B144" s="152" t="s">
        <v>4552</v>
      </c>
      <c r="C144" s="144" t="s">
        <v>5803</v>
      </c>
      <c r="D144" s="145" t="s">
        <v>5804</v>
      </c>
      <c r="E144" s="146" t="s">
        <v>5805</v>
      </c>
      <c r="F144" s="146" t="s">
        <v>274</v>
      </c>
      <c r="G144" s="146" t="s">
        <v>262</v>
      </c>
      <c r="H144" s="147">
        <v>18.66</v>
      </c>
      <c r="I144" s="147"/>
      <c r="J144" s="147">
        <v>9.33</v>
      </c>
      <c r="K144" s="189"/>
      <c r="L144" s="147">
        <v>3.73</v>
      </c>
      <c r="M144" s="189"/>
      <c r="N144" s="189"/>
      <c r="O144" s="189"/>
      <c r="P144" s="189"/>
      <c r="Q144" s="189"/>
      <c r="R144" s="189"/>
      <c r="S144" s="189"/>
      <c r="T144" s="189"/>
      <c r="U144" s="189"/>
      <c r="V144" s="189"/>
      <c r="W144" s="189"/>
      <c r="X144" s="189"/>
      <c r="Y144" s="189"/>
      <c r="Z144" s="189"/>
      <c r="AA144" s="189"/>
      <c r="AB144" s="189"/>
      <c r="AC144" s="189"/>
      <c r="AD144" s="147"/>
      <c r="AE144" s="189"/>
      <c r="AF144" s="189">
        <v>5.6</v>
      </c>
      <c r="AG144" s="189"/>
      <c r="AH144" s="190"/>
      <c r="AI144" s="100"/>
      <c r="AJ144" s="100"/>
    </row>
    <row r="145" spans="1:36" ht="45">
      <c r="A145" s="151">
        <v>49</v>
      </c>
      <c r="B145" s="152" t="s">
        <v>4552</v>
      </c>
      <c r="C145" s="144" t="s">
        <v>5806</v>
      </c>
      <c r="D145" s="145" t="s">
        <v>5807</v>
      </c>
      <c r="E145" s="146" t="s">
        <v>470</v>
      </c>
      <c r="F145" s="146" t="s">
        <v>274</v>
      </c>
      <c r="G145" s="146" t="s">
        <v>262</v>
      </c>
      <c r="H145" s="147">
        <v>11.66</v>
      </c>
      <c r="I145" s="147"/>
      <c r="J145" s="147">
        <v>5.83</v>
      </c>
      <c r="K145" s="189"/>
      <c r="L145" s="147"/>
      <c r="M145" s="189"/>
      <c r="N145" s="189"/>
      <c r="O145" s="189"/>
      <c r="P145" s="189"/>
      <c r="Q145" s="189"/>
      <c r="R145" s="189"/>
      <c r="S145" s="189"/>
      <c r="T145" s="189"/>
      <c r="U145" s="189"/>
      <c r="V145" s="189"/>
      <c r="W145" s="189"/>
      <c r="X145" s="189"/>
      <c r="Y145" s="189"/>
      <c r="Z145" s="189"/>
      <c r="AA145" s="189"/>
      <c r="AB145" s="189"/>
      <c r="AC145" s="189"/>
      <c r="AD145" s="147"/>
      <c r="AE145" s="189"/>
      <c r="AF145" s="189">
        <v>5.83</v>
      </c>
      <c r="AG145" s="189"/>
      <c r="AH145" s="190"/>
      <c r="AI145" s="100"/>
      <c r="AJ145" s="100"/>
    </row>
    <row r="146" spans="1:36" ht="30">
      <c r="A146" s="151">
        <v>50</v>
      </c>
      <c r="B146" s="152" t="s">
        <v>4552</v>
      </c>
      <c r="C146" s="144" t="s">
        <v>5808</v>
      </c>
      <c r="D146" s="145" t="s">
        <v>533</v>
      </c>
      <c r="E146" s="146" t="s">
        <v>306</v>
      </c>
      <c r="F146" s="146" t="s">
        <v>251</v>
      </c>
      <c r="G146" s="146" t="s">
        <v>262</v>
      </c>
      <c r="H146" s="147">
        <v>8.5</v>
      </c>
      <c r="I146" s="147">
        <v>0.25</v>
      </c>
      <c r="J146" s="147">
        <v>1</v>
      </c>
      <c r="K146" s="189">
        <v>6</v>
      </c>
      <c r="L146" s="147">
        <v>1.25</v>
      </c>
      <c r="M146" s="189"/>
      <c r="N146" s="189"/>
      <c r="O146" s="189"/>
      <c r="P146" s="189"/>
      <c r="Q146" s="189"/>
      <c r="R146" s="189"/>
      <c r="S146" s="189"/>
      <c r="T146" s="189"/>
      <c r="U146" s="189"/>
      <c r="V146" s="189"/>
      <c r="W146" s="189"/>
      <c r="X146" s="189"/>
      <c r="Y146" s="189"/>
      <c r="Z146" s="189"/>
      <c r="AA146" s="189"/>
      <c r="AB146" s="189"/>
      <c r="AC146" s="189"/>
      <c r="AD146" s="147"/>
      <c r="AE146" s="189"/>
      <c r="AF146" s="189"/>
      <c r="AG146" s="189"/>
      <c r="AH146" s="190"/>
      <c r="AI146" s="100"/>
      <c r="AJ146" s="100"/>
    </row>
    <row r="147" spans="1:36" ht="30">
      <c r="A147" s="151">
        <v>51</v>
      </c>
      <c r="B147" s="152" t="s">
        <v>4559</v>
      </c>
      <c r="C147" s="144" t="s">
        <v>5973</v>
      </c>
      <c r="D147" s="145" t="s">
        <v>5974</v>
      </c>
      <c r="E147" s="146" t="s">
        <v>335</v>
      </c>
      <c r="F147" s="146" t="s">
        <v>251</v>
      </c>
      <c r="G147" s="146" t="s">
        <v>254</v>
      </c>
      <c r="H147" s="147">
        <v>25.42</v>
      </c>
      <c r="I147" s="147">
        <v>0.42</v>
      </c>
      <c r="J147" s="147">
        <v>0.83</v>
      </c>
      <c r="K147" s="189">
        <v>5</v>
      </c>
      <c r="L147" s="147">
        <v>12.09</v>
      </c>
      <c r="M147" s="189"/>
      <c r="N147" s="189"/>
      <c r="O147" s="189"/>
      <c r="P147" s="189"/>
      <c r="Q147" s="189"/>
      <c r="R147" s="189"/>
      <c r="S147" s="189"/>
      <c r="T147" s="189"/>
      <c r="U147" s="189"/>
      <c r="V147" s="189"/>
      <c r="W147" s="189"/>
      <c r="X147" s="189"/>
      <c r="Y147" s="189"/>
      <c r="Z147" s="189"/>
      <c r="AA147" s="189"/>
      <c r="AB147" s="189"/>
      <c r="AC147" s="189"/>
      <c r="AD147" s="147">
        <v>7.08</v>
      </c>
      <c r="AE147" s="189"/>
      <c r="AF147" s="189"/>
      <c r="AG147" s="189"/>
      <c r="AH147" s="190"/>
      <c r="AI147" s="100"/>
      <c r="AJ147" s="100"/>
    </row>
    <row r="148" spans="1:36" ht="30">
      <c r="A148" s="151">
        <v>52</v>
      </c>
      <c r="B148" s="152" t="s">
        <v>4559</v>
      </c>
      <c r="C148" s="144" t="s">
        <v>5975</v>
      </c>
      <c r="D148" s="145" t="s">
        <v>5976</v>
      </c>
      <c r="E148" s="146" t="s">
        <v>335</v>
      </c>
      <c r="F148" s="146" t="s">
        <v>251</v>
      </c>
      <c r="G148" s="146" t="s">
        <v>254</v>
      </c>
      <c r="H148" s="147">
        <v>7.08</v>
      </c>
      <c r="I148" s="147">
        <v>1.25</v>
      </c>
      <c r="J148" s="147">
        <v>5</v>
      </c>
      <c r="K148" s="189"/>
      <c r="L148" s="147">
        <v>0.83</v>
      </c>
      <c r="M148" s="189"/>
      <c r="N148" s="189"/>
      <c r="O148" s="189"/>
      <c r="P148" s="189"/>
      <c r="Q148" s="189"/>
      <c r="R148" s="189"/>
      <c r="S148" s="189"/>
      <c r="T148" s="189"/>
      <c r="U148" s="189"/>
      <c r="V148" s="189"/>
      <c r="W148" s="189"/>
      <c r="X148" s="189"/>
      <c r="Y148" s="189"/>
      <c r="Z148" s="189"/>
      <c r="AA148" s="189"/>
      <c r="AB148" s="189"/>
      <c r="AC148" s="189"/>
      <c r="AD148" s="147"/>
      <c r="AE148" s="189"/>
      <c r="AF148" s="189"/>
      <c r="AG148" s="189"/>
      <c r="AH148" s="190"/>
      <c r="AI148" s="100"/>
      <c r="AJ148" s="100"/>
    </row>
    <row r="149" spans="1:36" ht="60">
      <c r="A149" s="151">
        <v>53</v>
      </c>
      <c r="B149" s="152" t="s">
        <v>4652</v>
      </c>
      <c r="C149" s="144" t="s">
        <v>5977</v>
      </c>
      <c r="D149" s="145" t="s">
        <v>5695</v>
      </c>
      <c r="E149" s="146" t="s">
        <v>395</v>
      </c>
      <c r="F149" s="146" t="s">
        <v>259</v>
      </c>
      <c r="G149" s="146" t="s">
        <v>520</v>
      </c>
      <c r="H149" s="147">
        <v>9</v>
      </c>
      <c r="I149" s="147"/>
      <c r="J149" s="147"/>
      <c r="K149" s="189"/>
      <c r="L149" s="147"/>
      <c r="M149" s="189"/>
      <c r="N149" s="189"/>
      <c r="O149" s="189"/>
      <c r="P149" s="189"/>
      <c r="Q149" s="189">
        <v>3</v>
      </c>
      <c r="R149" s="189"/>
      <c r="S149" s="189"/>
      <c r="T149" s="189"/>
      <c r="U149" s="189"/>
      <c r="V149" s="189"/>
      <c r="W149" s="189"/>
      <c r="X149" s="189"/>
      <c r="Y149" s="189"/>
      <c r="Z149" s="189">
        <v>6</v>
      </c>
      <c r="AA149" s="189"/>
      <c r="AB149" s="189"/>
      <c r="AC149" s="189"/>
      <c r="AD149" s="147"/>
      <c r="AE149" s="189"/>
      <c r="AF149" s="189"/>
      <c r="AG149" s="189"/>
      <c r="AH149" s="190"/>
      <c r="AI149" s="100"/>
      <c r="AJ149" s="100"/>
    </row>
    <row r="150" spans="1:36" ht="30">
      <c r="A150" s="151">
        <v>54</v>
      </c>
      <c r="B150" s="152" t="s">
        <v>4552</v>
      </c>
      <c r="C150" s="144" t="s">
        <v>5980</v>
      </c>
      <c r="D150" s="145" t="s">
        <v>5981</v>
      </c>
      <c r="E150" s="146" t="s">
        <v>379</v>
      </c>
      <c r="F150" s="146" t="s">
        <v>259</v>
      </c>
      <c r="G150" s="146" t="s">
        <v>262</v>
      </c>
      <c r="H150" s="147">
        <v>10</v>
      </c>
      <c r="I150" s="147"/>
      <c r="J150" s="147"/>
      <c r="K150" s="189"/>
      <c r="L150" s="147"/>
      <c r="M150" s="189"/>
      <c r="N150" s="189"/>
      <c r="O150" s="189"/>
      <c r="P150" s="189"/>
      <c r="Q150" s="189">
        <v>1.33</v>
      </c>
      <c r="R150" s="189">
        <v>1.33</v>
      </c>
      <c r="S150" s="189"/>
      <c r="T150" s="189">
        <v>7.34</v>
      </c>
      <c r="U150" s="189"/>
      <c r="V150" s="189"/>
      <c r="W150" s="189"/>
      <c r="X150" s="189"/>
      <c r="Y150" s="189"/>
      <c r="Z150" s="189"/>
      <c r="AA150" s="189"/>
      <c r="AB150" s="189"/>
      <c r="AC150" s="189"/>
      <c r="AD150" s="147"/>
      <c r="AE150" s="189"/>
      <c r="AF150" s="189"/>
      <c r="AG150" s="189"/>
      <c r="AH150" s="190"/>
      <c r="AI150" s="100"/>
      <c r="AJ150" s="100"/>
    </row>
    <row r="151" spans="1:36" ht="30">
      <c r="A151" s="151">
        <v>55</v>
      </c>
      <c r="B151" s="152" t="s">
        <v>4559</v>
      </c>
      <c r="C151" s="144" t="s">
        <v>5982</v>
      </c>
      <c r="D151" s="145" t="s">
        <v>5983</v>
      </c>
      <c r="E151" s="146" t="s">
        <v>292</v>
      </c>
      <c r="F151" s="146" t="s">
        <v>268</v>
      </c>
      <c r="G151" s="146" t="s">
        <v>5984</v>
      </c>
      <c r="H151" s="147">
        <v>3.47</v>
      </c>
      <c r="I151" s="147"/>
      <c r="J151" s="147"/>
      <c r="K151" s="189"/>
      <c r="L151" s="147"/>
      <c r="M151" s="189"/>
      <c r="N151" s="189"/>
      <c r="O151" s="189"/>
      <c r="P151" s="189"/>
      <c r="Q151" s="189"/>
      <c r="R151" s="189"/>
      <c r="S151" s="189"/>
      <c r="T151" s="189"/>
      <c r="U151" s="189"/>
      <c r="V151" s="189"/>
      <c r="W151" s="189"/>
      <c r="X151" s="189"/>
      <c r="Y151" s="189"/>
      <c r="Z151" s="189">
        <v>3.47</v>
      </c>
      <c r="AA151" s="189"/>
      <c r="AB151" s="189"/>
      <c r="AC151" s="189"/>
      <c r="AD151" s="147"/>
      <c r="AE151" s="189"/>
      <c r="AF151" s="189"/>
      <c r="AG151" s="189"/>
      <c r="AH151" s="190"/>
      <c r="AI151" s="100"/>
      <c r="AJ151" s="100"/>
    </row>
    <row r="152" spans="1:36" ht="30">
      <c r="A152" s="151">
        <v>56</v>
      </c>
      <c r="B152" s="152" t="s">
        <v>4559</v>
      </c>
      <c r="C152" s="144" t="s">
        <v>5985</v>
      </c>
      <c r="D152" s="145" t="s">
        <v>5983</v>
      </c>
      <c r="E152" s="146" t="s">
        <v>292</v>
      </c>
      <c r="F152" s="146" t="s">
        <v>268</v>
      </c>
      <c r="G152" s="146" t="s">
        <v>5984</v>
      </c>
      <c r="H152" s="147">
        <v>3.47</v>
      </c>
      <c r="I152" s="147"/>
      <c r="J152" s="147"/>
      <c r="K152" s="189"/>
      <c r="L152" s="147"/>
      <c r="M152" s="189"/>
      <c r="N152" s="189"/>
      <c r="O152" s="189"/>
      <c r="P152" s="189"/>
      <c r="Q152" s="189"/>
      <c r="R152" s="189"/>
      <c r="S152" s="189"/>
      <c r="T152" s="189"/>
      <c r="U152" s="189"/>
      <c r="V152" s="189"/>
      <c r="W152" s="189"/>
      <c r="X152" s="189"/>
      <c r="Y152" s="189"/>
      <c r="Z152" s="189">
        <v>3.47</v>
      </c>
      <c r="AA152" s="189"/>
      <c r="AB152" s="189"/>
      <c r="AC152" s="189"/>
      <c r="AD152" s="147"/>
      <c r="AE152" s="189"/>
      <c r="AF152" s="189"/>
      <c r="AG152" s="189"/>
      <c r="AH152" s="190"/>
      <c r="AI152" s="100"/>
      <c r="AJ152" s="100"/>
    </row>
    <row r="153" spans="1:36" ht="75">
      <c r="A153" s="151">
        <v>57</v>
      </c>
      <c r="B153" s="152" t="s">
        <v>4686</v>
      </c>
      <c r="C153" s="144" t="s">
        <v>5986</v>
      </c>
      <c r="D153" s="145" t="s">
        <v>5217</v>
      </c>
      <c r="E153" s="146" t="s">
        <v>335</v>
      </c>
      <c r="F153" s="146" t="s">
        <v>271</v>
      </c>
      <c r="G153" s="146" t="s">
        <v>5001</v>
      </c>
      <c r="H153" s="147">
        <v>1.92</v>
      </c>
      <c r="I153" s="147"/>
      <c r="J153" s="147"/>
      <c r="K153" s="189"/>
      <c r="L153" s="147"/>
      <c r="M153" s="189"/>
      <c r="N153" s="189"/>
      <c r="O153" s="189"/>
      <c r="P153" s="189"/>
      <c r="Q153" s="189">
        <v>0.42</v>
      </c>
      <c r="R153" s="189"/>
      <c r="S153" s="189"/>
      <c r="T153" s="189">
        <v>1.25</v>
      </c>
      <c r="U153" s="189"/>
      <c r="V153" s="189"/>
      <c r="W153" s="189"/>
      <c r="X153" s="189"/>
      <c r="Y153" s="189"/>
      <c r="Z153" s="189"/>
      <c r="AA153" s="189"/>
      <c r="AB153" s="189"/>
      <c r="AC153" s="189">
        <v>0.25</v>
      </c>
      <c r="AD153" s="147"/>
      <c r="AE153" s="189"/>
      <c r="AF153" s="189"/>
      <c r="AG153" s="189"/>
      <c r="AH153" s="190"/>
      <c r="AI153" s="100"/>
      <c r="AJ153" s="100"/>
    </row>
    <row r="154" spans="1:36" ht="30">
      <c r="A154" s="151">
        <v>58</v>
      </c>
      <c r="B154" s="152" t="s">
        <v>4556</v>
      </c>
      <c r="C154" s="144" t="s">
        <v>5987</v>
      </c>
      <c r="D154" s="145" t="s">
        <v>5988</v>
      </c>
      <c r="E154" s="146" t="s">
        <v>292</v>
      </c>
      <c r="F154" s="146" t="s">
        <v>259</v>
      </c>
      <c r="G154" s="146" t="s">
        <v>511</v>
      </c>
      <c r="H154" s="147">
        <v>2.8</v>
      </c>
      <c r="I154" s="147"/>
      <c r="J154" s="147"/>
      <c r="K154" s="189"/>
      <c r="L154" s="147"/>
      <c r="M154" s="189"/>
      <c r="N154" s="189"/>
      <c r="O154" s="189"/>
      <c r="P154" s="189"/>
      <c r="Q154" s="189">
        <v>0.8</v>
      </c>
      <c r="R154" s="189">
        <v>0.4</v>
      </c>
      <c r="S154" s="189"/>
      <c r="T154" s="189">
        <v>1.6</v>
      </c>
      <c r="U154" s="189"/>
      <c r="V154" s="189"/>
      <c r="W154" s="189"/>
      <c r="X154" s="189"/>
      <c r="Y154" s="189"/>
      <c r="Z154" s="189"/>
      <c r="AA154" s="189"/>
      <c r="AB154" s="189"/>
      <c r="AC154" s="189"/>
      <c r="AD154" s="147"/>
      <c r="AE154" s="189"/>
      <c r="AF154" s="189"/>
      <c r="AG154" s="189"/>
      <c r="AH154" s="190"/>
      <c r="AI154" s="100"/>
      <c r="AJ154" s="100"/>
    </row>
    <row r="155" spans="1:36" ht="30">
      <c r="A155" s="151">
        <v>59</v>
      </c>
      <c r="B155" s="152" t="s">
        <v>4552</v>
      </c>
      <c r="C155" s="144" t="s">
        <v>5989</v>
      </c>
      <c r="D155" s="145" t="s">
        <v>5990</v>
      </c>
      <c r="E155" s="146" t="s">
        <v>296</v>
      </c>
      <c r="F155" s="146" t="s">
        <v>259</v>
      </c>
      <c r="G155" s="146" t="s">
        <v>262</v>
      </c>
      <c r="H155" s="147">
        <v>1.84</v>
      </c>
      <c r="I155" s="147"/>
      <c r="J155" s="147"/>
      <c r="K155" s="189"/>
      <c r="L155" s="147"/>
      <c r="M155" s="189"/>
      <c r="N155" s="189"/>
      <c r="O155" s="189"/>
      <c r="P155" s="189"/>
      <c r="Q155" s="189">
        <v>0.17</v>
      </c>
      <c r="R155" s="189">
        <v>1</v>
      </c>
      <c r="S155" s="189"/>
      <c r="T155" s="189">
        <v>0.67</v>
      </c>
      <c r="U155" s="189"/>
      <c r="V155" s="189"/>
      <c r="W155" s="189"/>
      <c r="X155" s="189"/>
      <c r="Y155" s="189"/>
      <c r="Z155" s="189"/>
      <c r="AA155" s="189"/>
      <c r="AB155" s="189"/>
      <c r="AC155" s="189"/>
      <c r="AD155" s="147"/>
      <c r="AE155" s="189"/>
      <c r="AF155" s="189"/>
      <c r="AG155" s="189"/>
      <c r="AH155" s="190"/>
      <c r="AI155" s="100"/>
      <c r="AJ155" s="100"/>
    </row>
    <row r="156" spans="1:36" ht="30">
      <c r="A156" s="151">
        <v>60</v>
      </c>
      <c r="B156" s="152" t="s">
        <v>4552</v>
      </c>
      <c r="C156" s="144" t="s">
        <v>5991</v>
      </c>
      <c r="D156" s="145" t="s">
        <v>5992</v>
      </c>
      <c r="E156" s="146" t="s">
        <v>296</v>
      </c>
      <c r="F156" s="146" t="s">
        <v>259</v>
      </c>
      <c r="G156" s="146" t="s">
        <v>262</v>
      </c>
      <c r="H156" s="147">
        <v>3.5</v>
      </c>
      <c r="I156" s="147"/>
      <c r="J156" s="147"/>
      <c r="K156" s="189"/>
      <c r="L156" s="147"/>
      <c r="M156" s="189"/>
      <c r="N156" s="189"/>
      <c r="O156" s="189"/>
      <c r="P156" s="189"/>
      <c r="Q156" s="189">
        <v>0.17</v>
      </c>
      <c r="R156" s="189">
        <v>0.33</v>
      </c>
      <c r="S156" s="189"/>
      <c r="T156" s="189">
        <v>3</v>
      </c>
      <c r="U156" s="189"/>
      <c r="V156" s="189"/>
      <c r="W156" s="189"/>
      <c r="X156" s="189"/>
      <c r="Y156" s="189"/>
      <c r="Z156" s="189"/>
      <c r="AA156" s="189"/>
      <c r="AB156" s="189"/>
      <c r="AC156" s="189"/>
      <c r="AD156" s="147"/>
      <c r="AE156" s="189"/>
      <c r="AF156" s="189"/>
      <c r="AG156" s="189"/>
      <c r="AH156" s="190"/>
      <c r="AI156" s="100"/>
      <c r="AJ156" s="100"/>
    </row>
    <row r="157" spans="1:36" ht="30">
      <c r="A157" s="151">
        <v>61</v>
      </c>
      <c r="B157" s="152" t="s">
        <v>4552</v>
      </c>
      <c r="C157" s="144" t="s">
        <v>5995</v>
      </c>
      <c r="D157" s="145" t="s">
        <v>4814</v>
      </c>
      <c r="E157" s="146" t="s">
        <v>292</v>
      </c>
      <c r="F157" s="146" t="s">
        <v>252</v>
      </c>
      <c r="G157" s="146" t="s">
        <v>518</v>
      </c>
      <c r="H157" s="147">
        <v>5.2</v>
      </c>
      <c r="I157" s="147"/>
      <c r="J157" s="147">
        <v>2.67</v>
      </c>
      <c r="K157" s="189">
        <v>2.13</v>
      </c>
      <c r="L157" s="147">
        <v>0.4</v>
      </c>
      <c r="M157" s="189"/>
      <c r="N157" s="189"/>
      <c r="O157" s="189"/>
      <c r="P157" s="189"/>
      <c r="Q157" s="189"/>
      <c r="R157" s="189"/>
      <c r="S157" s="189"/>
      <c r="T157" s="189"/>
      <c r="U157" s="189"/>
      <c r="V157" s="189"/>
      <c r="W157" s="189"/>
      <c r="X157" s="189"/>
      <c r="Y157" s="189"/>
      <c r="Z157" s="189"/>
      <c r="AA157" s="189"/>
      <c r="AB157" s="189"/>
      <c r="AC157" s="189"/>
      <c r="AD157" s="147"/>
      <c r="AE157" s="189"/>
      <c r="AF157" s="189"/>
      <c r="AG157" s="189"/>
      <c r="AH157" s="190"/>
      <c r="AI157" s="100"/>
      <c r="AJ157" s="100"/>
    </row>
    <row r="158" spans="1:36" ht="30">
      <c r="A158" s="151">
        <v>62</v>
      </c>
      <c r="B158" s="152" t="s">
        <v>4555</v>
      </c>
      <c r="C158" s="144" t="s">
        <v>5996</v>
      </c>
      <c r="D158" s="145" t="s">
        <v>5997</v>
      </c>
      <c r="E158" s="146" t="s">
        <v>66</v>
      </c>
      <c r="F158" s="146" t="s">
        <v>259</v>
      </c>
      <c r="G158" s="146" t="s">
        <v>509</v>
      </c>
      <c r="H158" s="147">
        <v>5</v>
      </c>
      <c r="I158" s="147"/>
      <c r="J158" s="147"/>
      <c r="K158" s="189"/>
      <c r="L158" s="147"/>
      <c r="M158" s="189"/>
      <c r="N158" s="189"/>
      <c r="O158" s="189"/>
      <c r="P158" s="189"/>
      <c r="Q158" s="189">
        <v>3.33</v>
      </c>
      <c r="R158" s="189"/>
      <c r="S158" s="189"/>
      <c r="T158" s="189"/>
      <c r="U158" s="189"/>
      <c r="V158" s="189"/>
      <c r="W158" s="189"/>
      <c r="X158" s="189"/>
      <c r="Y158" s="189"/>
      <c r="Z158" s="189">
        <v>1.67</v>
      </c>
      <c r="AA158" s="189"/>
      <c r="AB158" s="189"/>
      <c r="AC158" s="189"/>
      <c r="AD158" s="147"/>
      <c r="AE158" s="189"/>
      <c r="AF158" s="189"/>
      <c r="AG158" s="189"/>
      <c r="AH158" s="190"/>
      <c r="AI158" s="100"/>
      <c r="AJ158" s="100"/>
    </row>
    <row r="159" spans="1:36" ht="120">
      <c r="A159" s="151">
        <v>63</v>
      </c>
      <c r="B159" s="152" t="s">
        <v>4674</v>
      </c>
      <c r="C159" s="144" t="s">
        <v>5998</v>
      </c>
      <c r="D159" s="145" t="s">
        <v>5999</v>
      </c>
      <c r="E159" s="146" t="s">
        <v>66</v>
      </c>
      <c r="F159" s="146" t="s">
        <v>259</v>
      </c>
      <c r="G159" s="146" t="s">
        <v>531</v>
      </c>
      <c r="H159" s="147">
        <v>4.17</v>
      </c>
      <c r="I159" s="147"/>
      <c r="J159" s="147"/>
      <c r="K159" s="189"/>
      <c r="L159" s="147"/>
      <c r="M159" s="189"/>
      <c r="N159" s="189"/>
      <c r="O159" s="189"/>
      <c r="P159" s="189"/>
      <c r="Q159" s="189">
        <v>0.83</v>
      </c>
      <c r="R159" s="189">
        <v>1.67</v>
      </c>
      <c r="S159" s="189"/>
      <c r="T159" s="189">
        <v>1.67</v>
      </c>
      <c r="U159" s="189"/>
      <c r="V159" s="189"/>
      <c r="W159" s="189"/>
      <c r="X159" s="189"/>
      <c r="Y159" s="189"/>
      <c r="Z159" s="189"/>
      <c r="AA159" s="189"/>
      <c r="AB159" s="189"/>
      <c r="AC159" s="189"/>
      <c r="AD159" s="147"/>
      <c r="AE159" s="189"/>
      <c r="AF159" s="189"/>
      <c r="AG159" s="189"/>
      <c r="AH159" s="190"/>
      <c r="AI159" s="100"/>
      <c r="AJ159" s="100"/>
    </row>
    <row r="160" spans="1:36" ht="30">
      <c r="A160" s="151">
        <v>64</v>
      </c>
      <c r="B160" s="152" t="s">
        <v>79</v>
      </c>
      <c r="C160" s="144" t="s">
        <v>6000</v>
      </c>
      <c r="D160" s="145" t="s">
        <v>6001</v>
      </c>
      <c r="E160" s="146" t="s">
        <v>488</v>
      </c>
      <c r="F160" s="146" t="s">
        <v>259</v>
      </c>
      <c r="G160" s="146" t="s">
        <v>509</v>
      </c>
      <c r="H160" s="147">
        <v>5</v>
      </c>
      <c r="I160" s="147"/>
      <c r="J160" s="147"/>
      <c r="K160" s="189"/>
      <c r="L160" s="147"/>
      <c r="M160" s="189"/>
      <c r="N160" s="189"/>
      <c r="O160" s="189"/>
      <c r="P160" s="189"/>
      <c r="Q160" s="189">
        <v>1.25</v>
      </c>
      <c r="R160" s="189">
        <v>1.25</v>
      </c>
      <c r="S160" s="189"/>
      <c r="T160" s="189">
        <v>2.5</v>
      </c>
      <c r="U160" s="189"/>
      <c r="V160" s="189"/>
      <c r="W160" s="189"/>
      <c r="X160" s="189"/>
      <c r="Y160" s="189"/>
      <c r="Z160" s="189"/>
      <c r="AA160" s="189"/>
      <c r="AB160" s="189"/>
      <c r="AC160" s="189"/>
      <c r="AD160" s="147"/>
      <c r="AE160" s="189"/>
      <c r="AF160" s="189"/>
      <c r="AG160" s="189"/>
      <c r="AH160" s="190"/>
      <c r="AI160" s="100"/>
      <c r="AJ160" s="100"/>
    </row>
    <row r="161" spans="1:36" ht="30">
      <c r="A161" s="151">
        <v>65</v>
      </c>
      <c r="B161" s="152" t="s">
        <v>79</v>
      </c>
      <c r="C161" s="144" t="s">
        <v>6002</v>
      </c>
      <c r="D161" s="145" t="s">
        <v>6003</v>
      </c>
      <c r="E161" s="146" t="s">
        <v>335</v>
      </c>
      <c r="F161" s="146" t="s">
        <v>259</v>
      </c>
      <c r="G161" s="146" t="s">
        <v>509</v>
      </c>
      <c r="H161" s="147">
        <v>7.08</v>
      </c>
      <c r="I161" s="147"/>
      <c r="J161" s="147"/>
      <c r="K161" s="189"/>
      <c r="L161" s="147"/>
      <c r="M161" s="189"/>
      <c r="N161" s="189"/>
      <c r="O161" s="189"/>
      <c r="P161" s="189"/>
      <c r="Q161" s="189">
        <v>0.42</v>
      </c>
      <c r="R161" s="189">
        <v>0.83</v>
      </c>
      <c r="S161" s="189"/>
      <c r="T161" s="189">
        <v>2.5</v>
      </c>
      <c r="U161" s="189">
        <v>3.33</v>
      </c>
      <c r="V161" s="189"/>
      <c r="W161" s="189"/>
      <c r="X161" s="189"/>
      <c r="Y161" s="189"/>
      <c r="Z161" s="189"/>
      <c r="AA161" s="189"/>
      <c r="AB161" s="189"/>
      <c r="AC161" s="189"/>
      <c r="AD161" s="147"/>
      <c r="AE161" s="189"/>
      <c r="AF161" s="189"/>
      <c r="AG161" s="189"/>
      <c r="AH161" s="190"/>
      <c r="AI161" s="100"/>
      <c r="AJ161" s="100"/>
    </row>
    <row r="162" spans="1:36" ht="105">
      <c r="A162" s="151">
        <v>66</v>
      </c>
      <c r="B162" s="152" t="s">
        <v>4634</v>
      </c>
      <c r="C162" s="144" t="s">
        <v>6004</v>
      </c>
      <c r="D162" s="145" t="s">
        <v>6005</v>
      </c>
      <c r="E162" s="146" t="s">
        <v>335</v>
      </c>
      <c r="F162" s="146" t="s">
        <v>251</v>
      </c>
      <c r="G162" s="146" t="s">
        <v>509</v>
      </c>
      <c r="H162" s="147">
        <v>42.91</v>
      </c>
      <c r="I162" s="147">
        <v>0.42</v>
      </c>
      <c r="J162" s="147">
        <v>3.33</v>
      </c>
      <c r="K162" s="189">
        <v>3.33</v>
      </c>
      <c r="L162" s="147">
        <v>6.66</v>
      </c>
      <c r="M162" s="189"/>
      <c r="N162" s="189"/>
      <c r="O162" s="189"/>
      <c r="P162" s="189"/>
      <c r="Q162" s="189"/>
      <c r="R162" s="189"/>
      <c r="S162" s="189"/>
      <c r="T162" s="189"/>
      <c r="U162" s="189"/>
      <c r="V162" s="189"/>
      <c r="W162" s="189"/>
      <c r="X162" s="189"/>
      <c r="Y162" s="189"/>
      <c r="Z162" s="189"/>
      <c r="AA162" s="189"/>
      <c r="AB162" s="189"/>
      <c r="AC162" s="189"/>
      <c r="AD162" s="147">
        <v>29.17</v>
      </c>
      <c r="AE162" s="189"/>
      <c r="AF162" s="189"/>
      <c r="AG162" s="189"/>
      <c r="AH162" s="190"/>
      <c r="AI162" s="100"/>
      <c r="AJ162" s="100"/>
    </row>
    <row r="163" spans="1:36" ht="60">
      <c r="A163" s="151">
        <v>67</v>
      </c>
      <c r="B163" s="152" t="s">
        <v>4555</v>
      </c>
      <c r="C163" s="144" t="s">
        <v>6006</v>
      </c>
      <c r="D163" s="145" t="s">
        <v>6007</v>
      </c>
      <c r="E163" s="146" t="s">
        <v>335</v>
      </c>
      <c r="F163" s="146" t="s">
        <v>271</v>
      </c>
      <c r="G163" s="146" t="s">
        <v>531</v>
      </c>
      <c r="H163" s="147">
        <v>1.67</v>
      </c>
      <c r="I163" s="147"/>
      <c r="J163" s="147"/>
      <c r="K163" s="189"/>
      <c r="L163" s="147"/>
      <c r="M163" s="189"/>
      <c r="N163" s="189"/>
      <c r="O163" s="189"/>
      <c r="P163" s="189"/>
      <c r="Q163" s="189">
        <v>0.42</v>
      </c>
      <c r="R163" s="189"/>
      <c r="S163" s="189"/>
      <c r="T163" s="189">
        <v>0.83</v>
      </c>
      <c r="U163" s="189"/>
      <c r="V163" s="189"/>
      <c r="W163" s="189"/>
      <c r="X163" s="189"/>
      <c r="Y163" s="189"/>
      <c r="Z163" s="189"/>
      <c r="AA163" s="189"/>
      <c r="AB163" s="189"/>
      <c r="AC163" s="189">
        <v>0.42</v>
      </c>
      <c r="AD163" s="147"/>
      <c r="AE163" s="189"/>
      <c r="AF163" s="189"/>
      <c r="AG163" s="189"/>
      <c r="AH163" s="190"/>
      <c r="AI163" s="100"/>
      <c r="AJ163" s="100"/>
    </row>
    <row r="164" spans="1:36" ht="90">
      <c r="A164" s="151">
        <v>68</v>
      </c>
      <c r="B164" s="152" t="s">
        <v>4696</v>
      </c>
      <c r="C164" s="144" t="s">
        <v>6008</v>
      </c>
      <c r="D164" s="145" t="s">
        <v>5266</v>
      </c>
      <c r="E164" s="146" t="s">
        <v>66</v>
      </c>
      <c r="F164" s="146" t="s">
        <v>271</v>
      </c>
      <c r="G164" s="146" t="s">
        <v>509</v>
      </c>
      <c r="H164" s="147">
        <v>3.83</v>
      </c>
      <c r="I164" s="147"/>
      <c r="J164" s="147"/>
      <c r="K164" s="189"/>
      <c r="L164" s="147"/>
      <c r="M164" s="189"/>
      <c r="N164" s="189"/>
      <c r="O164" s="189"/>
      <c r="P164" s="189"/>
      <c r="Q164" s="189">
        <v>0.83</v>
      </c>
      <c r="R164" s="189"/>
      <c r="S164" s="189"/>
      <c r="T164" s="189">
        <v>2.5</v>
      </c>
      <c r="U164" s="189"/>
      <c r="V164" s="189"/>
      <c r="W164" s="189"/>
      <c r="X164" s="189"/>
      <c r="Y164" s="189"/>
      <c r="Z164" s="189"/>
      <c r="AA164" s="189"/>
      <c r="AB164" s="189"/>
      <c r="AC164" s="189">
        <v>0.5</v>
      </c>
      <c r="AD164" s="147"/>
      <c r="AE164" s="189"/>
      <c r="AF164" s="189"/>
      <c r="AG164" s="189"/>
      <c r="AH164" s="190"/>
      <c r="AI164" s="100"/>
      <c r="AJ164" s="100"/>
    </row>
    <row r="165" spans="1:36" ht="45">
      <c r="A165" s="151">
        <v>69</v>
      </c>
      <c r="B165" s="152" t="s">
        <v>4598</v>
      </c>
      <c r="C165" s="144" t="s">
        <v>6009</v>
      </c>
      <c r="D165" s="145" t="s">
        <v>6010</v>
      </c>
      <c r="E165" s="146" t="s">
        <v>66</v>
      </c>
      <c r="F165" s="146" t="s">
        <v>268</v>
      </c>
      <c r="G165" s="146" t="s">
        <v>509</v>
      </c>
      <c r="H165" s="147">
        <v>3.33</v>
      </c>
      <c r="I165" s="147"/>
      <c r="J165" s="147"/>
      <c r="K165" s="189"/>
      <c r="L165" s="147"/>
      <c r="M165" s="189"/>
      <c r="N165" s="189"/>
      <c r="O165" s="189"/>
      <c r="P165" s="189"/>
      <c r="Q165" s="189"/>
      <c r="R165" s="189"/>
      <c r="S165" s="189"/>
      <c r="T165" s="189"/>
      <c r="U165" s="189"/>
      <c r="V165" s="189"/>
      <c r="W165" s="189"/>
      <c r="X165" s="189"/>
      <c r="Y165" s="189"/>
      <c r="Z165" s="189">
        <v>3.33</v>
      </c>
      <c r="AA165" s="189"/>
      <c r="AB165" s="189"/>
      <c r="AC165" s="189"/>
      <c r="AD165" s="147"/>
      <c r="AE165" s="189"/>
      <c r="AF165" s="189"/>
      <c r="AG165" s="189"/>
      <c r="AH165" s="190"/>
      <c r="AI165" s="100"/>
      <c r="AJ165" s="100"/>
    </row>
    <row r="166" spans="1:36" ht="30">
      <c r="A166" s="151">
        <v>70</v>
      </c>
      <c r="B166" s="152" t="s">
        <v>4559</v>
      </c>
      <c r="C166" s="144" t="s">
        <v>6011</v>
      </c>
      <c r="D166" s="145" t="s">
        <v>6012</v>
      </c>
      <c r="E166" s="146" t="s">
        <v>288</v>
      </c>
      <c r="F166" s="146" t="s">
        <v>272</v>
      </c>
      <c r="G166" s="146" t="s">
        <v>509</v>
      </c>
      <c r="H166" s="147">
        <v>4.1500000000000004</v>
      </c>
      <c r="I166" s="147"/>
      <c r="J166" s="147">
        <v>0.4</v>
      </c>
      <c r="K166" s="189"/>
      <c r="L166" s="147">
        <v>0.4</v>
      </c>
      <c r="M166" s="189"/>
      <c r="N166" s="189"/>
      <c r="O166" s="189"/>
      <c r="P166" s="189"/>
      <c r="Q166" s="189"/>
      <c r="R166" s="189"/>
      <c r="S166" s="189"/>
      <c r="T166" s="189">
        <v>0.8</v>
      </c>
      <c r="U166" s="189">
        <v>1.6</v>
      </c>
      <c r="V166" s="189">
        <v>0.2</v>
      </c>
      <c r="W166" s="189"/>
      <c r="X166" s="189"/>
      <c r="Y166" s="189"/>
      <c r="Z166" s="189"/>
      <c r="AA166" s="189"/>
      <c r="AB166" s="189"/>
      <c r="AC166" s="189"/>
      <c r="AD166" s="147">
        <v>0.75</v>
      </c>
      <c r="AE166" s="189"/>
      <c r="AF166" s="189"/>
      <c r="AG166" s="189"/>
      <c r="AH166" s="190"/>
      <c r="AI166" s="100"/>
      <c r="AJ166" s="100"/>
    </row>
    <row r="167" spans="1:36" ht="30">
      <c r="A167" s="151">
        <v>71</v>
      </c>
      <c r="B167" s="152" t="s">
        <v>4559</v>
      </c>
      <c r="C167" s="144" t="s">
        <v>6013</v>
      </c>
      <c r="D167" s="145" t="s">
        <v>6014</v>
      </c>
      <c r="E167" s="146" t="s">
        <v>292</v>
      </c>
      <c r="F167" s="146" t="s">
        <v>268</v>
      </c>
      <c r="G167" s="146" t="s">
        <v>509</v>
      </c>
      <c r="H167" s="147">
        <v>3.2</v>
      </c>
      <c r="I167" s="147"/>
      <c r="J167" s="147"/>
      <c r="K167" s="189"/>
      <c r="L167" s="147"/>
      <c r="M167" s="189"/>
      <c r="N167" s="189"/>
      <c r="O167" s="189"/>
      <c r="P167" s="189"/>
      <c r="Q167" s="189"/>
      <c r="R167" s="189"/>
      <c r="S167" s="189"/>
      <c r="T167" s="189"/>
      <c r="U167" s="189"/>
      <c r="V167" s="189"/>
      <c r="W167" s="189"/>
      <c r="X167" s="189"/>
      <c r="Y167" s="189"/>
      <c r="Z167" s="189">
        <v>3.2</v>
      </c>
      <c r="AA167" s="189"/>
      <c r="AB167" s="189"/>
      <c r="AC167" s="189"/>
      <c r="AD167" s="147"/>
      <c r="AE167" s="189"/>
      <c r="AF167" s="189"/>
      <c r="AG167" s="189"/>
      <c r="AH167" s="190"/>
      <c r="AI167" s="100"/>
      <c r="AJ167" s="100"/>
    </row>
    <row r="168" spans="1:36" ht="60">
      <c r="A168" s="151">
        <v>72</v>
      </c>
      <c r="B168" s="152" t="s">
        <v>4608</v>
      </c>
      <c r="C168" s="144" t="s">
        <v>6015</v>
      </c>
      <c r="D168" s="145" t="s">
        <v>6016</v>
      </c>
      <c r="E168" s="146" t="s">
        <v>316</v>
      </c>
      <c r="F168" s="146" t="s">
        <v>251</v>
      </c>
      <c r="G168" s="146" t="s">
        <v>509</v>
      </c>
      <c r="H168" s="147">
        <v>11.37</v>
      </c>
      <c r="I168" s="147">
        <v>0.03</v>
      </c>
      <c r="J168" s="147"/>
      <c r="K168" s="189"/>
      <c r="L168" s="147"/>
      <c r="M168" s="189"/>
      <c r="N168" s="189"/>
      <c r="O168" s="189"/>
      <c r="P168" s="189"/>
      <c r="Q168" s="189"/>
      <c r="R168" s="189"/>
      <c r="S168" s="189"/>
      <c r="T168" s="189"/>
      <c r="U168" s="189"/>
      <c r="V168" s="189"/>
      <c r="W168" s="189"/>
      <c r="X168" s="189"/>
      <c r="Y168" s="189"/>
      <c r="Z168" s="189">
        <v>4.67</v>
      </c>
      <c r="AA168" s="189"/>
      <c r="AB168" s="189"/>
      <c r="AC168" s="189"/>
      <c r="AD168" s="147">
        <v>6.67</v>
      </c>
      <c r="AE168" s="189"/>
      <c r="AF168" s="189"/>
      <c r="AG168" s="189"/>
      <c r="AH168" s="190"/>
      <c r="AI168" s="100"/>
      <c r="AJ168" s="100"/>
    </row>
    <row r="169" spans="1:36" ht="30">
      <c r="A169" s="151">
        <v>73</v>
      </c>
      <c r="B169" s="152" t="s">
        <v>4552</v>
      </c>
      <c r="C169" s="144" t="s">
        <v>6021</v>
      </c>
      <c r="D169" s="145" t="s">
        <v>6022</v>
      </c>
      <c r="E169" s="146" t="s">
        <v>296</v>
      </c>
      <c r="F169" s="146" t="s">
        <v>259</v>
      </c>
      <c r="G169" s="146" t="s">
        <v>262</v>
      </c>
      <c r="H169" s="147">
        <v>1.84</v>
      </c>
      <c r="I169" s="147"/>
      <c r="J169" s="147"/>
      <c r="K169" s="189"/>
      <c r="L169" s="147"/>
      <c r="M169" s="189"/>
      <c r="N169" s="189"/>
      <c r="O169" s="189"/>
      <c r="P169" s="189"/>
      <c r="Q169" s="189">
        <v>0.17</v>
      </c>
      <c r="R169" s="189">
        <v>1</v>
      </c>
      <c r="S169" s="189"/>
      <c r="T169" s="189">
        <v>0.67</v>
      </c>
      <c r="U169" s="189"/>
      <c r="V169" s="189"/>
      <c r="W169" s="189"/>
      <c r="X169" s="189"/>
      <c r="Y169" s="189"/>
      <c r="Z169" s="189"/>
      <c r="AA169" s="189"/>
      <c r="AB169" s="189"/>
      <c r="AC169" s="189"/>
      <c r="AD169" s="147"/>
      <c r="AE169" s="189"/>
      <c r="AF169" s="189"/>
      <c r="AG169" s="189"/>
      <c r="AH169" s="190"/>
      <c r="AI169" s="100"/>
      <c r="AJ169" s="100"/>
    </row>
    <row r="170" spans="1:36" ht="105">
      <c r="A170" s="151">
        <v>74</v>
      </c>
      <c r="B170" s="152" t="s">
        <v>4612</v>
      </c>
      <c r="C170" s="144" t="s">
        <v>6023</v>
      </c>
      <c r="D170" s="145" t="s">
        <v>6024</v>
      </c>
      <c r="E170" s="146" t="s">
        <v>306</v>
      </c>
      <c r="F170" s="146" t="s">
        <v>271</v>
      </c>
      <c r="G170" s="146" t="s">
        <v>511</v>
      </c>
      <c r="H170" s="147">
        <v>0.63</v>
      </c>
      <c r="I170" s="147"/>
      <c r="J170" s="147"/>
      <c r="K170" s="189"/>
      <c r="L170" s="147"/>
      <c r="M170" s="189"/>
      <c r="N170" s="189"/>
      <c r="O170" s="189"/>
      <c r="P170" s="189"/>
      <c r="Q170" s="189"/>
      <c r="R170" s="189"/>
      <c r="S170" s="189"/>
      <c r="T170" s="189">
        <v>0.5</v>
      </c>
      <c r="U170" s="189"/>
      <c r="V170" s="189"/>
      <c r="W170" s="189"/>
      <c r="X170" s="189"/>
      <c r="Y170" s="189"/>
      <c r="Z170" s="189"/>
      <c r="AA170" s="189"/>
      <c r="AB170" s="189"/>
      <c r="AC170" s="189">
        <v>0.13</v>
      </c>
      <c r="AD170" s="147"/>
      <c r="AE170" s="189"/>
      <c r="AF170" s="189"/>
      <c r="AG170" s="189"/>
      <c r="AH170" s="190"/>
      <c r="AI170" s="100"/>
      <c r="AJ170" s="100"/>
    </row>
    <row r="171" spans="1:36" ht="30">
      <c r="A171" s="151">
        <v>75</v>
      </c>
      <c r="B171" s="152" t="s">
        <v>4556</v>
      </c>
      <c r="C171" s="144" t="s">
        <v>6026</v>
      </c>
      <c r="D171" s="145" t="s">
        <v>6027</v>
      </c>
      <c r="E171" s="146" t="s">
        <v>292</v>
      </c>
      <c r="F171" s="146" t="s">
        <v>259</v>
      </c>
      <c r="G171" s="146" t="s">
        <v>511</v>
      </c>
      <c r="H171" s="147">
        <v>2.93</v>
      </c>
      <c r="I171" s="147"/>
      <c r="J171" s="147"/>
      <c r="K171" s="189"/>
      <c r="L171" s="147"/>
      <c r="M171" s="189"/>
      <c r="N171" s="189"/>
      <c r="O171" s="189"/>
      <c r="P171" s="189"/>
      <c r="Q171" s="189">
        <v>0.93</v>
      </c>
      <c r="R171" s="189">
        <v>0.4</v>
      </c>
      <c r="S171" s="189"/>
      <c r="T171" s="189">
        <v>1.6</v>
      </c>
      <c r="U171" s="189"/>
      <c r="V171" s="189"/>
      <c r="W171" s="189"/>
      <c r="X171" s="189"/>
      <c r="Y171" s="189"/>
      <c r="Z171" s="189"/>
      <c r="AA171" s="189"/>
      <c r="AB171" s="189"/>
      <c r="AC171" s="189"/>
      <c r="AD171" s="147"/>
      <c r="AE171" s="189"/>
      <c r="AF171" s="189"/>
      <c r="AG171" s="189"/>
      <c r="AH171" s="190"/>
      <c r="AI171" s="100"/>
      <c r="AJ171" s="100"/>
    </row>
    <row r="172" spans="1:36" ht="30">
      <c r="A172" s="151">
        <v>76</v>
      </c>
      <c r="B172" s="152" t="s">
        <v>4556</v>
      </c>
      <c r="C172" s="144" t="s">
        <v>6028</v>
      </c>
      <c r="D172" s="145" t="s">
        <v>5745</v>
      </c>
      <c r="E172" s="146" t="s">
        <v>292</v>
      </c>
      <c r="F172" s="146" t="s">
        <v>259</v>
      </c>
      <c r="G172" s="146" t="s">
        <v>511</v>
      </c>
      <c r="H172" s="147">
        <v>2.8</v>
      </c>
      <c r="I172" s="147"/>
      <c r="J172" s="147"/>
      <c r="K172" s="189"/>
      <c r="L172" s="147"/>
      <c r="M172" s="189"/>
      <c r="N172" s="189"/>
      <c r="O172" s="189"/>
      <c r="P172" s="189"/>
      <c r="Q172" s="189">
        <v>1.07</v>
      </c>
      <c r="R172" s="189">
        <v>0.4</v>
      </c>
      <c r="S172" s="189"/>
      <c r="T172" s="189">
        <v>1.33</v>
      </c>
      <c r="U172" s="189"/>
      <c r="V172" s="189"/>
      <c r="W172" s="189"/>
      <c r="X172" s="189"/>
      <c r="Y172" s="189"/>
      <c r="Z172" s="189"/>
      <c r="AA172" s="189"/>
      <c r="AB172" s="189"/>
      <c r="AC172" s="189"/>
      <c r="AD172" s="147"/>
      <c r="AE172" s="189"/>
      <c r="AF172" s="189"/>
      <c r="AG172" s="189"/>
      <c r="AH172" s="190"/>
      <c r="AI172" s="100"/>
      <c r="AJ172" s="100"/>
    </row>
    <row r="173" spans="1:36" ht="30">
      <c r="A173" s="151">
        <v>77</v>
      </c>
      <c r="B173" s="152" t="s">
        <v>4552</v>
      </c>
      <c r="C173" s="144" t="s">
        <v>6029</v>
      </c>
      <c r="D173" s="145" t="s">
        <v>6030</v>
      </c>
      <c r="E173" s="146" t="s">
        <v>296</v>
      </c>
      <c r="F173" s="146" t="s">
        <v>259</v>
      </c>
      <c r="G173" s="146" t="s">
        <v>511</v>
      </c>
      <c r="H173" s="147">
        <v>1.84</v>
      </c>
      <c r="I173" s="147"/>
      <c r="J173" s="147"/>
      <c r="K173" s="189"/>
      <c r="L173" s="147"/>
      <c r="M173" s="189"/>
      <c r="N173" s="189"/>
      <c r="O173" s="189"/>
      <c r="P173" s="189"/>
      <c r="Q173" s="189">
        <v>0.17</v>
      </c>
      <c r="R173" s="189">
        <v>1</v>
      </c>
      <c r="S173" s="189"/>
      <c r="T173" s="189">
        <v>0.67</v>
      </c>
      <c r="U173" s="189"/>
      <c r="V173" s="189"/>
      <c r="W173" s="189"/>
      <c r="X173" s="189"/>
      <c r="Y173" s="189"/>
      <c r="Z173" s="189"/>
      <c r="AA173" s="189"/>
      <c r="AB173" s="189"/>
      <c r="AC173" s="189"/>
      <c r="AD173" s="147"/>
      <c r="AE173" s="189"/>
      <c r="AF173" s="189"/>
      <c r="AG173" s="189"/>
      <c r="AH173" s="190"/>
      <c r="AI173" s="100"/>
      <c r="AJ173" s="100"/>
    </row>
    <row r="174" spans="1:36" ht="30">
      <c r="A174" s="151">
        <v>78</v>
      </c>
      <c r="B174" s="152" t="s">
        <v>4556</v>
      </c>
      <c r="C174" s="144" t="s">
        <v>6031</v>
      </c>
      <c r="D174" s="145" t="s">
        <v>6032</v>
      </c>
      <c r="E174" s="146" t="s">
        <v>331</v>
      </c>
      <c r="F174" s="146" t="s">
        <v>259</v>
      </c>
      <c r="G174" s="146" t="s">
        <v>511</v>
      </c>
      <c r="H174" s="147">
        <v>4.8</v>
      </c>
      <c r="I174" s="147"/>
      <c r="J174" s="147"/>
      <c r="K174" s="189"/>
      <c r="L174" s="147"/>
      <c r="M174" s="189"/>
      <c r="N174" s="189"/>
      <c r="O174" s="189"/>
      <c r="P174" s="189"/>
      <c r="Q174" s="189">
        <v>0.4</v>
      </c>
      <c r="R174" s="189">
        <v>1.2</v>
      </c>
      <c r="S174" s="189"/>
      <c r="T174" s="189">
        <v>3.2</v>
      </c>
      <c r="U174" s="189"/>
      <c r="V174" s="189"/>
      <c r="W174" s="189"/>
      <c r="X174" s="189"/>
      <c r="Y174" s="189"/>
      <c r="Z174" s="189"/>
      <c r="AA174" s="189"/>
      <c r="AB174" s="189"/>
      <c r="AC174" s="189"/>
      <c r="AD174" s="147"/>
      <c r="AE174" s="189"/>
      <c r="AF174" s="189"/>
      <c r="AG174" s="189"/>
      <c r="AH174" s="190"/>
      <c r="AI174" s="100"/>
      <c r="AJ174" s="100"/>
    </row>
    <row r="175" spans="1:36" ht="30">
      <c r="A175" s="151">
        <v>79</v>
      </c>
      <c r="B175" s="152" t="s">
        <v>4556</v>
      </c>
      <c r="C175" s="144" t="s">
        <v>6033</v>
      </c>
      <c r="D175" s="145" t="s">
        <v>6034</v>
      </c>
      <c r="E175" s="146" t="s">
        <v>312</v>
      </c>
      <c r="F175" s="146" t="s">
        <v>259</v>
      </c>
      <c r="G175" s="146" t="s">
        <v>511</v>
      </c>
      <c r="H175" s="147">
        <v>3.6</v>
      </c>
      <c r="I175" s="147"/>
      <c r="J175" s="147"/>
      <c r="K175" s="189"/>
      <c r="L175" s="147"/>
      <c r="M175" s="189"/>
      <c r="N175" s="189"/>
      <c r="O175" s="189"/>
      <c r="P175" s="189"/>
      <c r="Q175" s="189">
        <v>0.3</v>
      </c>
      <c r="R175" s="189">
        <v>0.9</v>
      </c>
      <c r="S175" s="189"/>
      <c r="T175" s="189">
        <v>2.4</v>
      </c>
      <c r="U175" s="189"/>
      <c r="V175" s="189"/>
      <c r="W175" s="189"/>
      <c r="X175" s="189"/>
      <c r="Y175" s="189"/>
      <c r="Z175" s="189"/>
      <c r="AA175" s="189"/>
      <c r="AB175" s="189"/>
      <c r="AC175" s="189"/>
      <c r="AD175" s="147"/>
      <c r="AE175" s="189"/>
      <c r="AF175" s="189"/>
      <c r="AG175" s="189"/>
      <c r="AH175" s="190"/>
      <c r="AI175" s="100"/>
      <c r="AJ175" s="100"/>
    </row>
    <row r="176" spans="1:36" ht="120">
      <c r="A176" s="151">
        <v>80</v>
      </c>
      <c r="B176" s="152" t="s">
        <v>4728</v>
      </c>
      <c r="C176" s="144" t="s">
        <v>6035</v>
      </c>
      <c r="D176" s="145" t="s">
        <v>5657</v>
      </c>
      <c r="E176" s="146" t="s">
        <v>70</v>
      </c>
      <c r="F176" s="146" t="s">
        <v>270</v>
      </c>
      <c r="G176" s="146" t="s">
        <v>523</v>
      </c>
      <c r="H176" s="147">
        <v>83.34</v>
      </c>
      <c r="I176" s="147"/>
      <c r="J176" s="147"/>
      <c r="K176" s="189"/>
      <c r="L176" s="147"/>
      <c r="M176" s="189"/>
      <c r="N176" s="189"/>
      <c r="O176" s="189"/>
      <c r="P176" s="189"/>
      <c r="Q176" s="189"/>
      <c r="R176" s="189"/>
      <c r="S176" s="189"/>
      <c r="T176" s="189"/>
      <c r="U176" s="189"/>
      <c r="V176" s="189"/>
      <c r="W176" s="189"/>
      <c r="X176" s="189"/>
      <c r="Y176" s="189"/>
      <c r="Z176" s="189">
        <v>66.67</v>
      </c>
      <c r="AA176" s="189"/>
      <c r="AB176" s="189">
        <v>16.670000000000002</v>
      </c>
      <c r="AC176" s="189"/>
      <c r="AD176" s="147"/>
      <c r="AE176" s="189"/>
      <c r="AF176" s="189"/>
      <c r="AG176" s="189"/>
      <c r="AH176" s="190"/>
      <c r="AI176" s="100"/>
      <c r="AJ176" s="100"/>
    </row>
    <row r="177" spans="1:36" ht="90">
      <c r="A177" s="151">
        <v>81</v>
      </c>
      <c r="B177" s="152" t="s">
        <v>4642</v>
      </c>
      <c r="C177" s="144" t="s">
        <v>6036</v>
      </c>
      <c r="D177" s="145" t="s">
        <v>5674</v>
      </c>
      <c r="E177" s="146" t="s">
        <v>550</v>
      </c>
      <c r="F177" s="146" t="s">
        <v>272</v>
      </c>
      <c r="G177" s="146" t="s">
        <v>509</v>
      </c>
      <c r="H177" s="147">
        <v>108.34</v>
      </c>
      <c r="I177" s="147"/>
      <c r="J177" s="147">
        <v>4.17</v>
      </c>
      <c r="K177" s="189"/>
      <c r="L177" s="147"/>
      <c r="M177" s="189"/>
      <c r="N177" s="189"/>
      <c r="O177" s="189"/>
      <c r="P177" s="189"/>
      <c r="Q177" s="189"/>
      <c r="R177" s="189"/>
      <c r="S177" s="189"/>
      <c r="T177" s="189">
        <v>91.67</v>
      </c>
      <c r="U177" s="189"/>
      <c r="V177" s="189"/>
      <c r="W177" s="189"/>
      <c r="X177" s="189"/>
      <c r="Y177" s="189"/>
      <c r="Z177" s="189"/>
      <c r="AA177" s="189"/>
      <c r="AB177" s="189"/>
      <c r="AC177" s="189"/>
      <c r="AD177" s="147">
        <v>12.5</v>
      </c>
      <c r="AE177" s="189"/>
      <c r="AF177" s="189"/>
      <c r="AG177" s="189"/>
      <c r="AH177" s="190"/>
      <c r="AI177" s="100"/>
      <c r="AJ177" s="100"/>
    </row>
    <row r="178" spans="1:36" ht="60">
      <c r="A178" s="151">
        <v>82</v>
      </c>
      <c r="B178" s="152" t="s">
        <v>4603</v>
      </c>
      <c r="C178" s="144" t="s">
        <v>6037</v>
      </c>
      <c r="D178" s="145" t="s">
        <v>6038</v>
      </c>
      <c r="E178" s="146" t="s">
        <v>335</v>
      </c>
      <c r="F178" s="146" t="s">
        <v>274</v>
      </c>
      <c r="G178" s="146" t="s">
        <v>509</v>
      </c>
      <c r="H178" s="147">
        <v>6.66</v>
      </c>
      <c r="I178" s="147"/>
      <c r="J178" s="147">
        <v>0.83</v>
      </c>
      <c r="K178" s="189"/>
      <c r="L178" s="147">
        <v>1.25</v>
      </c>
      <c r="M178" s="189"/>
      <c r="N178" s="189"/>
      <c r="O178" s="189"/>
      <c r="P178" s="189"/>
      <c r="Q178" s="189"/>
      <c r="R178" s="189"/>
      <c r="S178" s="189"/>
      <c r="T178" s="189">
        <v>3.33</v>
      </c>
      <c r="U178" s="189"/>
      <c r="V178" s="189"/>
      <c r="W178" s="189"/>
      <c r="X178" s="189"/>
      <c r="Y178" s="189"/>
      <c r="Z178" s="189"/>
      <c r="AA178" s="189"/>
      <c r="AB178" s="189"/>
      <c r="AC178" s="189"/>
      <c r="AD178" s="147"/>
      <c r="AE178" s="189"/>
      <c r="AF178" s="189">
        <v>1.25</v>
      </c>
      <c r="AG178" s="189"/>
      <c r="AH178" s="190"/>
      <c r="AI178" s="100"/>
      <c r="AJ178" s="100"/>
    </row>
    <row r="179" spans="1:36" ht="30">
      <c r="A179" s="151">
        <v>83</v>
      </c>
      <c r="B179" s="152" t="s">
        <v>4556</v>
      </c>
      <c r="C179" s="144" t="s">
        <v>6039</v>
      </c>
      <c r="D179" s="145" t="s">
        <v>6040</v>
      </c>
      <c r="E179" s="146" t="s">
        <v>6041</v>
      </c>
      <c r="F179" s="146" t="s">
        <v>271</v>
      </c>
      <c r="G179" s="146" t="s">
        <v>511</v>
      </c>
      <c r="H179" s="147">
        <v>11.38</v>
      </c>
      <c r="I179" s="147"/>
      <c r="J179" s="147"/>
      <c r="K179" s="189"/>
      <c r="L179" s="147"/>
      <c r="M179" s="189"/>
      <c r="N179" s="189"/>
      <c r="O179" s="189"/>
      <c r="P179" s="189"/>
      <c r="Q179" s="189"/>
      <c r="R179" s="189"/>
      <c r="S179" s="189"/>
      <c r="T179" s="189">
        <v>2.92</v>
      </c>
      <c r="U179" s="189"/>
      <c r="V179" s="189">
        <v>5.83</v>
      </c>
      <c r="W179" s="189"/>
      <c r="X179" s="189"/>
      <c r="Y179" s="189"/>
      <c r="Z179" s="189"/>
      <c r="AA179" s="189"/>
      <c r="AB179" s="189"/>
      <c r="AC179" s="189">
        <v>2.63</v>
      </c>
      <c r="AD179" s="147"/>
      <c r="AE179" s="189"/>
      <c r="AF179" s="189"/>
      <c r="AG179" s="189"/>
      <c r="AH179" s="190"/>
      <c r="AI179" s="100"/>
      <c r="AJ179" s="100"/>
    </row>
    <row r="180" spans="1:36" ht="30">
      <c r="A180" s="151">
        <v>84</v>
      </c>
      <c r="B180" s="152" t="s">
        <v>4556</v>
      </c>
      <c r="C180" s="144" t="s">
        <v>6042</v>
      </c>
      <c r="D180" s="145" t="s">
        <v>6043</v>
      </c>
      <c r="E180" s="146" t="s">
        <v>308</v>
      </c>
      <c r="F180" s="146" t="s">
        <v>259</v>
      </c>
      <c r="G180" s="146" t="s">
        <v>511</v>
      </c>
      <c r="H180" s="147">
        <v>5.87</v>
      </c>
      <c r="I180" s="147"/>
      <c r="J180" s="147"/>
      <c r="K180" s="189"/>
      <c r="L180" s="147"/>
      <c r="M180" s="189"/>
      <c r="N180" s="189"/>
      <c r="O180" s="189"/>
      <c r="P180" s="189"/>
      <c r="Q180" s="189">
        <v>1.87</v>
      </c>
      <c r="R180" s="189">
        <v>0.8</v>
      </c>
      <c r="S180" s="189"/>
      <c r="T180" s="189">
        <v>3.2</v>
      </c>
      <c r="U180" s="189"/>
      <c r="V180" s="189"/>
      <c r="W180" s="189"/>
      <c r="X180" s="189"/>
      <c r="Y180" s="189"/>
      <c r="Z180" s="189"/>
      <c r="AA180" s="189"/>
      <c r="AB180" s="189"/>
      <c r="AC180" s="189"/>
      <c r="AD180" s="147"/>
      <c r="AE180" s="189"/>
      <c r="AF180" s="189"/>
      <c r="AG180" s="189"/>
      <c r="AH180" s="190"/>
      <c r="AI180" s="100"/>
      <c r="AJ180" s="100"/>
    </row>
    <row r="181" spans="1:36" ht="30">
      <c r="A181" s="151">
        <v>85</v>
      </c>
      <c r="B181" s="152" t="s">
        <v>4556</v>
      </c>
      <c r="C181" s="144" t="s">
        <v>6044</v>
      </c>
      <c r="D181" s="145" t="s">
        <v>6045</v>
      </c>
      <c r="E181" s="146" t="s">
        <v>308</v>
      </c>
      <c r="F181" s="146" t="s">
        <v>259</v>
      </c>
      <c r="G181" s="146" t="s">
        <v>511</v>
      </c>
      <c r="H181" s="147">
        <v>6.13</v>
      </c>
      <c r="I181" s="147"/>
      <c r="J181" s="147"/>
      <c r="K181" s="189"/>
      <c r="L181" s="147"/>
      <c r="M181" s="189"/>
      <c r="N181" s="189"/>
      <c r="O181" s="189"/>
      <c r="P181" s="189"/>
      <c r="Q181" s="189">
        <v>2.13</v>
      </c>
      <c r="R181" s="189">
        <v>0.8</v>
      </c>
      <c r="S181" s="189"/>
      <c r="T181" s="189">
        <v>3.2</v>
      </c>
      <c r="U181" s="189"/>
      <c r="V181" s="189"/>
      <c r="W181" s="189"/>
      <c r="X181" s="189"/>
      <c r="Y181" s="189"/>
      <c r="Z181" s="189"/>
      <c r="AA181" s="189"/>
      <c r="AB181" s="189"/>
      <c r="AC181" s="189"/>
      <c r="AD181" s="147"/>
      <c r="AE181" s="189"/>
      <c r="AF181" s="189"/>
      <c r="AG181" s="189"/>
      <c r="AH181" s="190"/>
      <c r="AI181" s="100"/>
      <c r="AJ181" s="100"/>
    </row>
    <row r="182" spans="1:36" ht="30">
      <c r="A182" s="151">
        <v>86</v>
      </c>
      <c r="B182" s="152" t="s">
        <v>4556</v>
      </c>
      <c r="C182" s="144" t="s">
        <v>6046</v>
      </c>
      <c r="D182" s="145" t="s">
        <v>5748</v>
      </c>
      <c r="E182" s="146" t="s">
        <v>292</v>
      </c>
      <c r="F182" s="146" t="s">
        <v>259</v>
      </c>
      <c r="G182" s="146" t="s">
        <v>511</v>
      </c>
      <c r="H182" s="147">
        <v>2.66</v>
      </c>
      <c r="I182" s="147"/>
      <c r="J182" s="147"/>
      <c r="K182" s="189"/>
      <c r="L182" s="147"/>
      <c r="M182" s="189"/>
      <c r="N182" s="189"/>
      <c r="O182" s="189"/>
      <c r="P182" s="189"/>
      <c r="Q182" s="189">
        <v>0.66</v>
      </c>
      <c r="R182" s="189">
        <v>0.4</v>
      </c>
      <c r="S182" s="189"/>
      <c r="T182" s="189">
        <v>1.6</v>
      </c>
      <c r="U182" s="189"/>
      <c r="V182" s="189"/>
      <c r="W182" s="189"/>
      <c r="X182" s="189"/>
      <c r="Y182" s="189"/>
      <c r="Z182" s="189"/>
      <c r="AA182" s="189"/>
      <c r="AB182" s="189"/>
      <c r="AC182" s="189"/>
      <c r="AD182" s="147"/>
      <c r="AE182" s="189"/>
      <c r="AF182" s="189"/>
      <c r="AG182" s="189"/>
      <c r="AH182" s="190"/>
      <c r="AI182" s="100"/>
      <c r="AJ182" s="100"/>
    </row>
    <row r="183" spans="1:36" ht="30">
      <c r="A183" s="151">
        <v>87</v>
      </c>
      <c r="B183" s="152" t="s">
        <v>96</v>
      </c>
      <c r="C183" s="144" t="s">
        <v>6047</v>
      </c>
      <c r="D183" s="145" t="s">
        <v>6048</v>
      </c>
      <c r="E183" s="146" t="s">
        <v>296</v>
      </c>
      <c r="F183" s="146" t="s">
        <v>251</v>
      </c>
      <c r="G183" s="146" t="s">
        <v>509</v>
      </c>
      <c r="H183" s="147">
        <v>4.5</v>
      </c>
      <c r="I183" s="147">
        <v>0.17</v>
      </c>
      <c r="J183" s="147">
        <v>4</v>
      </c>
      <c r="K183" s="189"/>
      <c r="L183" s="147"/>
      <c r="M183" s="189"/>
      <c r="N183" s="189"/>
      <c r="O183" s="189"/>
      <c r="P183" s="189"/>
      <c r="Q183" s="189">
        <v>0.33</v>
      </c>
      <c r="R183" s="189"/>
      <c r="S183" s="189"/>
      <c r="T183" s="189"/>
      <c r="U183" s="189"/>
      <c r="V183" s="189"/>
      <c r="W183" s="189"/>
      <c r="X183" s="189"/>
      <c r="Y183" s="189"/>
      <c r="Z183" s="189"/>
      <c r="AA183" s="189"/>
      <c r="AB183" s="189"/>
      <c r="AC183" s="189"/>
      <c r="AD183" s="147"/>
      <c r="AE183" s="189"/>
      <c r="AF183" s="189"/>
      <c r="AG183" s="189"/>
      <c r="AH183" s="190"/>
      <c r="AI183" s="100"/>
      <c r="AJ183" s="100"/>
    </row>
    <row r="184" spans="1:36" ht="45">
      <c r="A184" s="151">
        <v>88</v>
      </c>
      <c r="B184" s="152" t="s">
        <v>4564</v>
      </c>
      <c r="C184" s="144" t="s">
        <v>6049</v>
      </c>
      <c r="D184" s="145" t="s">
        <v>6050</v>
      </c>
      <c r="E184" s="146" t="s">
        <v>296</v>
      </c>
      <c r="F184" s="146" t="s">
        <v>268</v>
      </c>
      <c r="G184" s="146" t="s">
        <v>531</v>
      </c>
      <c r="H184" s="147">
        <v>1.83</v>
      </c>
      <c r="I184" s="147"/>
      <c r="J184" s="147"/>
      <c r="K184" s="189"/>
      <c r="L184" s="147"/>
      <c r="M184" s="189"/>
      <c r="N184" s="189"/>
      <c r="O184" s="189"/>
      <c r="P184" s="189"/>
      <c r="Q184" s="189"/>
      <c r="R184" s="189"/>
      <c r="S184" s="189"/>
      <c r="T184" s="189"/>
      <c r="U184" s="189"/>
      <c r="V184" s="189"/>
      <c r="W184" s="189"/>
      <c r="X184" s="189"/>
      <c r="Y184" s="189"/>
      <c r="Z184" s="189">
        <v>1.83</v>
      </c>
      <c r="AA184" s="189"/>
      <c r="AB184" s="189"/>
      <c r="AC184" s="189"/>
      <c r="AD184" s="147"/>
      <c r="AE184" s="189"/>
      <c r="AF184" s="189"/>
      <c r="AG184" s="189"/>
      <c r="AH184" s="190"/>
      <c r="AI184" s="100"/>
      <c r="AJ184" s="100"/>
    </row>
    <row r="185" spans="1:36" ht="45">
      <c r="A185" s="151">
        <v>89</v>
      </c>
      <c r="B185" s="152" t="s">
        <v>4564</v>
      </c>
      <c r="C185" s="144" t="s">
        <v>6051</v>
      </c>
      <c r="D185" s="145" t="s">
        <v>6050</v>
      </c>
      <c r="E185" s="146" t="s">
        <v>296</v>
      </c>
      <c r="F185" s="146" t="s">
        <v>268</v>
      </c>
      <c r="G185" s="146" t="s">
        <v>531</v>
      </c>
      <c r="H185" s="147">
        <v>1.83</v>
      </c>
      <c r="I185" s="147"/>
      <c r="J185" s="147"/>
      <c r="K185" s="189"/>
      <c r="L185" s="147"/>
      <c r="M185" s="189"/>
      <c r="N185" s="189"/>
      <c r="O185" s="189"/>
      <c r="P185" s="189"/>
      <c r="Q185" s="189"/>
      <c r="R185" s="189"/>
      <c r="S185" s="189"/>
      <c r="T185" s="189"/>
      <c r="U185" s="189"/>
      <c r="V185" s="189"/>
      <c r="W185" s="189"/>
      <c r="X185" s="189"/>
      <c r="Y185" s="189"/>
      <c r="Z185" s="189">
        <v>1.83</v>
      </c>
      <c r="AA185" s="189"/>
      <c r="AB185" s="189"/>
      <c r="AC185" s="189"/>
      <c r="AD185" s="147"/>
      <c r="AE185" s="189"/>
      <c r="AF185" s="189"/>
      <c r="AG185" s="189"/>
      <c r="AH185" s="190"/>
      <c r="AI185" s="100"/>
      <c r="AJ185" s="100"/>
    </row>
    <row r="186" spans="1:36" ht="105">
      <c r="A186" s="151">
        <v>90</v>
      </c>
      <c r="B186" s="152" t="s">
        <v>4634</v>
      </c>
      <c r="C186" s="144" t="s">
        <v>6054</v>
      </c>
      <c r="D186" s="145" t="s">
        <v>6055</v>
      </c>
      <c r="E186" s="146" t="s">
        <v>335</v>
      </c>
      <c r="F186" s="146" t="s">
        <v>272</v>
      </c>
      <c r="G186" s="146" t="s">
        <v>509</v>
      </c>
      <c r="H186" s="147">
        <v>5.42</v>
      </c>
      <c r="I186" s="147"/>
      <c r="J186" s="147">
        <v>0.42</v>
      </c>
      <c r="K186" s="189"/>
      <c r="L186" s="147">
        <v>1.67</v>
      </c>
      <c r="M186" s="189"/>
      <c r="N186" s="189"/>
      <c r="O186" s="189"/>
      <c r="P186" s="189"/>
      <c r="Q186" s="189"/>
      <c r="R186" s="189"/>
      <c r="S186" s="189"/>
      <c r="T186" s="189"/>
      <c r="U186" s="189"/>
      <c r="V186" s="189"/>
      <c r="W186" s="189"/>
      <c r="X186" s="189"/>
      <c r="Y186" s="189"/>
      <c r="Z186" s="189"/>
      <c r="AA186" s="189"/>
      <c r="AB186" s="189"/>
      <c r="AC186" s="189"/>
      <c r="AD186" s="147">
        <v>3.33</v>
      </c>
      <c r="AE186" s="189"/>
      <c r="AF186" s="189"/>
      <c r="AG186" s="189"/>
      <c r="AH186" s="190"/>
      <c r="AI186" s="100"/>
      <c r="AJ186" s="100"/>
    </row>
    <row r="187" spans="1:36" ht="105">
      <c r="A187" s="151">
        <v>91</v>
      </c>
      <c r="B187" s="152" t="s">
        <v>4634</v>
      </c>
      <c r="C187" s="144" t="s">
        <v>6056</v>
      </c>
      <c r="D187" s="145" t="s">
        <v>6057</v>
      </c>
      <c r="E187" s="146" t="s">
        <v>360</v>
      </c>
      <c r="F187" s="146" t="s">
        <v>251</v>
      </c>
      <c r="G187" s="146" t="s">
        <v>509</v>
      </c>
      <c r="H187" s="147">
        <v>19.07</v>
      </c>
      <c r="I187" s="147">
        <v>1.75</v>
      </c>
      <c r="J187" s="147"/>
      <c r="K187" s="189"/>
      <c r="L187" s="147">
        <v>4.67</v>
      </c>
      <c r="M187" s="189"/>
      <c r="N187" s="189"/>
      <c r="O187" s="189"/>
      <c r="P187" s="189"/>
      <c r="Q187" s="189"/>
      <c r="R187" s="189"/>
      <c r="S187" s="189"/>
      <c r="T187" s="189"/>
      <c r="U187" s="189"/>
      <c r="V187" s="189"/>
      <c r="W187" s="189"/>
      <c r="X187" s="189"/>
      <c r="Y187" s="189"/>
      <c r="Z187" s="189"/>
      <c r="AA187" s="189"/>
      <c r="AB187" s="189"/>
      <c r="AC187" s="189"/>
      <c r="AD187" s="147">
        <v>12.65</v>
      </c>
      <c r="AE187" s="189"/>
      <c r="AF187" s="189"/>
      <c r="AG187" s="189"/>
      <c r="AH187" s="190"/>
      <c r="AI187" s="100"/>
      <c r="AJ187" s="100"/>
    </row>
    <row r="188" spans="1:36" ht="105">
      <c r="A188" s="151">
        <v>92</v>
      </c>
      <c r="B188" s="152" t="s">
        <v>4634</v>
      </c>
      <c r="C188" s="144" t="s">
        <v>6058</v>
      </c>
      <c r="D188" s="145" t="s">
        <v>6059</v>
      </c>
      <c r="E188" s="146" t="s">
        <v>360</v>
      </c>
      <c r="F188" s="146" t="s">
        <v>251</v>
      </c>
      <c r="G188" s="146" t="s">
        <v>509</v>
      </c>
      <c r="H188" s="147">
        <v>19.38</v>
      </c>
      <c r="I188" s="147">
        <v>1.75</v>
      </c>
      <c r="J188" s="147">
        <v>1.17</v>
      </c>
      <c r="K188" s="189"/>
      <c r="L188" s="147">
        <v>12.84</v>
      </c>
      <c r="M188" s="189"/>
      <c r="N188" s="189"/>
      <c r="O188" s="189"/>
      <c r="P188" s="189"/>
      <c r="Q188" s="189"/>
      <c r="R188" s="189"/>
      <c r="S188" s="189"/>
      <c r="T188" s="189"/>
      <c r="U188" s="189"/>
      <c r="V188" s="189"/>
      <c r="W188" s="189"/>
      <c r="X188" s="189"/>
      <c r="Y188" s="189"/>
      <c r="Z188" s="189"/>
      <c r="AA188" s="189"/>
      <c r="AB188" s="189"/>
      <c r="AC188" s="189"/>
      <c r="AD188" s="147">
        <v>3.62</v>
      </c>
      <c r="AE188" s="189"/>
      <c r="AF188" s="189"/>
      <c r="AG188" s="189"/>
      <c r="AH188" s="190"/>
      <c r="AI188" s="100"/>
      <c r="AJ188" s="100"/>
    </row>
    <row r="189" spans="1:36" ht="120">
      <c r="A189" s="151">
        <v>93</v>
      </c>
      <c r="B189" s="152" t="s">
        <v>4619</v>
      </c>
      <c r="C189" s="144" t="s">
        <v>6060</v>
      </c>
      <c r="D189" s="145" t="s">
        <v>5078</v>
      </c>
      <c r="E189" s="146" t="s">
        <v>335</v>
      </c>
      <c r="F189" s="146" t="s">
        <v>271</v>
      </c>
      <c r="G189" s="146" t="s">
        <v>509</v>
      </c>
      <c r="H189" s="147">
        <v>3.98</v>
      </c>
      <c r="I189" s="147"/>
      <c r="J189" s="147"/>
      <c r="K189" s="189"/>
      <c r="L189" s="147"/>
      <c r="M189" s="189"/>
      <c r="N189" s="189"/>
      <c r="O189" s="189"/>
      <c r="P189" s="189"/>
      <c r="Q189" s="189">
        <v>0.42</v>
      </c>
      <c r="R189" s="189"/>
      <c r="S189" s="189"/>
      <c r="T189" s="189">
        <v>1.67</v>
      </c>
      <c r="U189" s="189"/>
      <c r="V189" s="189"/>
      <c r="W189" s="189"/>
      <c r="X189" s="189"/>
      <c r="Y189" s="189"/>
      <c r="Z189" s="189"/>
      <c r="AA189" s="189"/>
      <c r="AB189" s="189"/>
      <c r="AC189" s="189">
        <v>1.89</v>
      </c>
      <c r="AD189" s="147"/>
      <c r="AE189" s="189"/>
      <c r="AF189" s="189"/>
      <c r="AG189" s="189"/>
      <c r="AH189" s="190"/>
      <c r="AI189" s="100"/>
      <c r="AJ189" s="100"/>
    </row>
    <row r="190" spans="1:36" ht="30">
      <c r="A190" s="151">
        <v>94</v>
      </c>
      <c r="B190" s="152" t="s">
        <v>96</v>
      </c>
      <c r="C190" s="144" t="s">
        <v>6061</v>
      </c>
      <c r="D190" s="145" t="s">
        <v>6062</v>
      </c>
      <c r="E190" s="146" t="s">
        <v>6041</v>
      </c>
      <c r="F190" s="146" t="s">
        <v>271</v>
      </c>
      <c r="G190" s="146" t="s">
        <v>509</v>
      </c>
      <c r="H190" s="147">
        <v>54.26</v>
      </c>
      <c r="I190" s="147"/>
      <c r="J190" s="147"/>
      <c r="K190" s="189"/>
      <c r="L190" s="147"/>
      <c r="M190" s="189"/>
      <c r="N190" s="189"/>
      <c r="O190" s="189"/>
      <c r="P190" s="189"/>
      <c r="Q190" s="189">
        <v>2.92</v>
      </c>
      <c r="R190" s="189"/>
      <c r="S190" s="189"/>
      <c r="T190" s="189">
        <v>46.67</v>
      </c>
      <c r="U190" s="189"/>
      <c r="V190" s="189"/>
      <c r="W190" s="189"/>
      <c r="X190" s="189"/>
      <c r="Y190" s="189"/>
      <c r="Z190" s="189"/>
      <c r="AA190" s="189"/>
      <c r="AB190" s="189"/>
      <c r="AC190" s="189">
        <v>4.67</v>
      </c>
      <c r="AD190" s="147"/>
      <c r="AE190" s="189"/>
      <c r="AF190" s="189"/>
      <c r="AG190" s="189"/>
      <c r="AH190" s="190"/>
      <c r="AI190" s="100"/>
      <c r="AJ190" s="100"/>
    </row>
    <row r="191" spans="1:36" ht="105">
      <c r="A191" s="151">
        <v>95</v>
      </c>
      <c r="B191" s="152" t="s">
        <v>4699</v>
      </c>
      <c r="C191" s="144" t="s">
        <v>6063</v>
      </c>
      <c r="D191" s="145" t="s">
        <v>6064</v>
      </c>
      <c r="E191" s="146" t="s">
        <v>66</v>
      </c>
      <c r="F191" s="146" t="s">
        <v>271</v>
      </c>
      <c r="G191" s="146" t="s">
        <v>531</v>
      </c>
      <c r="H191" s="147">
        <v>3.83</v>
      </c>
      <c r="I191" s="147"/>
      <c r="J191" s="147"/>
      <c r="K191" s="189"/>
      <c r="L191" s="147"/>
      <c r="M191" s="189"/>
      <c r="N191" s="189"/>
      <c r="O191" s="189"/>
      <c r="P191" s="189"/>
      <c r="Q191" s="189">
        <v>0.83</v>
      </c>
      <c r="R191" s="189"/>
      <c r="S191" s="189"/>
      <c r="T191" s="189">
        <v>2.5</v>
      </c>
      <c r="U191" s="189"/>
      <c r="V191" s="189"/>
      <c r="W191" s="189"/>
      <c r="X191" s="189"/>
      <c r="Y191" s="189"/>
      <c r="Z191" s="189"/>
      <c r="AA191" s="189"/>
      <c r="AB191" s="189"/>
      <c r="AC191" s="189">
        <v>0.5</v>
      </c>
      <c r="AD191" s="147"/>
      <c r="AE191" s="189"/>
      <c r="AF191" s="189"/>
      <c r="AG191" s="189"/>
      <c r="AH191" s="190"/>
      <c r="AI191" s="100"/>
      <c r="AJ191" s="100"/>
    </row>
    <row r="192" spans="1:36" ht="105">
      <c r="A192" s="151">
        <v>96</v>
      </c>
      <c r="B192" s="152" t="s">
        <v>4634</v>
      </c>
      <c r="C192" s="144" t="s">
        <v>6065</v>
      </c>
      <c r="D192" s="145" t="s">
        <v>6005</v>
      </c>
      <c r="E192" s="146" t="s">
        <v>335</v>
      </c>
      <c r="F192" s="146" t="s">
        <v>251</v>
      </c>
      <c r="G192" s="146" t="s">
        <v>509</v>
      </c>
      <c r="H192" s="147">
        <v>42.91</v>
      </c>
      <c r="I192" s="147">
        <v>0.42</v>
      </c>
      <c r="J192" s="147">
        <v>3.33</v>
      </c>
      <c r="K192" s="189">
        <v>3.33</v>
      </c>
      <c r="L192" s="147">
        <v>6.66</v>
      </c>
      <c r="M192" s="189"/>
      <c r="N192" s="189"/>
      <c r="O192" s="189"/>
      <c r="P192" s="189"/>
      <c r="Q192" s="189"/>
      <c r="R192" s="189"/>
      <c r="S192" s="189"/>
      <c r="T192" s="189"/>
      <c r="U192" s="189"/>
      <c r="V192" s="189"/>
      <c r="W192" s="189"/>
      <c r="X192" s="189"/>
      <c r="Y192" s="189"/>
      <c r="Z192" s="189"/>
      <c r="AA192" s="189"/>
      <c r="AB192" s="189"/>
      <c r="AC192" s="189"/>
      <c r="AD192" s="147">
        <v>29.17</v>
      </c>
      <c r="AE192" s="189"/>
      <c r="AF192" s="189"/>
      <c r="AG192" s="189"/>
      <c r="AH192" s="190"/>
      <c r="AI192" s="100"/>
      <c r="AJ192" s="100"/>
    </row>
    <row r="193" spans="1:36" ht="45">
      <c r="A193" s="151">
        <v>97</v>
      </c>
      <c r="B193" s="152" t="s">
        <v>4753</v>
      </c>
      <c r="C193" s="144" t="s">
        <v>6066</v>
      </c>
      <c r="D193" s="145" t="s">
        <v>5951</v>
      </c>
      <c r="E193" s="146" t="s">
        <v>5952</v>
      </c>
      <c r="F193" s="146" t="s">
        <v>274</v>
      </c>
      <c r="G193" s="146" t="s">
        <v>258</v>
      </c>
      <c r="H193" s="147">
        <v>153.6</v>
      </c>
      <c r="I193" s="147"/>
      <c r="J193" s="147">
        <v>57.6</v>
      </c>
      <c r="K193" s="189"/>
      <c r="L193" s="147"/>
      <c r="M193" s="189"/>
      <c r="N193" s="189"/>
      <c r="O193" s="189"/>
      <c r="P193" s="189"/>
      <c r="Q193" s="189"/>
      <c r="R193" s="189"/>
      <c r="S193" s="189"/>
      <c r="T193" s="189"/>
      <c r="U193" s="189"/>
      <c r="V193" s="189"/>
      <c r="W193" s="189"/>
      <c r="X193" s="189"/>
      <c r="Y193" s="189"/>
      <c r="Z193" s="189"/>
      <c r="AA193" s="189"/>
      <c r="AB193" s="189"/>
      <c r="AC193" s="189"/>
      <c r="AD193" s="147"/>
      <c r="AE193" s="189"/>
      <c r="AF193" s="189">
        <v>96</v>
      </c>
      <c r="AG193" s="189"/>
      <c r="AH193" s="190"/>
      <c r="AI193" s="100"/>
      <c r="AJ193" s="100"/>
    </row>
    <row r="194" spans="1:36" ht="30">
      <c r="A194" s="151">
        <v>98</v>
      </c>
      <c r="B194" s="152" t="s">
        <v>4556</v>
      </c>
      <c r="C194" s="144" t="s">
        <v>6067</v>
      </c>
      <c r="D194" s="145" t="s">
        <v>6068</v>
      </c>
      <c r="E194" s="146" t="s">
        <v>360</v>
      </c>
      <c r="F194" s="146" t="s">
        <v>274</v>
      </c>
      <c r="G194" s="146" t="s">
        <v>511</v>
      </c>
      <c r="H194" s="147">
        <v>3.85</v>
      </c>
      <c r="I194" s="147"/>
      <c r="J194" s="147">
        <v>1.75</v>
      </c>
      <c r="K194" s="189"/>
      <c r="L194" s="147">
        <v>0.57999999999999996</v>
      </c>
      <c r="M194" s="189"/>
      <c r="N194" s="189"/>
      <c r="O194" s="189"/>
      <c r="P194" s="189"/>
      <c r="Q194" s="189"/>
      <c r="R194" s="189"/>
      <c r="S194" s="189"/>
      <c r="T194" s="189"/>
      <c r="U194" s="189"/>
      <c r="V194" s="189"/>
      <c r="W194" s="189"/>
      <c r="X194" s="189"/>
      <c r="Y194" s="189"/>
      <c r="Z194" s="189"/>
      <c r="AA194" s="189"/>
      <c r="AB194" s="189"/>
      <c r="AC194" s="189"/>
      <c r="AD194" s="147"/>
      <c r="AE194" s="189"/>
      <c r="AF194" s="189">
        <v>1.52</v>
      </c>
      <c r="AG194" s="189"/>
      <c r="AH194" s="190"/>
      <c r="AI194" s="100"/>
      <c r="AJ194" s="100"/>
    </row>
    <row r="195" spans="1:36" ht="30">
      <c r="A195" s="151">
        <v>99</v>
      </c>
      <c r="B195" s="152" t="s">
        <v>4556</v>
      </c>
      <c r="C195" s="144" t="s">
        <v>6069</v>
      </c>
      <c r="D195" s="145" t="s">
        <v>6070</v>
      </c>
      <c r="E195" s="146" t="s">
        <v>363</v>
      </c>
      <c r="F195" s="146" t="s">
        <v>271</v>
      </c>
      <c r="G195" s="146" t="s">
        <v>511</v>
      </c>
      <c r="H195" s="147">
        <v>3</v>
      </c>
      <c r="I195" s="147"/>
      <c r="J195" s="147"/>
      <c r="K195" s="189"/>
      <c r="L195" s="147"/>
      <c r="M195" s="189"/>
      <c r="N195" s="189"/>
      <c r="O195" s="189"/>
      <c r="P195" s="189"/>
      <c r="Q195" s="189"/>
      <c r="R195" s="189"/>
      <c r="S195" s="189"/>
      <c r="T195" s="189">
        <v>2.4</v>
      </c>
      <c r="U195" s="189"/>
      <c r="V195" s="189"/>
      <c r="W195" s="189"/>
      <c r="X195" s="189"/>
      <c r="Y195" s="189"/>
      <c r="Z195" s="189"/>
      <c r="AA195" s="189"/>
      <c r="AB195" s="189"/>
      <c r="AC195" s="189">
        <v>0.6</v>
      </c>
      <c r="AD195" s="147"/>
      <c r="AE195" s="189"/>
      <c r="AF195" s="189"/>
      <c r="AG195" s="189"/>
      <c r="AH195" s="190"/>
      <c r="AI195" s="100"/>
      <c r="AJ195" s="100"/>
    </row>
    <row r="196" spans="1:36" ht="30">
      <c r="A196" s="151">
        <v>100</v>
      </c>
      <c r="B196" s="152" t="s">
        <v>4552</v>
      </c>
      <c r="C196" s="144" t="s">
        <v>6071</v>
      </c>
      <c r="D196" s="145" t="s">
        <v>6072</v>
      </c>
      <c r="E196" s="146" t="s">
        <v>312</v>
      </c>
      <c r="F196" s="146" t="s">
        <v>259</v>
      </c>
      <c r="G196" s="146" t="s">
        <v>518</v>
      </c>
      <c r="H196" s="147">
        <v>14.7</v>
      </c>
      <c r="I196" s="147"/>
      <c r="J196" s="147"/>
      <c r="K196" s="189"/>
      <c r="L196" s="147"/>
      <c r="M196" s="189"/>
      <c r="N196" s="189"/>
      <c r="O196" s="189"/>
      <c r="P196" s="189"/>
      <c r="Q196" s="189">
        <v>0.3</v>
      </c>
      <c r="R196" s="189">
        <v>1.2</v>
      </c>
      <c r="S196" s="189"/>
      <c r="T196" s="189">
        <v>13.2</v>
      </c>
      <c r="U196" s="189"/>
      <c r="V196" s="189"/>
      <c r="W196" s="189"/>
      <c r="X196" s="189"/>
      <c r="Y196" s="189"/>
      <c r="Z196" s="189"/>
      <c r="AA196" s="189"/>
      <c r="AB196" s="189"/>
      <c r="AC196" s="189"/>
      <c r="AD196" s="147"/>
      <c r="AE196" s="189"/>
      <c r="AF196" s="189"/>
      <c r="AG196" s="189"/>
      <c r="AH196" s="190"/>
      <c r="AI196" s="100"/>
      <c r="AJ196" s="100"/>
    </row>
    <row r="197" spans="1:36" ht="30">
      <c r="A197" s="151">
        <v>101</v>
      </c>
      <c r="B197" s="152" t="s">
        <v>4556</v>
      </c>
      <c r="C197" s="144" t="s">
        <v>6073</v>
      </c>
      <c r="D197" s="145" t="s">
        <v>5938</v>
      </c>
      <c r="E197" s="146" t="s">
        <v>316</v>
      </c>
      <c r="F197" s="146" t="s">
        <v>251</v>
      </c>
      <c r="G197" s="146" t="s">
        <v>518</v>
      </c>
      <c r="H197" s="147">
        <v>24.7</v>
      </c>
      <c r="I197" s="147">
        <v>0.67</v>
      </c>
      <c r="J197" s="147"/>
      <c r="K197" s="189"/>
      <c r="L197" s="147">
        <v>10.029999999999999</v>
      </c>
      <c r="M197" s="189"/>
      <c r="N197" s="189"/>
      <c r="O197" s="189"/>
      <c r="P197" s="189"/>
      <c r="Q197" s="189"/>
      <c r="R197" s="189"/>
      <c r="S197" s="189"/>
      <c r="T197" s="189"/>
      <c r="U197" s="189"/>
      <c r="V197" s="189"/>
      <c r="W197" s="189"/>
      <c r="X197" s="189"/>
      <c r="Y197" s="189"/>
      <c r="Z197" s="189"/>
      <c r="AA197" s="189"/>
      <c r="AB197" s="189"/>
      <c r="AC197" s="189"/>
      <c r="AD197" s="147">
        <v>14</v>
      </c>
      <c r="AE197" s="189"/>
      <c r="AF197" s="189"/>
      <c r="AG197" s="189"/>
      <c r="AH197" s="190"/>
      <c r="AI197" s="100"/>
      <c r="AJ197" s="100"/>
    </row>
    <row r="198" spans="1:36" ht="45">
      <c r="A198" s="151">
        <v>102</v>
      </c>
      <c r="B198" s="152" t="s">
        <v>4557</v>
      </c>
      <c r="C198" s="144" t="s">
        <v>6074</v>
      </c>
      <c r="D198" s="145" t="s">
        <v>6075</v>
      </c>
      <c r="E198" s="146" t="s">
        <v>335</v>
      </c>
      <c r="F198" s="146" t="s">
        <v>259</v>
      </c>
      <c r="G198" s="146" t="s">
        <v>509</v>
      </c>
      <c r="H198" s="147">
        <v>3.34</v>
      </c>
      <c r="I198" s="147"/>
      <c r="J198" s="147"/>
      <c r="K198" s="189"/>
      <c r="L198" s="147"/>
      <c r="M198" s="189"/>
      <c r="N198" s="189"/>
      <c r="O198" s="189"/>
      <c r="P198" s="189"/>
      <c r="Q198" s="189">
        <v>0.42</v>
      </c>
      <c r="R198" s="189">
        <v>1.25</v>
      </c>
      <c r="S198" s="189"/>
      <c r="T198" s="189">
        <v>1.67</v>
      </c>
      <c r="U198" s="189"/>
      <c r="V198" s="189"/>
      <c r="W198" s="189"/>
      <c r="X198" s="189"/>
      <c r="Y198" s="189"/>
      <c r="Z198" s="189"/>
      <c r="AA198" s="189"/>
      <c r="AB198" s="189"/>
      <c r="AC198" s="189"/>
      <c r="AD198" s="147"/>
      <c r="AE198" s="189"/>
      <c r="AF198" s="189"/>
      <c r="AG198" s="189"/>
      <c r="AH198" s="190"/>
      <c r="AI198" s="100"/>
      <c r="AJ198" s="100"/>
    </row>
    <row r="199" spans="1:36" ht="45">
      <c r="A199" s="151">
        <v>103</v>
      </c>
      <c r="B199" s="152" t="s">
        <v>4557</v>
      </c>
      <c r="C199" s="144" t="s">
        <v>6076</v>
      </c>
      <c r="D199" s="145" t="s">
        <v>6077</v>
      </c>
      <c r="E199" s="146" t="s">
        <v>335</v>
      </c>
      <c r="F199" s="146" t="s">
        <v>259</v>
      </c>
      <c r="G199" s="146" t="s">
        <v>509</v>
      </c>
      <c r="H199" s="147">
        <v>3.34</v>
      </c>
      <c r="I199" s="147"/>
      <c r="J199" s="147"/>
      <c r="K199" s="189"/>
      <c r="L199" s="147"/>
      <c r="M199" s="189"/>
      <c r="N199" s="189"/>
      <c r="O199" s="189"/>
      <c r="P199" s="189"/>
      <c r="Q199" s="189">
        <v>0.42</v>
      </c>
      <c r="R199" s="189">
        <v>1.25</v>
      </c>
      <c r="S199" s="189"/>
      <c r="T199" s="189">
        <v>1.67</v>
      </c>
      <c r="U199" s="189"/>
      <c r="V199" s="189"/>
      <c r="W199" s="189"/>
      <c r="X199" s="189"/>
      <c r="Y199" s="189"/>
      <c r="Z199" s="189"/>
      <c r="AA199" s="189"/>
      <c r="AB199" s="189"/>
      <c r="AC199" s="189"/>
      <c r="AD199" s="147"/>
      <c r="AE199" s="189"/>
      <c r="AF199" s="189"/>
      <c r="AG199" s="189"/>
      <c r="AH199" s="190"/>
      <c r="AI199" s="100"/>
      <c r="AJ199" s="100"/>
    </row>
    <row r="200" spans="1:36" ht="60">
      <c r="A200" s="151">
        <v>104</v>
      </c>
      <c r="B200" s="152" t="s">
        <v>4603</v>
      </c>
      <c r="C200" s="144" t="s">
        <v>6078</v>
      </c>
      <c r="D200" s="145" t="s">
        <v>6079</v>
      </c>
      <c r="E200" s="146" t="s">
        <v>335</v>
      </c>
      <c r="F200" s="146" t="s">
        <v>272</v>
      </c>
      <c r="G200" s="146" t="s">
        <v>509</v>
      </c>
      <c r="H200" s="147">
        <v>26.67</v>
      </c>
      <c r="I200" s="147"/>
      <c r="J200" s="147">
        <v>12.5</v>
      </c>
      <c r="K200" s="189">
        <v>8.33</v>
      </c>
      <c r="L200" s="147">
        <v>1.67</v>
      </c>
      <c r="M200" s="189"/>
      <c r="N200" s="189"/>
      <c r="O200" s="189"/>
      <c r="P200" s="189"/>
      <c r="Q200" s="189"/>
      <c r="R200" s="189"/>
      <c r="S200" s="189"/>
      <c r="T200" s="189"/>
      <c r="U200" s="189"/>
      <c r="V200" s="189"/>
      <c r="W200" s="189"/>
      <c r="X200" s="189"/>
      <c r="Y200" s="189"/>
      <c r="Z200" s="189"/>
      <c r="AA200" s="189"/>
      <c r="AB200" s="189"/>
      <c r="AC200" s="189"/>
      <c r="AD200" s="147">
        <v>4.17</v>
      </c>
      <c r="AE200" s="189"/>
      <c r="AF200" s="189"/>
      <c r="AG200" s="189"/>
      <c r="AH200" s="190"/>
      <c r="AI200" s="100"/>
      <c r="AJ200" s="100"/>
    </row>
    <row r="201" spans="1:36" ht="60">
      <c r="A201" s="151">
        <v>105</v>
      </c>
      <c r="B201" s="152" t="s">
        <v>4638</v>
      </c>
      <c r="C201" s="144" t="s">
        <v>6080</v>
      </c>
      <c r="D201" s="145" t="s">
        <v>6081</v>
      </c>
      <c r="E201" s="146" t="s">
        <v>335</v>
      </c>
      <c r="F201" s="146" t="s">
        <v>272</v>
      </c>
      <c r="G201" s="146" t="s">
        <v>509</v>
      </c>
      <c r="H201" s="147">
        <v>12</v>
      </c>
      <c r="I201" s="147"/>
      <c r="J201" s="147">
        <v>3.33</v>
      </c>
      <c r="K201" s="189"/>
      <c r="L201" s="147">
        <v>1.67</v>
      </c>
      <c r="M201" s="189"/>
      <c r="N201" s="189"/>
      <c r="O201" s="189"/>
      <c r="P201" s="189"/>
      <c r="Q201" s="189"/>
      <c r="R201" s="189"/>
      <c r="S201" s="189"/>
      <c r="T201" s="189"/>
      <c r="U201" s="189"/>
      <c r="V201" s="189"/>
      <c r="W201" s="189"/>
      <c r="X201" s="189"/>
      <c r="Y201" s="189"/>
      <c r="Z201" s="189"/>
      <c r="AA201" s="189"/>
      <c r="AB201" s="189"/>
      <c r="AC201" s="189"/>
      <c r="AD201" s="147">
        <v>7</v>
      </c>
      <c r="AE201" s="189"/>
      <c r="AF201" s="189"/>
      <c r="AG201" s="189"/>
      <c r="AH201" s="190"/>
      <c r="AI201" s="100"/>
      <c r="AJ201" s="100"/>
    </row>
    <row r="202" spans="1:36" ht="45">
      <c r="A202" s="151">
        <v>106</v>
      </c>
      <c r="B202" s="152" t="s">
        <v>4557</v>
      </c>
      <c r="C202" s="144" t="s">
        <v>6082</v>
      </c>
      <c r="D202" s="145" t="s">
        <v>6083</v>
      </c>
      <c r="E202" s="146" t="s">
        <v>335</v>
      </c>
      <c r="F202" s="146" t="s">
        <v>268</v>
      </c>
      <c r="G202" s="146" t="s">
        <v>509</v>
      </c>
      <c r="H202" s="147">
        <v>14.17</v>
      </c>
      <c r="I202" s="147"/>
      <c r="J202" s="147"/>
      <c r="K202" s="189"/>
      <c r="L202" s="147"/>
      <c r="M202" s="189"/>
      <c r="N202" s="189"/>
      <c r="O202" s="189"/>
      <c r="P202" s="189"/>
      <c r="Q202" s="189"/>
      <c r="R202" s="189"/>
      <c r="S202" s="189"/>
      <c r="T202" s="189"/>
      <c r="U202" s="189"/>
      <c r="V202" s="189"/>
      <c r="W202" s="189"/>
      <c r="X202" s="189"/>
      <c r="Y202" s="189"/>
      <c r="Z202" s="189">
        <v>14.17</v>
      </c>
      <c r="AA202" s="189"/>
      <c r="AB202" s="189"/>
      <c r="AC202" s="189"/>
      <c r="AD202" s="147"/>
      <c r="AE202" s="189"/>
      <c r="AF202" s="189"/>
      <c r="AG202" s="189"/>
      <c r="AH202" s="190"/>
      <c r="AI202" s="100"/>
      <c r="AJ202" s="100"/>
    </row>
    <row r="203" spans="1:36" ht="45">
      <c r="A203" s="151">
        <v>107</v>
      </c>
      <c r="B203" s="152" t="s">
        <v>4557</v>
      </c>
      <c r="C203" s="144" t="s">
        <v>6084</v>
      </c>
      <c r="D203" s="145" t="s">
        <v>6085</v>
      </c>
      <c r="E203" s="146" t="s">
        <v>306</v>
      </c>
      <c r="F203" s="146" t="s">
        <v>272</v>
      </c>
      <c r="G203" s="146" t="s">
        <v>509</v>
      </c>
      <c r="H203" s="147">
        <v>4</v>
      </c>
      <c r="I203" s="147"/>
      <c r="J203" s="147"/>
      <c r="K203" s="189"/>
      <c r="L203" s="147"/>
      <c r="M203" s="189"/>
      <c r="N203" s="189"/>
      <c r="O203" s="189"/>
      <c r="P203" s="189"/>
      <c r="Q203" s="189"/>
      <c r="R203" s="189"/>
      <c r="S203" s="189"/>
      <c r="T203" s="189"/>
      <c r="U203" s="189"/>
      <c r="V203" s="189"/>
      <c r="W203" s="189"/>
      <c r="X203" s="189"/>
      <c r="Y203" s="189"/>
      <c r="Z203" s="189">
        <v>2.5</v>
      </c>
      <c r="AA203" s="189"/>
      <c r="AB203" s="189"/>
      <c r="AC203" s="189"/>
      <c r="AD203" s="147">
        <v>1.5</v>
      </c>
      <c r="AE203" s="189"/>
      <c r="AF203" s="189"/>
      <c r="AG203" s="189"/>
      <c r="AH203" s="190"/>
      <c r="AI203" s="100"/>
      <c r="AJ203" s="100"/>
    </row>
    <row r="204" spans="1:36" ht="45">
      <c r="A204" s="151">
        <v>108</v>
      </c>
      <c r="B204" s="152" t="s">
        <v>4557</v>
      </c>
      <c r="C204" s="144" t="s">
        <v>6086</v>
      </c>
      <c r="D204" s="145" t="s">
        <v>6087</v>
      </c>
      <c r="E204" s="146" t="s">
        <v>66</v>
      </c>
      <c r="F204" s="146" t="s">
        <v>271</v>
      </c>
      <c r="G204" s="146" t="s">
        <v>523</v>
      </c>
      <c r="H204" s="147">
        <v>6.67</v>
      </c>
      <c r="I204" s="147"/>
      <c r="J204" s="147"/>
      <c r="K204" s="189"/>
      <c r="L204" s="147"/>
      <c r="M204" s="189"/>
      <c r="N204" s="189"/>
      <c r="O204" s="189"/>
      <c r="P204" s="189"/>
      <c r="Q204" s="189">
        <v>1.67</v>
      </c>
      <c r="R204" s="189"/>
      <c r="S204" s="189"/>
      <c r="T204" s="189">
        <v>3.33</v>
      </c>
      <c r="U204" s="189"/>
      <c r="V204" s="189"/>
      <c r="W204" s="189"/>
      <c r="X204" s="189"/>
      <c r="Y204" s="189"/>
      <c r="Z204" s="189"/>
      <c r="AA204" s="189"/>
      <c r="AB204" s="189"/>
      <c r="AC204" s="189">
        <v>1.67</v>
      </c>
      <c r="AD204" s="147"/>
      <c r="AE204" s="189"/>
      <c r="AF204" s="189"/>
      <c r="AG204" s="189"/>
      <c r="AH204" s="190"/>
      <c r="AI204" s="100"/>
      <c r="AJ204" s="100"/>
    </row>
    <row r="205" spans="1:36" ht="90">
      <c r="A205" s="151">
        <v>109</v>
      </c>
      <c r="B205" s="152" t="s">
        <v>4696</v>
      </c>
      <c r="C205" s="144" t="s">
        <v>6088</v>
      </c>
      <c r="D205" s="145" t="s">
        <v>5266</v>
      </c>
      <c r="E205" s="146" t="s">
        <v>66</v>
      </c>
      <c r="F205" s="146" t="s">
        <v>271</v>
      </c>
      <c r="G205" s="146" t="s">
        <v>509</v>
      </c>
      <c r="H205" s="147">
        <v>3.83</v>
      </c>
      <c r="I205" s="147"/>
      <c r="J205" s="147"/>
      <c r="K205" s="189"/>
      <c r="L205" s="147"/>
      <c r="M205" s="189"/>
      <c r="N205" s="189"/>
      <c r="O205" s="189"/>
      <c r="P205" s="189"/>
      <c r="Q205" s="189">
        <v>0.83</v>
      </c>
      <c r="R205" s="189"/>
      <c r="S205" s="189"/>
      <c r="T205" s="189">
        <v>2.5</v>
      </c>
      <c r="U205" s="189"/>
      <c r="V205" s="189"/>
      <c r="W205" s="189"/>
      <c r="X205" s="189"/>
      <c r="Y205" s="189"/>
      <c r="Z205" s="189"/>
      <c r="AA205" s="189"/>
      <c r="AB205" s="189"/>
      <c r="AC205" s="189">
        <v>0.5</v>
      </c>
      <c r="AD205" s="147"/>
      <c r="AE205" s="189"/>
      <c r="AF205" s="189"/>
      <c r="AG205" s="189"/>
      <c r="AH205" s="190"/>
      <c r="AI205" s="100"/>
      <c r="AJ205" s="100"/>
    </row>
    <row r="206" spans="1:36" ht="45">
      <c r="A206" s="151">
        <v>110</v>
      </c>
      <c r="B206" s="152" t="s">
        <v>4557</v>
      </c>
      <c r="C206" s="144" t="s">
        <v>6089</v>
      </c>
      <c r="D206" s="145" t="s">
        <v>6090</v>
      </c>
      <c r="E206" s="146" t="s">
        <v>379</v>
      </c>
      <c r="F206" s="146" t="s">
        <v>259</v>
      </c>
      <c r="G206" s="146" t="s">
        <v>520</v>
      </c>
      <c r="H206" s="147">
        <v>5.34</v>
      </c>
      <c r="I206" s="147"/>
      <c r="J206" s="147"/>
      <c r="K206" s="189"/>
      <c r="L206" s="147"/>
      <c r="M206" s="189"/>
      <c r="N206" s="189"/>
      <c r="O206" s="189"/>
      <c r="P206" s="189"/>
      <c r="Q206" s="189">
        <v>0.67</v>
      </c>
      <c r="R206" s="189">
        <v>2</v>
      </c>
      <c r="S206" s="189"/>
      <c r="T206" s="189">
        <v>2.67</v>
      </c>
      <c r="U206" s="189"/>
      <c r="V206" s="189"/>
      <c r="W206" s="189"/>
      <c r="X206" s="189"/>
      <c r="Y206" s="189"/>
      <c r="Z206" s="189"/>
      <c r="AA206" s="189"/>
      <c r="AB206" s="189"/>
      <c r="AC206" s="189"/>
      <c r="AD206" s="147"/>
      <c r="AE206" s="189"/>
      <c r="AF206" s="189"/>
      <c r="AG206" s="189"/>
      <c r="AH206" s="190"/>
      <c r="AI206" s="100"/>
      <c r="AJ206" s="100"/>
    </row>
    <row r="207" spans="1:36" ht="45">
      <c r="A207" s="151">
        <v>111</v>
      </c>
      <c r="B207" s="152" t="s">
        <v>4557</v>
      </c>
      <c r="C207" s="144" t="s">
        <v>6091</v>
      </c>
      <c r="D207" s="145" t="s">
        <v>6090</v>
      </c>
      <c r="E207" s="146" t="s">
        <v>379</v>
      </c>
      <c r="F207" s="146" t="s">
        <v>259</v>
      </c>
      <c r="G207" s="146" t="s">
        <v>520</v>
      </c>
      <c r="H207" s="147">
        <v>5.34</v>
      </c>
      <c r="I207" s="147"/>
      <c r="J207" s="147"/>
      <c r="K207" s="189"/>
      <c r="L207" s="147"/>
      <c r="M207" s="189"/>
      <c r="N207" s="189"/>
      <c r="O207" s="189"/>
      <c r="P207" s="189"/>
      <c r="Q207" s="189">
        <v>0.67</v>
      </c>
      <c r="R207" s="189">
        <v>2</v>
      </c>
      <c r="S207" s="189"/>
      <c r="T207" s="189">
        <v>2.67</v>
      </c>
      <c r="U207" s="189"/>
      <c r="V207" s="189"/>
      <c r="W207" s="189"/>
      <c r="X207" s="189"/>
      <c r="Y207" s="189"/>
      <c r="Z207" s="189"/>
      <c r="AA207" s="189"/>
      <c r="AB207" s="189"/>
      <c r="AC207" s="189"/>
      <c r="AD207" s="147"/>
      <c r="AE207" s="189"/>
      <c r="AF207" s="189"/>
      <c r="AG207" s="189"/>
      <c r="AH207" s="190"/>
      <c r="AI207" s="100"/>
      <c r="AJ207" s="100"/>
    </row>
    <row r="208" spans="1:36" ht="45">
      <c r="A208" s="151">
        <v>112</v>
      </c>
      <c r="B208" s="152" t="s">
        <v>4637</v>
      </c>
      <c r="C208" s="144" t="s">
        <v>6092</v>
      </c>
      <c r="D208" s="145" t="s">
        <v>6093</v>
      </c>
      <c r="E208" s="146" t="s">
        <v>67</v>
      </c>
      <c r="F208" s="146" t="s">
        <v>272</v>
      </c>
      <c r="G208" s="146" t="s">
        <v>520</v>
      </c>
      <c r="H208" s="147">
        <v>31.67</v>
      </c>
      <c r="I208" s="147"/>
      <c r="J208" s="147"/>
      <c r="K208" s="189">
        <v>10</v>
      </c>
      <c r="L208" s="147">
        <v>6.67</v>
      </c>
      <c r="M208" s="189"/>
      <c r="N208" s="189"/>
      <c r="O208" s="189"/>
      <c r="P208" s="189"/>
      <c r="Q208" s="189"/>
      <c r="R208" s="189"/>
      <c r="S208" s="189"/>
      <c r="T208" s="189"/>
      <c r="U208" s="189"/>
      <c r="V208" s="189"/>
      <c r="W208" s="189"/>
      <c r="X208" s="189"/>
      <c r="Y208" s="189"/>
      <c r="Z208" s="189"/>
      <c r="AA208" s="189"/>
      <c r="AB208" s="189"/>
      <c r="AC208" s="189"/>
      <c r="AD208" s="147">
        <v>15</v>
      </c>
      <c r="AE208" s="189"/>
      <c r="AF208" s="189"/>
      <c r="AG208" s="189"/>
      <c r="AH208" s="190"/>
      <c r="AI208" s="100"/>
      <c r="AJ208" s="100"/>
    </row>
    <row r="209" spans="1:36" ht="30">
      <c r="A209" s="151">
        <v>113</v>
      </c>
      <c r="B209" s="152" t="s">
        <v>4556</v>
      </c>
      <c r="C209" s="144" t="s">
        <v>6098</v>
      </c>
      <c r="D209" s="145" t="s">
        <v>6099</v>
      </c>
      <c r="E209" s="146" t="s">
        <v>455</v>
      </c>
      <c r="F209" s="146" t="s">
        <v>274</v>
      </c>
      <c r="G209" s="146" t="s">
        <v>523</v>
      </c>
      <c r="H209" s="147">
        <v>140</v>
      </c>
      <c r="I209" s="147"/>
      <c r="J209" s="147">
        <v>28</v>
      </c>
      <c r="K209" s="189"/>
      <c r="L209" s="147"/>
      <c r="M209" s="189"/>
      <c r="N209" s="189"/>
      <c r="O209" s="189"/>
      <c r="P209" s="189"/>
      <c r="Q209" s="189"/>
      <c r="R209" s="189"/>
      <c r="S209" s="189"/>
      <c r="T209" s="189"/>
      <c r="U209" s="189"/>
      <c r="V209" s="189"/>
      <c r="W209" s="189"/>
      <c r="X209" s="189"/>
      <c r="Y209" s="189"/>
      <c r="Z209" s="189"/>
      <c r="AA209" s="189"/>
      <c r="AB209" s="189"/>
      <c r="AC209" s="189"/>
      <c r="AD209" s="147"/>
      <c r="AE209" s="189"/>
      <c r="AF209" s="189">
        <v>112</v>
      </c>
      <c r="AG209" s="189"/>
      <c r="AH209" s="190"/>
      <c r="AI209" s="100"/>
      <c r="AJ209" s="100"/>
    </row>
    <row r="210" spans="1:36" ht="30">
      <c r="A210" s="151">
        <v>114</v>
      </c>
      <c r="B210" s="152" t="s">
        <v>4556</v>
      </c>
      <c r="C210" s="144" t="s">
        <v>6100</v>
      </c>
      <c r="D210" s="145" t="s">
        <v>6101</v>
      </c>
      <c r="E210" s="146" t="s">
        <v>5789</v>
      </c>
      <c r="F210" s="146" t="s">
        <v>274</v>
      </c>
      <c r="G210" s="146" t="s">
        <v>523</v>
      </c>
      <c r="H210" s="147">
        <v>52.5</v>
      </c>
      <c r="I210" s="147"/>
      <c r="J210" s="147">
        <v>10.5</v>
      </c>
      <c r="K210" s="189"/>
      <c r="L210" s="147"/>
      <c r="M210" s="189"/>
      <c r="N210" s="189"/>
      <c r="O210" s="189"/>
      <c r="P210" s="189"/>
      <c r="Q210" s="189"/>
      <c r="R210" s="189"/>
      <c r="S210" s="189"/>
      <c r="T210" s="189"/>
      <c r="U210" s="189"/>
      <c r="V210" s="189"/>
      <c r="W210" s="189"/>
      <c r="X210" s="189"/>
      <c r="Y210" s="189"/>
      <c r="Z210" s="189"/>
      <c r="AA210" s="189"/>
      <c r="AB210" s="189"/>
      <c r="AC210" s="189"/>
      <c r="AD210" s="147"/>
      <c r="AE210" s="189"/>
      <c r="AF210" s="189">
        <v>42</v>
      </c>
      <c r="AG210" s="189"/>
      <c r="AH210" s="190"/>
      <c r="AI210" s="100"/>
      <c r="AJ210" s="100"/>
    </row>
    <row r="211" spans="1:36" ht="180">
      <c r="A211" s="151">
        <v>115</v>
      </c>
      <c r="B211" s="152" t="s">
        <v>4711</v>
      </c>
      <c r="C211" s="144" t="s">
        <v>6102</v>
      </c>
      <c r="D211" s="145" t="s">
        <v>6103</v>
      </c>
      <c r="E211" s="146" t="s">
        <v>6104</v>
      </c>
      <c r="F211" s="146" t="s">
        <v>274</v>
      </c>
      <c r="G211" s="146" t="s">
        <v>523</v>
      </c>
      <c r="H211" s="147">
        <v>541.66</v>
      </c>
      <c r="I211" s="147"/>
      <c r="J211" s="147">
        <v>108.33</v>
      </c>
      <c r="K211" s="189"/>
      <c r="L211" s="147"/>
      <c r="M211" s="189"/>
      <c r="N211" s="189"/>
      <c r="O211" s="189"/>
      <c r="P211" s="189"/>
      <c r="Q211" s="189"/>
      <c r="R211" s="189"/>
      <c r="S211" s="189"/>
      <c r="T211" s="189"/>
      <c r="U211" s="189"/>
      <c r="V211" s="189"/>
      <c r="W211" s="189"/>
      <c r="X211" s="189"/>
      <c r="Y211" s="189"/>
      <c r="Z211" s="189"/>
      <c r="AA211" s="189"/>
      <c r="AB211" s="189"/>
      <c r="AC211" s="189"/>
      <c r="AD211" s="147"/>
      <c r="AE211" s="189"/>
      <c r="AF211" s="189">
        <v>433.33</v>
      </c>
      <c r="AG211" s="189"/>
      <c r="AH211" s="190"/>
      <c r="AI211" s="100"/>
      <c r="AJ211" s="100"/>
    </row>
    <row r="212" spans="1:36" ht="30">
      <c r="A212" s="151">
        <v>116</v>
      </c>
      <c r="B212" s="152" t="s">
        <v>4556</v>
      </c>
      <c r="C212" s="144" t="s">
        <v>6105</v>
      </c>
      <c r="D212" s="145" t="s">
        <v>5649</v>
      </c>
      <c r="E212" s="146" t="s">
        <v>5786</v>
      </c>
      <c r="F212" s="146" t="s">
        <v>274</v>
      </c>
      <c r="G212" s="146" t="s">
        <v>523</v>
      </c>
      <c r="H212" s="147">
        <v>270.83999999999997</v>
      </c>
      <c r="I212" s="147"/>
      <c r="J212" s="147">
        <v>54.17</v>
      </c>
      <c r="K212" s="189"/>
      <c r="L212" s="147"/>
      <c r="M212" s="189"/>
      <c r="N212" s="189"/>
      <c r="O212" s="189"/>
      <c r="P212" s="189"/>
      <c r="Q212" s="189"/>
      <c r="R212" s="189"/>
      <c r="S212" s="189"/>
      <c r="T212" s="189"/>
      <c r="U212" s="189"/>
      <c r="V212" s="189"/>
      <c r="W212" s="189"/>
      <c r="X212" s="189"/>
      <c r="Y212" s="189"/>
      <c r="Z212" s="189"/>
      <c r="AA212" s="189"/>
      <c r="AB212" s="189"/>
      <c r="AC212" s="189"/>
      <c r="AD212" s="147"/>
      <c r="AE212" s="189"/>
      <c r="AF212" s="189">
        <v>216.67</v>
      </c>
      <c r="AG212" s="189"/>
      <c r="AH212" s="190"/>
      <c r="AI212" s="100"/>
      <c r="AJ212" s="100"/>
    </row>
    <row r="213" spans="1:36" ht="30">
      <c r="A213" s="151">
        <v>117</v>
      </c>
      <c r="B213" s="152" t="s">
        <v>4556</v>
      </c>
      <c r="C213" s="144" t="s">
        <v>6106</v>
      </c>
      <c r="D213" s="145" t="s">
        <v>5788</v>
      </c>
      <c r="E213" s="146" t="s">
        <v>5789</v>
      </c>
      <c r="F213" s="146" t="s">
        <v>274</v>
      </c>
      <c r="G213" s="146" t="s">
        <v>523</v>
      </c>
      <c r="H213" s="147">
        <v>73.5</v>
      </c>
      <c r="I213" s="147"/>
      <c r="J213" s="147">
        <v>21</v>
      </c>
      <c r="K213" s="189"/>
      <c r="L213" s="147"/>
      <c r="M213" s="189"/>
      <c r="N213" s="189"/>
      <c r="O213" s="189"/>
      <c r="P213" s="189"/>
      <c r="Q213" s="189"/>
      <c r="R213" s="189"/>
      <c r="S213" s="189"/>
      <c r="T213" s="189"/>
      <c r="U213" s="189"/>
      <c r="V213" s="189"/>
      <c r="W213" s="189"/>
      <c r="X213" s="189"/>
      <c r="Y213" s="189"/>
      <c r="Z213" s="189"/>
      <c r="AA213" s="189"/>
      <c r="AB213" s="189"/>
      <c r="AC213" s="189"/>
      <c r="AD213" s="147"/>
      <c r="AE213" s="189"/>
      <c r="AF213" s="189">
        <v>52.5</v>
      </c>
      <c r="AG213" s="189"/>
      <c r="AH213" s="190"/>
      <c r="AI213" s="100"/>
      <c r="AJ213" s="100"/>
    </row>
    <row r="214" spans="1:36" ht="180">
      <c r="A214" s="151">
        <v>118</v>
      </c>
      <c r="B214" s="152" t="s">
        <v>4711</v>
      </c>
      <c r="C214" s="144" t="s">
        <v>6107</v>
      </c>
      <c r="D214" s="145" t="s">
        <v>6103</v>
      </c>
      <c r="E214" s="146" t="s">
        <v>6104</v>
      </c>
      <c r="F214" s="146" t="s">
        <v>274</v>
      </c>
      <c r="G214" s="146" t="s">
        <v>523</v>
      </c>
      <c r="H214" s="147">
        <v>541.66</v>
      </c>
      <c r="I214" s="147"/>
      <c r="J214" s="147">
        <v>108.33</v>
      </c>
      <c r="K214" s="189"/>
      <c r="L214" s="147"/>
      <c r="M214" s="189"/>
      <c r="N214" s="189"/>
      <c r="O214" s="189"/>
      <c r="P214" s="189"/>
      <c r="Q214" s="189"/>
      <c r="R214" s="189"/>
      <c r="S214" s="189"/>
      <c r="T214" s="189"/>
      <c r="U214" s="189"/>
      <c r="V214" s="189"/>
      <c r="W214" s="189"/>
      <c r="X214" s="189"/>
      <c r="Y214" s="189"/>
      <c r="Z214" s="189"/>
      <c r="AA214" s="189"/>
      <c r="AB214" s="189"/>
      <c r="AC214" s="189"/>
      <c r="AD214" s="147"/>
      <c r="AE214" s="189"/>
      <c r="AF214" s="189">
        <v>433.33</v>
      </c>
      <c r="AG214" s="189"/>
      <c r="AH214" s="190"/>
      <c r="AI214" s="100"/>
      <c r="AJ214" s="100"/>
    </row>
    <row r="215" spans="1:36" ht="30">
      <c r="A215" s="151">
        <v>119</v>
      </c>
      <c r="B215" s="152" t="s">
        <v>4556</v>
      </c>
      <c r="C215" s="144" t="s">
        <v>6108</v>
      </c>
      <c r="D215" s="145" t="s">
        <v>6099</v>
      </c>
      <c r="E215" s="146" t="s">
        <v>455</v>
      </c>
      <c r="F215" s="146" t="s">
        <v>274</v>
      </c>
      <c r="G215" s="146" t="s">
        <v>523</v>
      </c>
      <c r="H215" s="147">
        <v>140</v>
      </c>
      <c r="I215" s="147"/>
      <c r="J215" s="147">
        <v>28</v>
      </c>
      <c r="K215" s="189"/>
      <c r="L215" s="147"/>
      <c r="M215" s="189"/>
      <c r="N215" s="189"/>
      <c r="O215" s="189"/>
      <c r="P215" s="189"/>
      <c r="Q215" s="189"/>
      <c r="R215" s="189"/>
      <c r="S215" s="189"/>
      <c r="T215" s="189"/>
      <c r="U215" s="189"/>
      <c r="V215" s="189"/>
      <c r="W215" s="189"/>
      <c r="X215" s="189"/>
      <c r="Y215" s="189"/>
      <c r="Z215" s="189"/>
      <c r="AA215" s="189"/>
      <c r="AB215" s="189"/>
      <c r="AC215" s="189"/>
      <c r="AD215" s="147"/>
      <c r="AE215" s="189"/>
      <c r="AF215" s="189">
        <v>112</v>
      </c>
      <c r="AG215" s="189"/>
      <c r="AH215" s="190"/>
      <c r="AI215" s="100"/>
      <c r="AJ215" s="100"/>
    </row>
    <row r="216" spans="1:36" ht="60">
      <c r="A216" s="151">
        <v>120</v>
      </c>
      <c r="B216" s="152" t="s">
        <v>4715</v>
      </c>
      <c r="C216" s="144" t="s">
        <v>6109</v>
      </c>
      <c r="D216" s="145" t="s">
        <v>5337</v>
      </c>
      <c r="E216" s="146" t="s">
        <v>335</v>
      </c>
      <c r="F216" s="146" t="s">
        <v>274</v>
      </c>
      <c r="G216" s="146" t="s">
        <v>523</v>
      </c>
      <c r="H216" s="147">
        <v>0.84</v>
      </c>
      <c r="I216" s="147"/>
      <c r="J216" s="147"/>
      <c r="K216" s="189"/>
      <c r="L216" s="147">
        <v>0.42</v>
      </c>
      <c r="M216" s="189"/>
      <c r="N216" s="189"/>
      <c r="O216" s="189"/>
      <c r="P216" s="189"/>
      <c r="Q216" s="189"/>
      <c r="R216" s="189"/>
      <c r="S216" s="189"/>
      <c r="T216" s="189"/>
      <c r="U216" s="189"/>
      <c r="V216" s="189"/>
      <c r="W216" s="189"/>
      <c r="X216" s="189"/>
      <c r="Y216" s="189"/>
      <c r="Z216" s="189"/>
      <c r="AA216" s="189"/>
      <c r="AB216" s="189"/>
      <c r="AC216" s="189"/>
      <c r="AD216" s="147"/>
      <c r="AE216" s="189"/>
      <c r="AF216" s="189">
        <v>0.42</v>
      </c>
      <c r="AG216" s="189"/>
      <c r="AH216" s="190"/>
      <c r="AI216" s="100"/>
      <c r="AJ216" s="100"/>
    </row>
    <row r="217" spans="1:36" ht="60">
      <c r="A217" s="151">
        <v>121</v>
      </c>
      <c r="B217" s="152" t="s">
        <v>4718</v>
      </c>
      <c r="C217" s="144" t="s">
        <v>6110</v>
      </c>
      <c r="D217" s="145" t="s">
        <v>5648</v>
      </c>
      <c r="E217" s="146" t="s">
        <v>335</v>
      </c>
      <c r="F217" s="146" t="s">
        <v>274</v>
      </c>
      <c r="G217" s="146" t="s">
        <v>523</v>
      </c>
      <c r="H217" s="147">
        <v>2.09</v>
      </c>
      <c r="I217" s="147"/>
      <c r="J217" s="147">
        <v>0.42</v>
      </c>
      <c r="K217" s="189"/>
      <c r="L217" s="147"/>
      <c r="M217" s="189"/>
      <c r="N217" s="189"/>
      <c r="O217" s="189"/>
      <c r="P217" s="189"/>
      <c r="Q217" s="189"/>
      <c r="R217" s="189"/>
      <c r="S217" s="189"/>
      <c r="T217" s="189"/>
      <c r="U217" s="189"/>
      <c r="V217" s="189"/>
      <c r="W217" s="189"/>
      <c r="X217" s="189"/>
      <c r="Y217" s="189"/>
      <c r="Z217" s="189"/>
      <c r="AA217" s="189"/>
      <c r="AB217" s="189"/>
      <c r="AC217" s="189"/>
      <c r="AD217" s="147"/>
      <c r="AE217" s="189"/>
      <c r="AF217" s="189">
        <v>1.67</v>
      </c>
      <c r="AG217" s="189"/>
      <c r="AH217" s="190"/>
      <c r="AI217" s="100"/>
      <c r="AJ217" s="100"/>
    </row>
    <row r="218" spans="1:36" ht="60">
      <c r="A218" s="151">
        <v>122</v>
      </c>
      <c r="B218" s="152" t="s">
        <v>4552</v>
      </c>
      <c r="C218" s="144" t="s">
        <v>6111</v>
      </c>
      <c r="D218" s="145" t="s">
        <v>6112</v>
      </c>
      <c r="E218" s="146" t="s">
        <v>331</v>
      </c>
      <c r="F218" s="146" t="s">
        <v>274</v>
      </c>
      <c r="G218" s="146" t="s">
        <v>511</v>
      </c>
      <c r="H218" s="147">
        <v>1.2</v>
      </c>
      <c r="I218" s="147"/>
      <c r="J218" s="147">
        <v>0.4</v>
      </c>
      <c r="K218" s="189"/>
      <c r="L218" s="147"/>
      <c r="M218" s="189"/>
      <c r="N218" s="189"/>
      <c r="O218" s="189"/>
      <c r="P218" s="189"/>
      <c r="Q218" s="189"/>
      <c r="R218" s="189"/>
      <c r="S218" s="189"/>
      <c r="T218" s="189"/>
      <c r="U218" s="189"/>
      <c r="V218" s="189"/>
      <c r="W218" s="189"/>
      <c r="X218" s="189"/>
      <c r="Y218" s="189"/>
      <c r="Z218" s="189"/>
      <c r="AA218" s="189"/>
      <c r="AB218" s="189"/>
      <c r="AC218" s="189"/>
      <c r="AD218" s="147"/>
      <c r="AE218" s="189"/>
      <c r="AF218" s="189">
        <v>0.8</v>
      </c>
      <c r="AG218" s="189"/>
      <c r="AH218" s="190"/>
      <c r="AI218" s="100"/>
      <c r="AJ218" s="100"/>
    </row>
    <row r="219" spans="1:36" ht="120">
      <c r="A219" s="151">
        <v>123</v>
      </c>
      <c r="B219" s="152" t="s">
        <v>4709</v>
      </c>
      <c r="C219" s="144" t="s">
        <v>6113</v>
      </c>
      <c r="D219" s="145" t="s">
        <v>6114</v>
      </c>
      <c r="E219" s="146" t="s">
        <v>6115</v>
      </c>
      <c r="F219" s="146" t="s">
        <v>271</v>
      </c>
      <c r="G219" s="146" t="s">
        <v>511</v>
      </c>
      <c r="H219" s="147">
        <v>31</v>
      </c>
      <c r="I219" s="147"/>
      <c r="J219" s="147"/>
      <c r="K219" s="189"/>
      <c r="L219" s="147"/>
      <c r="M219" s="189"/>
      <c r="N219" s="189"/>
      <c r="O219" s="189"/>
      <c r="P219" s="189"/>
      <c r="Q219" s="189">
        <v>12.4</v>
      </c>
      <c r="R219" s="189"/>
      <c r="S219" s="189"/>
      <c r="T219" s="189">
        <v>12.4</v>
      </c>
      <c r="U219" s="189"/>
      <c r="V219" s="189"/>
      <c r="W219" s="189"/>
      <c r="X219" s="189"/>
      <c r="Y219" s="189"/>
      <c r="Z219" s="189"/>
      <c r="AA219" s="189"/>
      <c r="AB219" s="189"/>
      <c r="AC219" s="189">
        <v>6.2</v>
      </c>
      <c r="AD219" s="147"/>
      <c r="AE219" s="189"/>
      <c r="AF219" s="189"/>
      <c r="AG219" s="189"/>
      <c r="AH219" s="190"/>
      <c r="AI219" s="100"/>
      <c r="AJ219" s="100"/>
    </row>
    <row r="220" spans="1:36" ht="30">
      <c r="A220" s="151">
        <v>124</v>
      </c>
      <c r="B220" s="152" t="s">
        <v>4556</v>
      </c>
      <c r="C220" s="144" t="s">
        <v>6116</v>
      </c>
      <c r="D220" s="145" t="s">
        <v>6117</v>
      </c>
      <c r="E220" s="146" t="s">
        <v>300</v>
      </c>
      <c r="F220" s="146" t="s">
        <v>259</v>
      </c>
      <c r="G220" s="146" t="s">
        <v>511</v>
      </c>
      <c r="H220" s="147">
        <v>3</v>
      </c>
      <c r="I220" s="147"/>
      <c r="J220" s="147"/>
      <c r="K220" s="189"/>
      <c r="L220" s="147"/>
      <c r="M220" s="189"/>
      <c r="N220" s="189"/>
      <c r="O220" s="189"/>
      <c r="P220" s="189"/>
      <c r="Q220" s="189">
        <v>0.2</v>
      </c>
      <c r="R220" s="189">
        <v>1</v>
      </c>
      <c r="S220" s="189"/>
      <c r="T220" s="189">
        <v>1.8</v>
      </c>
      <c r="U220" s="189"/>
      <c r="V220" s="189"/>
      <c r="W220" s="189"/>
      <c r="X220" s="189"/>
      <c r="Y220" s="189"/>
      <c r="Z220" s="189"/>
      <c r="AA220" s="189"/>
      <c r="AB220" s="189"/>
      <c r="AC220" s="189"/>
      <c r="AD220" s="147"/>
      <c r="AE220" s="189"/>
      <c r="AF220" s="189"/>
      <c r="AG220" s="189"/>
      <c r="AH220" s="190"/>
      <c r="AI220" s="100"/>
      <c r="AJ220" s="100"/>
    </row>
    <row r="221" spans="1:36" ht="30">
      <c r="A221" s="151">
        <v>125</v>
      </c>
      <c r="B221" s="152" t="s">
        <v>4556</v>
      </c>
      <c r="C221" s="144" t="s">
        <v>6118</v>
      </c>
      <c r="D221" s="145" t="s">
        <v>6119</v>
      </c>
      <c r="E221" s="146" t="s">
        <v>312</v>
      </c>
      <c r="F221" s="146" t="s">
        <v>259</v>
      </c>
      <c r="G221" s="146" t="s">
        <v>511</v>
      </c>
      <c r="H221" s="147">
        <v>3.9</v>
      </c>
      <c r="I221" s="147"/>
      <c r="J221" s="147"/>
      <c r="K221" s="189"/>
      <c r="L221" s="147"/>
      <c r="M221" s="189"/>
      <c r="N221" s="189"/>
      <c r="O221" s="189"/>
      <c r="P221" s="189"/>
      <c r="Q221" s="189">
        <v>0.3</v>
      </c>
      <c r="R221" s="189">
        <v>1.2</v>
      </c>
      <c r="S221" s="189"/>
      <c r="T221" s="189">
        <v>2.4</v>
      </c>
      <c r="U221" s="189"/>
      <c r="V221" s="189"/>
      <c r="W221" s="189"/>
      <c r="X221" s="189"/>
      <c r="Y221" s="189"/>
      <c r="Z221" s="189"/>
      <c r="AA221" s="189"/>
      <c r="AB221" s="189"/>
      <c r="AC221" s="189"/>
      <c r="AD221" s="147"/>
      <c r="AE221" s="189"/>
      <c r="AF221" s="189"/>
      <c r="AG221" s="189"/>
      <c r="AH221" s="190"/>
      <c r="AI221" s="100"/>
      <c r="AJ221" s="100"/>
    </row>
    <row r="222" spans="1:36" ht="90">
      <c r="A222" s="151">
        <v>126</v>
      </c>
      <c r="B222" s="152" t="s">
        <v>4691</v>
      </c>
      <c r="C222" s="144" t="s">
        <v>6120</v>
      </c>
      <c r="D222" s="145" t="s">
        <v>6121</v>
      </c>
      <c r="E222" s="146" t="s">
        <v>4974</v>
      </c>
      <c r="F222" s="146" t="s">
        <v>271</v>
      </c>
      <c r="G222" s="146" t="s">
        <v>511</v>
      </c>
      <c r="H222" s="147">
        <v>4.68</v>
      </c>
      <c r="I222" s="147"/>
      <c r="J222" s="147"/>
      <c r="K222" s="189"/>
      <c r="L222" s="147"/>
      <c r="M222" s="189"/>
      <c r="N222" s="189"/>
      <c r="O222" s="189"/>
      <c r="P222" s="189"/>
      <c r="Q222" s="189">
        <v>1.3</v>
      </c>
      <c r="R222" s="189"/>
      <c r="S222" s="189"/>
      <c r="T222" s="189">
        <v>2.6</v>
      </c>
      <c r="U222" s="189"/>
      <c r="V222" s="189"/>
      <c r="W222" s="189"/>
      <c r="X222" s="189"/>
      <c r="Y222" s="189"/>
      <c r="Z222" s="189"/>
      <c r="AA222" s="189"/>
      <c r="AB222" s="189"/>
      <c r="AC222" s="189">
        <v>0.78</v>
      </c>
      <c r="AD222" s="147"/>
      <c r="AE222" s="189"/>
      <c r="AF222" s="189"/>
      <c r="AG222" s="189"/>
      <c r="AH222" s="190"/>
      <c r="AI222" s="100"/>
      <c r="AJ222" s="100"/>
    </row>
    <row r="223" spans="1:36" ht="30">
      <c r="A223" s="151">
        <v>127</v>
      </c>
      <c r="B223" s="152" t="s">
        <v>4556</v>
      </c>
      <c r="C223" s="144" t="s">
        <v>6122</v>
      </c>
      <c r="D223" s="145" t="s">
        <v>5700</v>
      </c>
      <c r="E223" s="146" t="s">
        <v>430</v>
      </c>
      <c r="F223" s="146" t="s">
        <v>272</v>
      </c>
      <c r="G223" s="146" t="s">
        <v>518</v>
      </c>
      <c r="H223" s="147">
        <v>8.9</v>
      </c>
      <c r="I223" s="147"/>
      <c r="J223" s="147"/>
      <c r="K223" s="189"/>
      <c r="L223" s="147">
        <v>0.97</v>
      </c>
      <c r="M223" s="189"/>
      <c r="N223" s="189"/>
      <c r="O223" s="189"/>
      <c r="P223" s="189"/>
      <c r="Q223" s="189"/>
      <c r="R223" s="189"/>
      <c r="S223" s="189"/>
      <c r="T223" s="189"/>
      <c r="U223" s="189"/>
      <c r="V223" s="189"/>
      <c r="W223" s="189"/>
      <c r="X223" s="189"/>
      <c r="Y223" s="189"/>
      <c r="Z223" s="189"/>
      <c r="AA223" s="189"/>
      <c r="AB223" s="189"/>
      <c r="AC223" s="189"/>
      <c r="AD223" s="147">
        <v>7.93</v>
      </c>
      <c r="AE223" s="189"/>
      <c r="AF223" s="189"/>
      <c r="AG223" s="189"/>
      <c r="AH223" s="190"/>
      <c r="AI223" s="100"/>
      <c r="AJ223" s="100"/>
    </row>
    <row r="224" spans="1:36" ht="30">
      <c r="A224" s="151">
        <v>128</v>
      </c>
      <c r="B224" s="152" t="s">
        <v>4556</v>
      </c>
      <c r="C224" s="144" t="s">
        <v>6123</v>
      </c>
      <c r="D224" s="145" t="s">
        <v>6124</v>
      </c>
      <c r="E224" s="146" t="s">
        <v>379</v>
      </c>
      <c r="F224" s="146" t="s">
        <v>274</v>
      </c>
      <c r="G224" s="146" t="s">
        <v>518</v>
      </c>
      <c r="H224" s="147">
        <v>2.9</v>
      </c>
      <c r="I224" s="147"/>
      <c r="J224" s="147"/>
      <c r="K224" s="189"/>
      <c r="L224" s="147">
        <v>0.67</v>
      </c>
      <c r="M224" s="189"/>
      <c r="N224" s="189"/>
      <c r="O224" s="189"/>
      <c r="P224" s="189"/>
      <c r="Q224" s="189"/>
      <c r="R224" s="189"/>
      <c r="S224" s="189"/>
      <c r="T224" s="189"/>
      <c r="U224" s="189"/>
      <c r="V224" s="189"/>
      <c r="W224" s="189"/>
      <c r="X224" s="189"/>
      <c r="Y224" s="189"/>
      <c r="Z224" s="189"/>
      <c r="AA224" s="189"/>
      <c r="AB224" s="189"/>
      <c r="AC224" s="189"/>
      <c r="AD224" s="147"/>
      <c r="AE224" s="189"/>
      <c r="AF224" s="189">
        <v>2.23</v>
      </c>
      <c r="AG224" s="189"/>
      <c r="AH224" s="190"/>
      <c r="AI224" s="100"/>
      <c r="AJ224" s="100"/>
    </row>
    <row r="225" spans="1:36" ht="75">
      <c r="A225" s="151">
        <v>129</v>
      </c>
      <c r="B225" s="152" t="s">
        <v>4552</v>
      </c>
      <c r="C225" s="144" t="s">
        <v>6125</v>
      </c>
      <c r="D225" s="145" t="s">
        <v>6126</v>
      </c>
      <c r="E225" s="146" t="s">
        <v>306</v>
      </c>
      <c r="F225" s="146" t="s">
        <v>271</v>
      </c>
      <c r="G225" s="146" t="s">
        <v>265</v>
      </c>
      <c r="H225" s="147">
        <v>1.25</v>
      </c>
      <c r="I225" s="147"/>
      <c r="J225" s="147"/>
      <c r="K225" s="189"/>
      <c r="L225" s="147"/>
      <c r="M225" s="189"/>
      <c r="N225" s="189"/>
      <c r="O225" s="189"/>
      <c r="P225" s="189"/>
      <c r="Q225" s="189"/>
      <c r="R225" s="189"/>
      <c r="S225" s="189"/>
      <c r="T225" s="189">
        <v>1</v>
      </c>
      <c r="U225" s="189"/>
      <c r="V225" s="189"/>
      <c r="W225" s="189"/>
      <c r="X225" s="189"/>
      <c r="Y225" s="189"/>
      <c r="Z225" s="189"/>
      <c r="AA225" s="189"/>
      <c r="AB225" s="189"/>
      <c r="AC225" s="189">
        <v>0.25</v>
      </c>
      <c r="AD225" s="147"/>
      <c r="AE225" s="189"/>
      <c r="AF225" s="189"/>
      <c r="AG225" s="189"/>
      <c r="AH225" s="190"/>
      <c r="AI225" s="100"/>
      <c r="AJ225" s="100"/>
    </row>
    <row r="226" spans="1:36" ht="75">
      <c r="A226" s="151">
        <v>130</v>
      </c>
      <c r="B226" s="152" t="s">
        <v>4552</v>
      </c>
      <c r="C226" s="144" t="s">
        <v>6127</v>
      </c>
      <c r="D226" s="145" t="s">
        <v>6128</v>
      </c>
      <c r="E226" s="146" t="s">
        <v>316</v>
      </c>
      <c r="F226" s="146" t="s">
        <v>271</v>
      </c>
      <c r="G226" s="146" t="s">
        <v>265</v>
      </c>
      <c r="H226" s="147">
        <v>1</v>
      </c>
      <c r="I226" s="147"/>
      <c r="J226" s="147"/>
      <c r="K226" s="189"/>
      <c r="L226" s="147"/>
      <c r="M226" s="189"/>
      <c r="N226" s="189"/>
      <c r="O226" s="189"/>
      <c r="P226" s="189"/>
      <c r="Q226" s="189"/>
      <c r="R226" s="189"/>
      <c r="S226" s="189"/>
      <c r="T226" s="189">
        <v>0.67</v>
      </c>
      <c r="U226" s="189"/>
      <c r="V226" s="189"/>
      <c r="W226" s="189"/>
      <c r="X226" s="189"/>
      <c r="Y226" s="189"/>
      <c r="Z226" s="189"/>
      <c r="AA226" s="189"/>
      <c r="AB226" s="189"/>
      <c r="AC226" s="189">
        <v>0.33</v>
      </c>
      <c r="AD226" s="147"/>
      <c r="AE226" s="189"/>
      <c r="AF226" s="189"/>
      <c r="AG226" s="189"/>
      <c r="AH226" s="190"/>
      <c r="AI226" s="100"/>
      <c r="AJ226" s="100"/>
    </row>
    <row r="227" spans="1:36" ht="75">
      <c r="A227" s="151">
        <v>131</v>
      </c>
      <c r="B227" s="152" t="s">
        <v>4552</v>
      </c>
      <c r="C227" s="144" t="s">
        <v>6129</v>
      </c>
      <c r="D227" s="145" t="s">
        <v>6130</v>
      </c>
      <c r="E227" s="146" t="s">
        <v>316</v>
      </c>
      <c r="F227" s="146" t="s">
        <v>271</v>
      </c>
      <c r="G227" s="146" t="s">
        <v>265</v>
      </c>
      <c r="H227" s="147">
        <v>1</v>
      </c>
      <c r="I227" s="147"/>
      <c r="J227" s="147"/>
      <c r="K227" s="189"/>
      <c r="L227" s="147"/>
      <c r="M227" s="189"/>
      <c r="N227" s="189"/>
      <c r="O227" s="189"/>
      <c r="P227" s="189"/>
      <c r="Q227" s="189"/>
      <c r="R227" s="189"/>
      <c r="S227" s="189"/>
      <c r="T227" s="189">
        <v>0.67</v>
      </c>
      <c r="U227" s="189"/>
      <c r="V227" s="189"/>
      <c r="W227" s="189"/>
      <c r="X227" s="189"/>
      <c r="Y227" s="189"/>
      <c r="Z227" s="189"/>
      <c r="AA227" s="189"/>
      <c r="AB227" s="189"/>
      <c r="AC227" s="189">
        <v>0.33</v>
      </c>
      <c r="AD227" s="147"/>
      <c r="AE227" s="189"/>
      <c r="AF227" s="189"/>
      <c r="AG227" s="189"/>
      <c r="AH227" s="190"/>
      <c r="AI227" s="100"/>
      <c r="AJ227" s="100"/>
    </row>
    <row r="228" spans="1:36" ht="75">
      <c r="A228" s="151">
        <v>132</v>
      </c>
      <c r="B228" s="152" t="s">
        <v>4552</v>
      </c>
      <c r="C228" s="144" t="s">
        <v>6131</v>
      </c>
      <c r="D228" s="145" t="s">
        <v>6132</v>
      </c>
      <c r="E228" s="146" t="s">
        <v>349</v>
      </c>
      <c r="F228" s="146" t="s">
        <v>271</v>
      </c>
      <c r="G228" s="146" t="s">
        <v>265</v>
      </c>
      <c r="H228" s="147">
        <v>2.23</v>
      </c>
      <c r="I228" s="147"/>
      <c r="J228" s="147"/>
      <c r="K228" s="189"/>
      <c r="L228" s="147"/>
      <c r="M228" s="189"/>
      <c r="N228" s="189"/>
      <c r="O228" s="189"/>
      <c r="P228" s="189"/>
      <c r="Q228" s="189"/>
      <c r="R228" s="189"/>
      <c r="S228" s="189"/>
      <c r="T228" s="189">
        <v>2</v>
      </c>
      <c r="U228" s="189"/>
      <c r="V228" s="189"/>
      <c r="W228" s="189"/>
      <c r="X228" s="189"/>
      <c r="Y228" s="189"/>
      <c r="Z228" s="189"/>
      <c r="AA228" s="189"/>
      <c r="AB228" s="189"/>
      <c r="AC228" s="189">
        <v>0.23</v>
      </c>
      <c r="AD228" s="147"/>
      <c r="AE228" s="189"/>
      <c r="AF228" s="189"/>
      <c r="AG228" s="189"/>
      <c r="AH228" s="190"/>
      <c r="AI228" s="100"/>
      <c r="AJ228" s="100"/>
    </row>
    <row r="229" spans="1:36" ht="75">
      <c r="A229" s="151">
        <v>133</v>
      </c>
      <c r="B229" s="152" t="s">
        <v>4552</v>
      </c>
      <c r="C229" s="144" t="s">
        <v>6133</v>
      </c>
      <c r="D229" s="145" t="s">
        <v>6134</v>
      </c>
      <c r="E229" s="146" t="s">
        <v>66</v>
      </c>
      <c r="F229" s="146" t="s">
        <v>271</v>
      </c>
      <c r="G229" s="146" t="s">
        <v>265</v>
      </c>
      <c r="H229" s="147">
        <v>2.5</v>
      </c>
      <c r="I229" s="147"/>
      <c r="J229" s="147"/>
      <c r="K229" s="189"/>
      <c r="L229" s="147"/>
      <c r="M229" s="189"/>
      <c r="N229" s="189"/>
      <c r="O229" s="189"/>
      <c r="P229" s="189"/>
      <c r="Q229" s="189"/>
      <c r="R229" s="189"/>
      <c r="S229" s="189"/>
      <c r="T229" s="189">
        <v>1.67</v>
      </c>
      <c r="U229" s="189"/>
      <c r="V229" s="189"/>
      <c r="W229" s="189"/>
      <c r="X229" s="189"/>
      <c r="Y229" s="189"/>
      <c r="Z229" s="189"/>
      <c r="AA229" s="189"/>
      <c r="AB229" s="189"/>
      <c r="AC229" s="189">
        <v>0.83</v>
      </c>
      <c r="AD229" s="147"/>
      <c r="AE229" s="189"/>
      <c r="AF229" s="189"/>
      <c r="AG229" s="189"/>
      <c r="AH229" s="190"/>
      <c r="AI229" s="100"/>
      <c r="AJ229" s="100"/>
    </row>
    <row r="230" spans="1:36" ht="60">
      <c r="A230" s="151">
        <v>134</v>
      </c>
      <c r="B230" s="152" t="s">
        <v>4552</v>
      </c>
      <c r="C230" s="144" t="s">
        <v>6135</v>
      </c>
      <c r="D230" s="145" t="s">
        <v>6136</v>
      </c>
      <c r="E230" s="146" t="s">
        <v>296</v>
      </c>
      <c r="F230" s="146" t="s">
        <v>271</v>
      </c>
      <c r="G230" s="146" t="s">
        <v>265</v>
      </c>
      <c r="H230" s="147">
        <v>0.67</v>
      </c>
      <c r="I230" s="147"/>
      <c r="J230" s="147"/>
      <c r="K230" s="189"/>
      <c r="L230" s="147"/>
      <c r="M230" s="189"/>
      <c r="N230" s="189"/>
      <c r="O230" s="189"/>
      <c r="P230" s="189"/>
      <c r="Q230" s="189"/>
      <c r="R230" s="189"/>
      <c r="S230" s="189"/>
      <c r="T230" s="189">
        <v>0.5</v>
      </c>
      <c r="U230" s="189"/>
      <c r="V230" s="189"/>
      <c r="W230" s="189"/>
      <c r="X230" s="189"/>
      <c r="Y230" s="189"/>
      <c r="Z230" s="189"/>
      <c r="AA230" s="189"/>
      <c r="AB230" s="189"/>
      <c r="AC230" s="189">
        <v>0.17</v>
      </c>
      <c r="AD230" s="147"/>
      <c r="AE230" s="189"/>
      <c r="AF230" s="189"/>
      <c r="AG230" s="189"/>
      <c r="AH230" s="190"/>
      <c r="AI230" s="100"/>
      <c r="AJ230" s="100"/>
    </row>
    <row r="231" spans="1:36" ht="60">
      <c r="A231" s="151">
        <v>135</v>
      </c>
      <c r="B231" s="152" t="s">
        <v>4552</v>
      </c>
      <c r="C231" s="144" t="s">
        <v>6137</v>
      </c>
      <c r="D231" s="145" t="s">
        <v>6138</v>
      </c>
      <c r="E231" s="146" t="s">
        <v>66</v>
      </c>
      <c r="F231" s="146" t="s">
        <v>271</v>
      </c>
      <c r="G231" s="146" t="s">
        <v>265</v>
      </c>
      <c r="H231" s="147">
        <v>4.16</v>
      </c>
      <c r="I231" s="147"/>
      <c r="J231" s="147"/>
      <c r="K231" s="189"/>
      <c r="L231" s="147"/>
      <c r="M231" s="189"/>
      <c r="N231" s="189"/>
      <c r="O231" s="189"/>
      <c r="P231" s="189"/>
      <c r="Q231" s="189"/>
      <c r="R231" s="189"/>
      <c r="S231" s="189"/>
      <c r="T231" s="189">
        <v>3.33</v>
      </c>
      <c r="U231" s="189"/>
      <c r="V231" s="189"/>
      <c r="W231" s="189"/>
      <c r="X231" s="189"/>
      <c r="Y231" s="189"/>
      <c r="Z231" s="189"/>
      <c r="AA231" s="189"/>
      <c r="AB231" s="189"/>
      <c r="AC231" s="189">
        <v>0.83</v>
      </c>
      <c r="AD231" s="147"/>
      <c r="AE231" s="189"/>
      <c r="AF231" s="189"/>
      <c r="AG231" s="189"/>
      <c r="AH231" s="190"/>
      <c r="AI231" s="100"/>
      <c r="AJ231" s="100"/>
    </row>
    <row r="232" spans="1:36" ht="60">
      <c r="A232" s="151">
        <v>136</v>
      </c>
      <c r="B232" s="152" t="s">
        <v>4552</v>
      </c>
      <c r="C232" s="144" t="s">
        <v>6139</v>
      </c>
      <c r="D232" s="145" t="s">
        <v>6140</v>
      </c>
      <c r="E232" s="146" t="s">
        <v>360</v>
      </c>
      <c r="F232" s="146" t="s">
        <v>271</v>
      </c>
      <c r="G232" s="146" t="s">
        <v>265</v>
      </c>
      <c r="H232" s="147">
        <v>2.91</v>
      </c>
      <c r="I232" s="147"/>
      <c r="J232" s="147"/>
      <c r="K232" s="189"/>
      <c r="L232" s="147"/>
      <c r="M232" s="189"/>
      <c r="N232" s="189"/>
      <c r="O232" s="189"/>
      <c r="P232" s="189"/>
      <c r="Q232" s="189"/>
      <c r="R232" s="189"/>
      <c r="S232" s="189"/>
      <c r="T232" s="189">
        <v>2.33</v>
      </c>
      <c r="U232" s="189"/>
      <c r="V232" s="189"/>
      <c r="W232" s="189"/>
      <c r="X232" s="189"/>
      <c r="Y232" s="189"/>
      <c r="Z232" s="189"/>
      <c r="AA232" s="189"/>
      <c r="AB232" s="189"/>
      <c r="AC232" s="189">
        <v>0.57999999999999996</v>
      </c>
      <c r="AD232" s="147"/>
      <c r="AE232" s="189"/>
      <c r="AF232" s="189"/>
      <c r="AG232" s="189"/>
      <c r="AH232" s="190"/>
      <c r="AI232" s="100"/>
      <c r="AJ232" s="100"/>
    </row>
    <row r="233" spans="1:36" ht="75">
      <c r="A233" s="151">
        <v>137</v>
      </c>
      <c r="B233" s="152" t="s">
        <v>4552</v>
      </c>
      <c r="C233" s="144" t="s">
        <v>6141</v>
      </c>
      <c r="D233" s="145" t="s">
        <v>6142</v>
      </c>
      <c r="E233" s="146" t="s">
        <v>419</v>
      </c>
      <c r="F233" s="146" t="s">
        <v>271</v>
      </c>
      <c r="G233" s="146" t="s">
        <v>265</v>
      </c>
      <c r="H233" s="147">
        <v>4.59</v>
      </c>
      <c r="I233" s="147"/>
      <c r="J233" s="147"/>
      <c r="K233" s="189"/>
      <c r="L233" s="147"/>
      <c r="M233" s="189"/>
      <c r="N233" s="189"/>
      <c r="O233" s="189"/>
      <c r="P233" s="189"/>
      <c r="Q233" s="189"/>
      <c r="R233" s="189"/>
      <c r="S233" s="189"/>
      <c r="T233" s="189">
        <v>3.67</v>
      </c>
      <c r="U233" s="189"/>
      <c r="V233" s="189"/>
      <c r="W233" s="189"/>
      <c r="X233" s="189"/>
      <c r="Y233" s="189"/>
      <c r="Z233" s="189"/>
      <c r="AA233" s="189"/>
      <c r="AB233" s="189"/>
      <c r="AC233" s="189">
        <v>0.92</v>
      </c>
      <c r="AD233" s="147"/>
      <c r="AE233" s="189"/>
      <c r="AF233" s="189"/>
      <c r="AG233" s="189"/>
      <c r="AH233" s="190"/>
      <c r="AI233" s="100"/>
      <c r="AJ233" s="100"/>
    </row>
    <row r="234" spans="1:36" ht="30">
      <c r="A234" s="151">
        <v>138</v>
      </c>
      <c r="B234" s="152" t="s">
        <v>4556</v>
      </c>
      <c r="C234" s="144" t="s">
        <v>6143</v>
      </c>
      <c r="D234" s="145" t="s">
        <v>6144</v>
      </c>
      <c r="E234" s="146" t="s">
        <v>6145</v>
      </c>
      <c r="F234" s="146" t="s">
        <v>271</v>
      </c>
      <c r="G234" s="146" t="s">
        <v>518</v>
      </c>
      <c r="H234" s="147">
        <v>5.88</v>
      </c>
      <c r="I234" s="147"/>
      <c r="J234" s="147"/>
      <c r="K234" s="189"/>
      <c r="L234" s="147"/>
      <c r="M234" s="189"/>
      <c r="N234" s="189"/>
      <c r="O234" s="189"/>
      <c r="P234" s="189"/>
      <c r="Q234" s="189"/>
      <c r="R234" s="189"/>
      <c r="S234" s="189"/>
      <c r="T234" s="189">
        <v>4.2</v>
      </c>
      <c r="U234" s="189"/>
      <c r="V234" s="189"/>
      <c r="W234" s="189"/>
      <c r="X234" s="189"/>
      <c r="Y234" s="189"/>
      <c r="Z234" s="189"/>
      <c r="AA234" s="189"/>
      <c r="AB234" s="189"/>
      <c r="AC234" s="189">
        <v>1.68</v>
      </c>
      <c r="AD234" s="147"/>
      <c r="AE234" s="189"/>
      <c r="AF234" s="189"/>
      <c r="AG234" s="189"/>
      <c r="AH234" s="190"/>
      <c r="AI234" s="100"/>
      <c r="AJ234" s="100"/>
    </row>
    <row r="235" spans="1:36" ht="30">
      <c r="A235" s="151">
        <v>139</v>
      </c>
      <c r="B235" s="152" t="s">
        <v>4552</v>
      </c>
      <c r="C235" s="144" t="s">
        <v>6146</v>
      </c>
      <c r="D235" s="145" t="s">
        <v>6147</v>
      </c>
      <c r="E235" s="146" t="s">
        <v>5242</v>
      </c>
      <c r="F235" s="146" t="s">
        <v>271</v>
      </c>
      <c r="G235" s="146" t="s">
        <v>518</v>
      </c>
      <c r="H235" s="147">
        <v>10.88</v>
      </c>
      <c r="I235" s="147"/>
      <c r="J235" s="147"/>
      <c r="K235" s="189"/>
      <c r="L235" s="147"/>
      <c r="M235" s="189"/>
      <c r="N235" s="189"/>
      <c r="O235" s="189"/>
      <c r="P235" s="189"/>
      <c r="Q235" s="189"/>
      <c r="R235" s="189"/>
      <c r="S235" s="189"/>
      <c r="T235" s="189">
        <v>6.4</v>
      </c>
      <c r="U235" s="189"/>
      <c r="V235" s="189"/>
      <c r="W235" s="189"/>
      <c r="X235" s="189"/>
      <c r="Y235" s="189"/>
      <c r="Z235" s="189"/>
      <c r="AA235" s="189"/>
      <c r="AB235" s="189"/>
      <c r="AC235" s="189">
        <v>1.28</v>
      </c>
      <c r="AD235" s="147"/>
      <c r="AE235" s="189"/>
      <c r="AF235" s="189"/>
      <c r="AG235" s="189"/>
      <c r="AH235" s="190">
        <v>3.2</v>
      </c>
      <c r="AI235" s="100"/>
      <c r="AJ235" s="100"/>
    </row>
    <row r="236" spans="1:36" ht="75">
      <c r="A236" s="151">
        <v>140</v>
      </c>
      <c r="B236" s="152" t="s">
        <v>4724</v>
      </c>
      <c r="C236" s="144" t="s">
        <v>6148</v>
      </c>
      <c r="D236" s="145" t="s">
        <v>5653</v>
      </c>
      <c r="E236" s="146" t="s">
        <v>66</v>
      </c>
      <c r="F236" s="146" t="s">
        <v>268</v>
      </c>
      <c r="G236" s="146" t="s">
        <v>523</v>
      </c>
      <c r="H236" s="147">
        <v>35</v>
      </c>
      <c r="I236" s="147"/>
      <c r="J236" s="147"/>
      <c r="K236" s="189"/>
      <c r="L236" s="147"/>
      <c r="M236" s="189"/>
      <c r="N236" s="189"/>
      <c r="O236" s="189"/>
      <c r="P236" s="189"/>
      <c r="Q236" s="189"/>
      <c r="R236" s="189"/>
      <c r="S236" s="189"/>
      <c r="T236" s="189"/>
      <c r="U236" s="189"/>
      <c r="V236" s="189"/>
      <c r="W236" s="189"/>
      <c r="X236" s="189"/>
      <c r="Y236" s="189"/>
      <c r="Z236" s="189">
        <v>35</v>
      </c>
      <c r="AA236" s="189"/>
      <c r="AB236" s="189"/>
      <c r="AC236" s="189"/>
      <c r="AD236" s="147"/>
      <c r="AE236" s="189"/>
      <c r="AF236" s="189"/>
      <c r="AG236" s="189"/>
      <c r="AH236" s="190"/>
      <c r="AI236" s="100"/>
      <c r="AJ236" s="100"/>
    </row>
    <row r="237" spans="1:36" ht="30">
      <c r="A237" s="151">
        <v>141</v>
      </c>
      <c r="B237" s="152" t="s">
        <v>4556</v>
      </c>
      <c r="C237" s="144" t="s">
        <v>6149</v>
      </c>
      <c r="D237" s="145" t="s">
        <v>6150</v>
      </c>
      <c r="E237" s="146" t="s">
        <v>436</v>
      </c>
      <c r="F237" s="146" t="s">
        <v>259</v>
      </c>
      <c r="G237" s="146" t="s">
        <v>511</v>
      </c>
      <c r="H237" s="147">
        <v>13</v>
      </c>
      <c r="I237" s="147"/>
      <c r="J237" s="147"/>
      <c r="K237" s="189"/>
      <c r="L237" s="147"/>
      <c r="M237" s="189"/>
      <c r="N237" s="189"/>
      <c r="O237" s="189"/>
      <c r="P237" s="189"/>
      <c r="Q237" s="189">
        <v>1</v>
      </c>
      <c r="R237" s="189">
        <v>4</v>
      </c>
      <c r="S237" s="189"/>
      <c r="T237" s="189">
        <v>8</v>
      </c>
      <c r="U237" s="189"/>
      <c r="V237" s="189"/>
      <c r="W237" s="189"/>
      <c r="X237" s="189"/>
      <c r="Y237" s="189"/>
      <c r="Z237" s="189"/>
      <c r="AA237" s="189"/>
      <c r="AB237" s="189"/>
      <c r="AC237" s="189"/>
      <c r="AD237" s="147"/>
      <c r="AE237" s="189"/>
      <c r="AF237" s="189"/>
      <c r="AG237" s="189"/>
      <c r="AH237" s="190"/>
      <c r="AI237" s="100"/>
      <c r="AJ237" s="100"/>
    </row>
    <row r="238" spans="1:36" ht="30">
      <c r="A238" s="151">
        <v>142</v>
      </c>
      <c r="B238" s="152" t="s">
        <v>4552</v>
      </c>
      <c r="C238" s="144" t="s">
        <v>6151</v>
      </c>
      <c r="D238" s="145" t="s">
        <v>6152</v>
      </c>
      <c r="E238" s="146" t="s">
        <v>6153</v>
      </c>
      <c r="F238" s="146" t="s">
        <v>268</v>
      </c>
      <c r="G238" s="146" t="s">
        <v>511</v>
      </c>
      <c r="H238" s="147">
        <v>18.670000000000002</v>
      </c>
      <c r="I238" s="147"/>
      <c r="J238" s="147"/>
      <c r="K238" s="189"/>
      <c r="L238" s="147"/>
      <c r="M238" s="189"/>
      <c r="N238" s="189"/>
      <c r="O238" s="189"/>
      <c r="P238" s="189"/>
      <c r="Q238" s="189"/>
      <c r="R238" s="189"/>
      <c r="S238" s="189"/>
      <c r="T238" s="189"/>
      <c r="U238" s="189"/>
      <c r="V238" s="189"/>
      <c r="W238" s="189"/>
      <c r="X238" s="189"/>
      <c r="Y238" s="189"/>
      <c r="Z238" s="189">
        <v>18.670000000000002</v>
      </c>
      <c r="AA238" s="189"/>
      <c r="AB238" s="189"/>
      <c r="AC238" s="189"/>
      <c r="AD238" s="147"/>
      <c r="AE238" s="189"/>
      <c r="AF238" s="189"/>
      <c r="AG238" s="189"/>
      <c r="AH238" s="190"/>
      <c r="AI238" s="100"/>
      <c r="AJ238" s="100"/>
    </row>
    <row r="239" spans="1:36" ht="30">
      <c r="A239" s="151">
        <v>143</v>
      </c>
      <c r="B239" s="152" t="s">
        <v>4556</v>
      </c>
      <c r="C239" s="144" t="s">
        <v>6154</v>
      </c>
      <c r="D239" s="145" t="s">
        <v>6155</v>
      </c>
      <c r="E239" s="146" t="s">
        <v>300</v>
      </c>
      <c r="F239" s="146" t="s">
        <v>259</v>
      </c>
      <c r="G239" s="146" t="s">
        <v>511</v>
      </c>
      <c r="H239" s="147">
        <v>4.2</v>
      </c>
      <c r="I239" s="147"/>
      <c r="J239" s="147"/>
      <c r="K239" s="189"/>
      <c r="L239" s="147"/>
      <c r="M239" s="189"/>
      <c r="N239" s="189"/>
      <c r="O239" s="189"/>
      <c r="P239" s="189"/>
      <c r="Q239" s="189">
        <v>1.6</v>
      </c>
      <c r="R239" s="189">
        <v>0.6</v>
      </c>
      <c r="S239" s="189"/>
      <c r="T239" s="189">
        <v>2</v>
      </c>
      <c r="U239" s="189"/>
      <c r="V239" s="189"/>
      <c r="W239" s="189"/>
      <c r="X239" s="189"/>
      <c r="Y239" s="189"/>
      <c r="Z239" s="189"/>
      <c r="AA239" s="189"/>
      <c r="AB239" s="189"/>
      <c r="AC239" s="189"/>
      <c r="AD239" s="147"/>
      <c r="AE239" s="189"/>
      <c r="AF239" s="189"/>
      <c r="AG239" s="189"/>
      <c r="AH239" s="190"/>
      <c r="AI239" s="100"/>
      <c r="AJ239" s="100"/>
    </row>
    <row r="240" spans="1:36" ht="120">
      <c r="A240" s="151">
        <v>144</v>
      </c>
      <c r="B240" s="152" t="s">
        <v>4619</v>
      </c>
      <c r="C240" s="144" t="s">
        <v>6156</v>
      </c>
      <c r="D240" s="145" t="s">
        <v>5078</v>
      </c>
      <c r="E240" s="146" t="s">
        <v>288</v>
      </c>
      <c r="F240" s="146" t="s">
        <v>271</v>
      </c>
      <c r="G240" s="146" t="s">
        <v>511</v>
      </c>
      <c r="H240" s="147">
        <v>0.95</v>
      </c>
      <c r="I240" s="147"/>
      <c r="J240" s="147"/>
      <c r="K240" s="189"/>
      <c r="L240" s="147"/>
      <c r="M240" s="189"/>
      <c r="N240" s="189"/>
      <c r="O240" s="189"/>
      <c r="P240" s="189"/>
      <c r="Q240" s="189">
        <v>0.1</v>
      </c>
      <c r="R240" s="189"/>
      <c r="S240" s="189"/>
      <c r="T240" s="189">
        <v>0.4</v>
      </c>
      <c r="U240" s="189"/>
      <c r="V240" s="189"/>
      <c r="W240" s="189"/>
      <c r="X240" s="189"/>
      <c r="Y240" s="189"/>
      <c r="Z240" s="189"/>
      <c r="AA240" s="189"/>
      <c r="AB240" s="189"/>
      <c r="AC240" s="189">
        <v>0.45</v>
      </c>
      <c r="AD240" s="147"/>
      <c r="AE240" s="189"/>
      <c r="AF240" s="189"/>
      <c r="AG240" s="189"/>
      <c r="AH240" s="190"/>
      <c r="AI240" s="100"/>
      <c r="AJ240" s="100"/>
    </row>
    <row r="241" spans="1:36" ht="15">
      <c r="A241" s="337" t="s">
        <v>537</v>
      </c>
      <c r="B241" s="337"/>
      <c r="C241" s="337"/>
      <c r="D241" s="337"/>
      <c r="E241" s="337"/>
      <c r="F241" s="337"/>
      <c r="G241" s="337"/>
      <c r="H241" s="149">
        <f t="shared" ref="H241:AH241" si="1">SUM(H97:H240)</f>
        <v>4952.9599999999982</v>
      </c>
      <c r="I241" s="149">
        <f t="shared" si="1"/>
        <v>46.460000000000008</v>
      </c>
      <c r="J241" s="149">
        <f t="shared" si="1"/>
        <v>545.48</v>
      </c>
      <c r="K241" s="149">
        <f t="shared" si="1"/>
        <v>100.58999999999999</v>
      </c>
      <c r="L241" s="149">
        <f t="shared" si="1"/>
        <v>638.05999999999972</v>
      </c>
      <c r="M241" s="149">
        <f t="shared" si="1"/>
        <v>3.33</v>
      </c>
      <c r="N241" s="149">
        <f t="shared" si="1"/>
        <v>0</v>
      </c>
      <c r="O241" s="149">
        <f t="shared" si="1"/>
        <v>0</v>
      </c>
      <c r="P241" s="149">
        <f t="shared" si="1"/>
        <v>0</v>
      </c>
      <c r="Q241" s="149">
        <f t="shared" si="1"/>
        <v>78.879999999999981</v>
      </c>
      <c r="R241" s="149">
        <f t="shared" si="1"/>
        <v>41.61</v>
      </c>
      <c r="S241" s="149">
        <f t="shared" si="1"/>
        <v>0</v>
      </c>
      <c r="T241" s="149">
        <f t="shared" si="1"/>
        <v>609.69999999999982</v>
      </c>
      <c r="U241" s="149">
        <f t="shared" si="1"/>
        <v>4.93</v>
      </c>
      <c r="V241" s="149">
        <f t="shared" si="1"/>
        <v>6.03</v>
      </c>
      <c r="W241" s="149">
        <f t="shared" si="1"/>
        <v>0</v>
      </c>
      <c r="X241" s="149">
        <f t="shared" si="1"/>
        <v>0</v>
      </c>
      <c r="Y241" s="149">
        <f t="shared" si="1"/>
        <v>0</v>
      </c>
      <c r="Z241" s="149">
        <f t="shared" si="1"/>
        <v>390.1699999999999</v>
      </c>
      <c r="AA241" s="149">
        <f t="shared" si="1"/>
        <v>0</v>
      </c>
      <c r="AB241" s="149">
        <f t="shared" si="1"/>
        <v>47.5</v>
      </c>
      <c r="AC241" s="149">
        <f t="shared" si="1"/>
        <v>34.03</v>
      </c>
      <c r="AD241" s="149">
        <f t="shared" si="1"/>
        <v>532.62</v>
      </c>
      <c r="AE241" s="149">
        <f t="shared" si="1"/>
        <v>80.710000000000008</v>
      </c>
      <c r="AF241" s="149">
        <f t="shared" si="1"/>
        <v>1789.66</v>
      </c>
      <c r="AG241" s="149">
        <f t="shared" si="1"/>
        <v>0</v>
      </c>
      <c r="AH241" s="149">
        <f t="shared" si="1"/>
        <v>3.2</v>
      </c>
      <c r="AI241" s="100"/>
      <c r="AJ241" s="100"/>
    </row>
    <row r="242" spans="1:36" ht="15">
      <c r="A242" s="338" t="s">
        <v>538</v>
      </c>
      <c r="B242" s="339"/>
      <c r="C242" s="339"/>
      <c r="D242" s="339"/>
      <c r="E242" s="339"/>
      <c r="F242" s="339"/>
      <c r="G242" s="340"/>
      <c r="H242" s="154">
        <f t="shared" ref="H242:AH242" si="2">SUM(H241,H92)</f>
        <v>7106.1799999999994</v>
      </c>
      <c r="I242" s="154">
        <f t="shared" si="2"/>
        <v>68.540000000000006</v>
      </c>
      <c r="J242" s="154">
        <f t="shared" si="2"/>
        <v>733.45</v>
      </c>
      <c r="K242" s="154">
        <f t="shared" si="2"/>
        <v>719.73000000000025</v>
      </c>
      <c r="L242" s="154">
        <f t="shared" si="2"/>
        <v>1031.4299999999998</v>
      </c>
      <c r="M242" s="154">
        <f t="shared" si="2"/>
        <v>20.83</v>
      </c>
      <c r="N242" s="154">
        <f t="shared" si="2"/>
        <v>0</v>
      </c>
      <c r="O242" s="154">
        <f t="shared" si="2"/>
        <v>0</v>
      </c>
      <c r="P242" s="154">
        <f t="shared" si="2"/>
        <v>0</v>
      </c>
      <c r="Q242" s="154">
        <f t="shared" si="2"/>
        <v>80.539999999999978</v>
      </c>
      <c r="R242" s="154">
        <f t="shared" si="2"/>
        <v>175.07</v>
      </c>
      <c r="S242" s="154">
        <f t="shared" si="2"/>
        <v>0</v>
      </c>
      <c r="T242" s="154">
        <f t="shared" si="2"/>
        <v>644.10999999999979</v>
      </c>
      <c r="U242" s="154">
        <f t="shared" si="2"/>
        <v>14.93</v>
      </c>
      <c r="V242" s="154">
        <f t="shared" si="2"/>
        <v>10.199999999999999</v>
      </c>
      <c r="W242" s="154">
        <f t="shared" si="2"/>
        <v>0</v>
      </c>
      <c r="X242" s="154">
        <f t="shared" si="2"/>
        <v>0</v>
      </c>
      <c r="Y242" s="154">
        <f t="shared" si="2"/>
        <v>0</v>
      </c>
      <c r="Z242" s="154">
        <f t="shared" si="2"/>
        <v>589.42999999999984</v>
      </c>
      <c r="AA242" s="154">
        <f t="shared" si="2"/>
        <v>0</v>
      </c>
      <c r="AB242" s="154">
        <f t="shared" si="2"/>
        <v>47.5</v>
      </c>
      <c r="AC242" s="154">
        <f t="shared" si="2"/>
        <v>35.03</v>
      </c>
      <c r="AD242" s="154">
        <f t="shared" si="2"/>
        <v>838.86</v>
      </c>
      <c r="AE242" s="154">
        <f t="shared" si="2"/>
        <v>117.84</v>
      </c>
      <c r="AF242" s="154">
        <f t="shared" si="2"/>
        <v>1975.49</v>
      </c>
      <c r="AG242" s="154">
        <f t="shared" si="2"/>
        <v>0</v>
      </c>
      <c r="AH242" s="154">
        <f t="shared" si="2"/>
        <v>3.2</v>
      </c>
      <c r="AI242" s="100"/>
      <c r="AJ242" s="100"/>
    </row>
    <row r="243" spans="1:36">
      <c r="A243" s="10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  <c r="V243" s="100"/>
      <c r="W243" s="100"/>
      <c r="X243" s="100"/>
      <c r="Y243" s="100"/>
      <c r="Z243" s="100"/>
      <c r="AA243" s="100"/>
      <c r="AB243" s="100"/>
      <c r="AC243" s="100"/>
      <c r="AD243" s="100"/>
      <c r="AE243" s="100"/>
      <c r="AF243" s="100"/>
      <c r="AG243" s="100"/>
      <c r="AH243" s="100"/>
      <c r="AI243" s="100"/>
      <c r="AJ243" s="100"/>
    </row>
    <row r="244" spans="1:36" ht="18.75">
      <c r="A244" s="10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  <c r="V244" s="100"/>
      <c r="W244" s="100"/>
      <c r="X244" s="100"/>
      <c r="Y244" s="100"/>
      <c r="Z244" s="139"/>
      <c r="AA244" s="139"/>
      <c r="AB244" s="155"/>
      <c r="AC244" s="156" t="s">
        <v>539</v>
      </c>
      <c r="AD244" s="157" t="s">
        <v>6199</v>
      </c>
      <c r="AE244" s="158"/>
      <c r="AF244" s="159"/>
      <c r="AG244" s="139"/>
      <c r="AH244" s="139"/>
      <c r="AI244" s="139"/>
      <c r="AJ244" s="100"/>
    </row>
    <row r="245" spans="1:36" ht="18.75">
      <c r="A245" s="10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39"/>
      <c r="AA245" s="139"/>
      <c r="AB245" s="159"/>
      <c r="AC245" s="160"/>
      <c r="AD245" s="158"/>
      <c r="AE245" s="158"/>
      <c r="AF245" s="159"/>
      <c r="AG245" s="139"/>
      <c r="AH245" s="139"/>
      <c r="AI245" s="139"/>
      <c r="AJ245" s="100"/>
    </row>
    <row r="246" spans="1:36" ht="18.75">
      <c r="A246" s="10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  <c r="V246" s="100"/>
      <c r="W246" s="100"/>
      <c r="X246" s="100"/>
      <c r="Y246" s="100"/>
      <c r="Z246" s="139"/>
      <c r="AA246" s="139"/>
      <c r="AB246" s="161"/>
      <c r="AC246" s="162" t="s">
        <v>540</v>
      </c>
      <c r="AD246" s="163" t="s">
        <v>6200</v>
      </c>
      <c r="AE246" s="164"/>
      <c r="AF246" s="159"/>
      <c r="AG246" s="139"/>
      <c r="AH246" s="139"/>
      <c r="AI246" s="139"/>
      <c r="AJ246" s="100"/>
    </row>
    <row r="247" spans="1:36" ht="15">
      <c r="A247" s="10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  <c r="V247" s="100"/>
      <c r="W247" s="100"/>
      <c r="X247" s="100"/>
      <c r="Y247" s="100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00"/>
    </row>
    <row r="248" spans="1:36" ht="18.75">
      <c r="A248" s="10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  <c r="V248" s="100"/>
      <c r="W248" s="100"/>
      <c r="X248" s="100"/>
      <c r="Y248" s="100"/>
      <c r="Z248" s="139"/>
      <c r="AA248" s="139"/>
      <c r="AB248" s="155"/>
      <c r="AC248" s="165" t="s">
        <v>541</v>
      </c>
      <c r="AD248" s="166" t="s">
        <v>6201</v>
      </c>
      <c r="AE248" s="158"/>
      <c r="AF248" s="159"/>
      <c r="AG248" s="139"/>
      <c r="AH248" s="139"/>
      <c r="AI248" s="139"/>
      <c r="AJ248" s="100"/>
    </row>
  </sheetData>
  <mergeCells count="3">
    <mergeCell ref="A92:G92"/>
    <mergeCell ref="A241:G241"/>
    <mergeCell ref="A242:G24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21">
    <pageSetUpPr fitToPage="1"/>
  </sheetPr>
  <dimension ref="A1:R24"/>
  <sheetViews>
    <sheetView view="pageBreakPreview" topLeftCell="A13" zoomScale="50" zoomScaleNormal="40" zoomScaleSheetLayoutView="50" zoomScalePageLayoutView="25" workbookViewId="0">
      <selection activeCell="E19" sqref="E19"/>
    </sheetView>
  </sheetViews>
  <sheetFormatPr defaultColWidth="9.140625" defaultRowHeight="54" customHeight="1"/>
  <cols>
    <col min="1" max="1" width="13.28515625" style="15" bestFit="1" customWidth="1"/>
    <col min="2" max="2" width="16.7109375" style="16" bestFit="1" customWidth="1"/>
    <col min="3" max="3" width="19.42578125" style="9" bestFit="1" customWidth="1"/>
    <col min="4" max="4" width="174.42578125" style="11" customWidth="1"/>
    <col min="5" max="5" width="24.85546875" style="9" customWidth="1"/>
    <col min="6" max="13" width="23.42578125" style="9" customWidth="1"/>
    <col min="14" max="14" width="64.140625" style="6" customWidth="1"/>
    <col min="15" max="15" width="79.5703125" style="8" customWidth="1"/>
    <col min="16" max="16" width="26.42578125" style="8" customWidth="1"/>
    <col min="17" max="18" width="30.5703125" style="6" customWidth="1"/>
    <col min="19" max="16384" width="9.140625" style="4"/>
  </cols>
  <sheetData>
    <row r="1" spans="1:18" s="19" customFormat="1" ht="54" customHeight="1">
      <c r="A1" s="17"/>
      <c r="B1" s="18"/>
      <c r="C1" s="17"/>
      <c r="D1" s="24"/>
      <c r="E1" s="17"/>
      <c r="F1" s="17"/>
      <c r="G1" s="17"/>
      <c r="H1" s="17"/>
      <c r="I1" s="17"/>
      <c r="J1" s="17"/>
      <c r="K1" s="17"/>
      <c r="L1" s="17"/>
      <c r="M1" s="17"/>
      <c r="N1" s="18"/>
      <c r="O1" s="61"/>
      <c r="P1" s="61"/>
      <c r="Q1" s="20"/>
      <c r="R1" s="23"/>
    </row>
    <row r="2" spans="1:18" ht="54" customHeight="1">
      <c r="A2" s="344" t="s">
        <v>5416</v>
      </c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62"/>
      <c r="P2" s="62"/>
      <c r="Q2" s="5"/>
      <c r="R2" s="7"/>
    </row>
    <row r="3" spans="1:18" ht="54" customHeight="1">
      <c r="A3" s="202"/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62"/>
      <c r="P3" s="62"/>
      <c r="Q3" s="5"/>
      <c r="R3" s="7"/>
    </row>
    <row r="4" spans="1:18" ht="54" customHeight="1">
      <c r="A4" s="2"/>
      <c r="B4" s="3"/>
      <c r="D4" s="38"/>
      <c r="E4" s="2"/>
      <c r="F4" s="2" t="s">
        <v>31</v>
      </c>
      <c r="G4" s="2"/>
      <c r="H4" s="2"/>
      <c r="I4" s="2"/>
      <c r="J4" s="2"/>
      <c r="K4" s="2"/>
      <c r="L4" s="2"/>
      <c r="M4" s="2"/>
      <c r="N4" s="3"/>
      <c r="O4" s="62"/>
      <c r="P4" s="62"/>
      <c r="Q4" s="5"/>
      <c r="R4" s="7"/>
    </row>
    <row r="5" spans="1:18" ht="54" customHeight="1" thickBot="1">
      <c r="A5" s="345" t="s">
        <v>35</v>
      </c>
      <c r="B5" s="345"/>
      <c r="C5" s="345"/>
      <c r="D5" s="40">
        <f>Данные!C22</f>
        <v>21</v>
      </c>
      <c r="E5" s="3"/>
      <c r="F5" s="3"/>
      <c r="G5" s="3"/>
      <c r="H5" s="3"/>
      <c r="I5" s="3"/>
      <c r="J5" s="3"/>
      <c r="K5" s="3"/>
      <c r="L5" s="3"/>
      <c r="M5" s="3"/>
      <c r="N5" s="7"/>
      <c r="O5" s="27"/>
      <c r="P5" s="27"/>
      <c r="Q5" s="7"/>
    </row>
    <row r="6" spans="1:18" ht="54" customHeight="1">
      <c r="A6" s="362" t="s">
        <v>9</v>
      </c>
      <c r="B6" s="362" t="s">
        <v>24</v>
      </c>
      <c r="C6" s="362" t="s">
        <v>5</v>
      </c>
      <c r="D6" s="348" t="s">
        <v>21</v>
      </c>
      <c r="E6" s="348" t="s">
        <v>29</v>
      </c>
      <c r="F6" s="348" t="s">
        <v>30</v>
      </c>
      <c r="G6" s="348" t="s">
        <v>5411</v>
      </c>
      <c r="H6" s="348" t="s">
        <v>5412</v>
      </c>
      <c r="I6" s="348" t="s">
        <v>5413</v>
      </c>
      <c r="J6" s="348" t="s">
        <v>5414</v>
      </c>
      <c r="K6" s="348" t="s">
        <v>64</v>
      </c>
      <c r="L6" s="348" t="s">
        <v>5415</v>
      </c>
      <c r="M6" s="348" t="s">
        <v>5387</v>
      </c>
    </row>
    <row r="7" spans="1:18" ht="30" customHeight="1">
      <c r="A7" s="363"/>
      <c r="B7" s="363"/>
      <c r="C7" s="363"/>
      <c r="D7" s="349"/>
      <c r="E7" s="349"/>
      <c r="F7" s="349"/>
      <c r="G7" s="349"/>
      <c r="H7" s="349"/>
      <c r="I7" s="349"/>
      <c r="J7" s="349"/>
      <c r="K7" s="349"/>
      <c r="L7" s="349"/>
      <c r="M7" s="349"/>
    </row>
    <row r="8" spans="1:18" ht="32.25" thickBot="1">
      <c r="A8" s="364"/>
      <c r="B8" s="364"/>
      <c r="C8" s="364"/>
      <c r="D8" s="350"/>
      <c r="E8" s="350"/>
      <c r="F8" s="350"/>
      <c r="G8" s="350"/>
      <c r="H8" s="350"/>
      <c r="I8" s="350"/>
      <c r="J8" s="350"/>
      <c r="K8" s="350"/>
      <c r="L8" s="350"/>
      <c r="M8" s="350"/>
    </row>
    <row r="9" spans="1:18" s="12" customFormat="1" ht="54" customHeight="1">
      <c r="A9" s="68"/>
      <c r="B9" s="68"/>
      <c r="C9" s="89"/>
      <c r="D9" s="73"/>
      <c r="E9" s="88"/>
      <c r="F9" s="88"/>
      <c r="G9" s="88"/>
      <c r="H9" s="87"/>
      <c r="I9" s="87"/>
      <c r="J9" s="87"/>
      <c r="K9" s="87"/>
      <c r="L9" s="238"/>
      <c r="M9" s="88"/>
      <c r="N9" s="8"/>
      <c r="O9" s="63"/>
      <c r="P9" s="63"/>
      <c r="R9" s="13"/>
    </row>
    <row r="10" spans="1:18" s="12" customFormat="1" ht="54" customHeight="1" thickBot="1">
      <c r="A10" s="68"/>
      <c r="B10" s="68"/>
      <c r="C10" s="89"/>
      <c r="D10" s="73"/>
      <c r="E10" s="88"/>
      <c r="F10" s="88"/>
      <c r="G10" s="88"/>
      <c r="H10" s="87"/>
      <c r="I10" s="87"/>
      <c r="J10" s="87"/>
      <c r="K10" s="87"/>
      <c r="L10" s="238"/>
      <c r="M10" s="88"/>
      <c r="N10" s="8"/>
      <c r="O10" s="63"/>
      <c r="P10" s="63"/>
      <c r="R10" s="13"/>
    </row>
    <row r="11" spans="1:18" s="12" customFormat="1" ht="54" customHeight="1" thickBot="1">
      <c r="A11" s="359" t="s">
        <v>37</v>
      </c>
      <c r="B11" s="360"/>
      <c r="C11" s="361"/>
      <c r="D11" s="73"/>
      <c r="E11" s="88"/>
      <c r="F11" s="88"/>
      <c r="G11" s="88"/>
      <c r="H11" s="88"/>
      <c r="I11" s="88"/>
      <c r="J11" s="88"/>
      <c r="K11" s="88"/>
      <c r="L11" s="88"/>
      <c r="M11" s="88"/>
      <c r="N11" s="8"/>
      <c r="O11" s="63"/>
      <c r="P11" s="63"/>
      <c r="R11" s="13"/>
    </row>
    <row r="12" spans="1:18" s="12" customFormat="1" ht="54" customHeight="1">
      <c r="A12" s="68"/>
      <c r="B12" s="68"/>
      <c r="C12" s="89"/>
      <c r="D12" s="73"/>
      <c r="E12" s="88"/>
      <c r="F12" s="88"/>
      <c r="G12" s="88"/>
      <c r="H12" s="87"/>
      <c r="I12" s="87"/>
      <c r="J12" s="87"/>
      <c r="K12" s="87"/>
      <c r="L12" s="238"/>
      <c r="M12" s="88"/>
      <c r="N12" s="8"/>
      <c r="O12" s="63"/>
      <c r="P12" s="63"/>
      <c r="R12" s="13"/>
    </row>
    <row r="13" spans="1:18" s="12" customFormat="1" ht="54" customHeight="1" thickBot="1">
      <c r="A13" s="68"/>
      <c r="B13" s="68"/>
      <c r="C13" s="89"/>
      <c r="D13" s="73"/>
      <c r="E13" s="88"/>
      <c r="F13" s="88"/>
      <c r="G13" s="88"/>
      <c r="H13" s="87"/>
      <c r="I13" s="87"/>
      <c r="J13" s="87"/>
      <c r="K13" s="87"/>
      <c r="L13" s="238"/>
      <c r="M13" s="88"/>
      <c r="N13" s="8"/>
      <c r="O13" s="63"/>
      <c r="P13" s="63"/>
      <c r="R13" s="13"/>
    </row>
    <row r="14" spans="1:18" s="12" customFormat="1" ht="54" customHeight="1" thickBot="1">
      <c r="A14" s="365" t="s">
        <v>36</v>
      </c>
      <c r="B14" s="366"/>
      <c r="C14" s="367"/>
      <c r="D14" s="250"/>
      <c r="E14" s="85"/>
      <c r="F14" s="85"/>
      <c r="G14" s="85"/>
      <c r="H14" s="85"/>
      <c r="I14" s="85"/>
      <c r="J14" s="85"/>
      <c r="K14" s="85"/>
      <c r="L14" s="85"/>
      <c r="M14" s="85"/>
      <c r="N14" s="42"/>
      <c r="O14" s="39"/>
      <c r="P14" s="13"/>
    </row>
    <row r="15" spans="1:18" s="12" customFormat="1" ht="54" customHeight="1">
      <c r="A15" s="369" t="s">
        <v>5777</v>
      </c>
      <c r="B15" s="369"/>
      <c r="C15" s="369"/>
      <c r="D15" s="369"/>
      <c r="E15" s="201"/>
      <c r="F15" s="201"/>
      <c r="G15" s="201"/>
      <c r="H15" s="201"/>
      <c r="I15" s="201"/>
      <c r="J15" s="201"/>
      <c r="K15" s="201"/>
      <c r="L15" s="201"/>
      <c r="M15" s="201"/>
      <c r="N15" s="41"/>
      <c r="O15" s="39"/>
      <c r="P15" s="63"/>
      <c r="R15" s="13"/>
    </row>
    <row r="16" spans="1:18" s="12" customFormat="1" ht="54" customHeight="1">
      <c r="A16" s="368" t="s">
        <v>5780</v>
      </c>
      <c r="B16" s="368"/>
      <c r="C16" s="371" t="s">
        <v>5778</v>
      </c>
      <c r="D16" s="371"/>
      <c r="E16" s="11"/>
      <c r="F16" s="11"/>
      <c r="G16" s="11"/>
      <c r="H16" s="11"/>
      <c r="I16" s="11"/>
      <c r="J16" s="11"/>
      <c r="K16" s="11"/>
      <c r="L16" s="11"/>
      <c r="M16" s="249"/>
      <c r="N16" s="41"/>
      <c r="O16" s="39"/>
      <c r="P16" s="63"/>
      <c r="R16" s="13"/>
    </row>
    <row r="17" spans="1:16" s="12" customFormat="1" ht="54" customHeight="1">
      <c r="A17" s="368"/>
      <c r="B17" s="368"/>
      <c r="C17" s="371" t="s">
        <v>5779</v>
      </c>
      <c r="D17" s="371"/>
      <c r="E17" s="11"/>
      <c r="F17" s="11"/>
      <c r="G17" s="11"/>
      <c r="H17" s="11"/>
      <c r="I17" s="11"/>
      <c r="J17" s="11"/>
      <c r="K17" s="11"/>
      <c r="L17" s="11"/>
      <c r="M17" s="11"/>
      <c r="N17" s="63"/>
      <c r="P17" s="13"/>
    </row>
    <row r="18" spans="1:16" s="12" customFormat="1" ht="54" customHeight="1">
      <c r="A18" s="370" t="s">
        <v>5776</v>
      </c>
      <c r="B18" s="370"/>
      <c r="C18" s="370"/>
      <c r="D18" s="370"/>
      <c r="E18" s="370"/>
      <c r="F18" s="370"/>
      <c r="G18" s="370"/>
      <c r="H18" s="370"/>
      <c r="I18" s="370"/>
      <c r="J18" s="370"/>
      <c r="K18" s="370"/>
      <c r="L18" s="370"/>
      <c r="M18" s="370"/>
      <c r="N18" s="63"/>
      <c r="P18" s="13"/>
    </row>
    <row r="19" spans="1:16" s="12" customFormat="1" ht="54" customHeight="1">
      <c r="A19" s="9"/>
      <c r="B19" s="14"/>
      <c r="C19" s="9"/>
      <c r="D19" s="11"/>
      <c r="E19" s="9"/>
      <c r="F19" s="9"/>
      <c r="G19" s="9" t="s">
        <v>5411</v>
      </c>
      <c r="H19" s="9" t="s">
        <v>5412</v>
      </c>
      <c r="I19" s="9" t="s">
        <v>5413</v>
      </c>
      <c r="J19" s="9" t="s">
        <v>5414</v>
      </c>
      <c r="K19" s="9" t="s">
        <v>64</v>
      </c>
      <c r="L19" s="9" t="s">
        <v>5415</v>
      </c>
      <c r="M19" s="9" t="s">
        <v>5775</v>
      </c>
      <c r="N19" s="63"/>
      <c r="P19" s="13"/>
    </row>
    <row r="20" spans="1:16" s="12" customFormat="1" ht="54" customHeight="1">
      <c r="A20" s="9"/>
      <c r="B20" s="14"/>
      <c r="C20" s="9"/>
      <c r="D20" s="11"/>
      <c r="E20" s="9"/>
      <c r="F20" s="9"/>
      <c r="G20" s="9"/>
      <c r="H20" s="9"/>
      <c r="I20" s="9"/>
      <c r="J20" s="9"/>
      <c r="K20" s="9"/>
      <c r="L20" s="9"/>
      <c r="M20" s="9"/>
      <c r="N20" s="63"/>
      <c r="P20" s="13"/>
    </row>
    <row r="21" spans="1:16" s="12" customFormat="1" ht="54" customHeight="1">
      <c r="A21" s="9"/>
      <c r="B21" s="14"/>
      <c r="C21" s="9"/>
      <c r="D21" s="11"/>
      <c r="E21" s="9"/>
      <c r="F21" s="9"/>
      <c r="G21" s="9"/>
      <c r="H21" s="9"/>
      <c r="I21" s="9"/>
      <c r="J21" s="9"/>
      <c r="K21" s="9"/>
      <c r="L21" s="9"/>
      <c r="M21" s="9"/>
      <c r="N21" s="63"/>
      <c r="P21" s="13"/>
    </row>
    <row r="22" spans="1:16" s="12" customFormat="1" ht="54" customHeight="1">
      <c r="A22" s="9"/>
      <c r="B22" s="14"/>
      <c r="C22" s="9"/>
      <c r="D22" s="11"/>
      <c r="E22" s="9"/>
      <c r="F22" s="9"/>
      <c r="G22" s="9"/>
      <c r="H22" s="9"/>
      <c r="I22" s="9"/>
      <c r="J22" s="9"/>
      <c r="K22" s="9"/>
      <c r="L22" s="9"/>
      <c r="M22" s="9"/>
      <c r="N22" s="63"/>
      <c r="P22" s="13"/>
    </row>
    <row r="23" spans="1:16" s="12" customFormat="1" ht="54" customHeight="1">
      <c r="A23" s="9"/>
      <c r="B23" s="14"/>
      <c r="C23" s="9"/>
      <c r="D23" s="11"/>
      <c r="E23" s="9"/>
      <c r="F23" s="9"/>
      <c r="G23" s="9"/>
      <c r="H23" s="9"/>
      <c r="I23" s="9"/>
      <c r="J23" s="9"/>
      <c r="K23" s="9"/>
      <c r="L23" s="9"/>
      <c r="M23" s="9"/>
      <c r="N23" s="63"/>
      <c r="P23" s="13"/>
    </row>
    <row r="24" spans="1:16" s="12" customFormat="1" ht="54" customHeight="1">
      <c r="A24" s="9"/>
      <c r="B24" s="14"/>
      <c r="C24" s="9"/>
      <c r="D24" s="11"/>
      <c r="E24" s="9"/>
      <c r="F24" s="9"/>
      <c r="G24" s="9"/>
      <c r="H24" s="9"/>
      <c r="I24" s="9"/>
      <c r="J24" s="9"/>
      <c r="K24" s="9"/>
      <c r="L24" s="9"/>
      <c r="M24" s="9"/>
      <c r="N24" s="63"/>
      <c r="P24" s="13"/>
    </row>
  </sheetData>
  <mergeCells count="22">
    <mergeCell ref="A16:B17"/>
    <mergeCell ref="A15:D15"/>
    <mergeCell ref="A18:M18"/>
    <mergeCell ref="C16:D16"/>
    <mergeCell ref="C17:D17"/>
    <mergeCell ref="A14:C14"/>
    <mergeCell ref="I6:I8"/>
    <mergeCell ref="J6:J8"/>
    <mergeCell ref="K6:K8"/>
    <mergeCell ref="L6:L8"/>
    <mergeCell ref="M6:M8"/>
    <mergeCell ref="A11:C11"/>
    <mergeCell ref="A2:N2"/>
    <mergeCell ref="A5:C5"/>
    <mergeCell ref="A6:A8"/>
    <mergeCell ref="B6:B8"/>
    <mergeCell ref="C6:C8"/>
    <mergeCell ref="D6:D8"/>
    <mergeCell ref="E6:E8"/>
    <mergeCell ref="F6:F8"/>
    <mergeCell ref="G6:G8"/>
    <mergeCell ref="H6:H8"/>
  </mergeCells>
  <conditionalFormatting sqref="B12 B9">
    <cfRule type="containsText" dxfId="35" priority="1" operator="containsText" text="БГБК">
      <formula>NOT(ISERROR(SEARCH("БГБК",B9)))</formula>
    </cfRule>
    <cfRule type="containsText" dxfId="34" priority="2" operator="containsText" text="ПРД">
      <formula>NOT(ISERROR(SEARCH("ПРД",B9)))</formula>
    </cfRule>
    <cfRule type="containsText" dxfId="33" priority="3" operator="containsText" text="Неман">
      <formula>NOT(ISERROR(SEARCH("Неман",B9)))</formula>
    </cfRule>
    <cfRule type="cellIs" dxfId="32" priority="1129" operator="equal">
      <formula>"РПДМ"</formula>
    </cfRule>
    <cfRule type="cellIs" dxfId="31" priority="1130" operator="equal">
      <formula>"МАСИ"</formula>
    </cfRule>
    <cfRule type="cellIs" dxfId="30" priority="1131" operator="equal">
      <formula>"Р-673"</formula>
    </cfRule>
    <cfRule type="cellIs" dxfId="29" priority="1132" operator="equal">
      <formula>"Р-170П"</formula>
    </cfRule>
    <cfRule type="containsText" dxfId="28" priority="1143" operator="containsText" text="МКСТ">
      <formula>NOT(ISERROR(SEARCH("МКСТ",B9)))</formula>
    </cfRule>
  </conditionalFormatting>
  <conditionalFormatting sqref="B12 B9">
    <cfRule type="containsText" dxfId="27" priority="1142" operator="containsText" text="К676">
      <formula>NOT(ISERROR(SEARCH("К676",B9)))</formula>
    </cfRule>
  </conditionalFormatting>
  <conditionalFormatting sqref="B12 B9">
    <cfRule type="containsText" dxfId="26" priority="1140" operator="containsText" text="Прочее">
      <formula>NOT(ISERROR(SEARCH("Прочее",B9)))</formula>
    </cfRule>
    <cfRule type="containsText" dxfId="25" priority="1141" operator="containsText" text="СЛУЖ.">
      <formula>NOT(ISERROR(SEARCH("СЛУЖ.",B9)))</formula>
    </cfRule>
  </conditionalFormatting>
  <conditionalFormatting sqref="B12 B9">
    <cfRule type="containsText" dxfId="24" priority="1135" operator="containsText" text="К625">
      <formula>NOT(ISERROR(SEARCH("К625",B9)))</formula>
    </cfRule>
    <cfRule type="containsText" dxfId="23" priority="1136" operator="containsText" text="Ю627">
      <formula>NOT(ISERROR(SEARCH("Ю627",B9)))</formula>
    </cfRule>
    <cfRule type="containsText" dxfId="22" priority="1137" operator="containsText" text="Ю628">
      <formula>NOT(ISERROR(SEARCH("Ю628",B9)))</formula>
    </cfRule>
    <cfRule type="containsText" dxfId="21" priority="1138" operator="containsText" text="К674">
      <formula>NOT(ISERROR(SEARCH("К674",B9)))</formula>
    </cfRule>
    <cfRule type="containsText" dxfId="20" priority="1139" operator="containsText" text="УСП">
      <formula>NOT(ISERROR(SEARCH("УСП",B9)))</formula>
    </cfRule>
  </conditionalFormatting>
  <conditionalFormatting sqref="B12 B9">
    <cfRule type="containsText" dxfId="19" priority="1134" operator="containsText" text="МРМ">
      <formula>NOT(ISERROR(SEARCH("МРМ",B9)))</formula>
    </cfRule>
  </conditionalFormatting>
  <conditionalFormatting sqref="B12 B9">
    <cfRule type="containsText" dxfId="18" priority="1133" operator="containsText" text="ОРХ">
      <formula>NOT(ISERROR(SEARCH("ОРХ",B9)))</formula>
    </cfRule>
  </conditionalFormatting>
  <printOptions horizontalCentered="1"/>
  <pageMargins left="0" right="0" top="0" bottom="0" header="0" footer="0"/>
  <pageSetup paperSize="8" scale="26" orientation="portrait" copies="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4897" r:id="rId4" name="Button 1">
              <controlPr defaultSize="0" print="0" autoFill="0" autoPict="0" macro="[0]!StatisticsSheet.onStartButtonClick">
                <anchor moveWithCells="1" sizeWithCells="1">
                  <from>
                    <xdr:col>3</xdr:col>
                    <xdr:colOff>11630025</xdr:colOff>
                    <xdr:row>5</xdr:row>
                    <xdr:rowOff>0</xdr:rowOff>
                  </from>
                  <to>
                    <xdr:col>4</xdr:col>
                    <xdr:colOff>1647825</xdr:colOff>
                    <xdr:row>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898" r:id="rId5" name="Button 2">
              <controlPr defaultSize="0" print="0" autoFill="0" autoPict="0" macro="[0]!StatisticsSheet.onFinishButtonClick">
                <anchor moveWithCells="1" sizeWithCells="1">
                  <from>
                    <xdr:col>5</xdr:col>
                    <xdr:colOff>9525</xdr:colOff>
                    <xdr:row>4</xdr:row>
                    <xdr:rowOff>676275</xdr:rowOff>
                  </from>
                  <to>
                    <xdr:col>6</xdr:col>
                    <xdr:colOff>0</xdr:colOff>
                    <xdr:row>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2">
    <pageSetUpPr fitToPage="1"/>
  </sheetPr>
  <dimension ref="A1:R150"/>
  <sheetViews>
    <sheetView view="pageBreakPreview" zoomScale="50" zoomScaleNormal="40" zoomScaleSheetLayoutView="50" zoomScalePageLayoutView="25" workbookViewId="0">
      <selection activeCell="E3" sqref="E3"/>
    </sheetView>
  </sheetViews>
  <sheetFormatPr defaultColWidth="9.140625" defaultRowHeight="54" customHeight="1"/>
  <cols>
    <col min="1" max="1" width="13.28515625" style="15" bestFit="1" customWidth="1"/>
    <col min="2" max="2" width="16.7109375" style="16" bestFit="1" customWidth="1"/>
    <col min="3" max="3" width="19.42578125" style="9" bestFit="1" customWidth="1"/>
    <col min="4" max="4" width="174.42578125" style="11" customWidth="1"/>
    <col min="5" max="5" width="24.85546875" style="9" customWidth="1"/>
    <col min="6" max="13" width="23.42578125" style="9" customWidth="1"/>
    <col min="14" max="14" width="64.140625" style="6" customWidth="1"/>
    <col min="15" max="15" width="79.5703125" style="8" customWidth="1"/>
    <col min="16" max="16" width="26.42578125" style="8" customWidth="1"/>
    <col min="17" max="18" width="30.5703125" style="6" customWidth="1"/>
    <col min="19" max="16384" width="9.140625" style="4"/>
  </cols>
  <sheetData>
    <row r="1" spans="1:18" s="19" customFormat="1" ht="54" customHeight="1">
      <c r="A1" s="17"/>
      <c r="B1" s="18"/>
      <c r="C1" s="17"/>
      <c r="D1" s="24"/>
      <c r="E1" s="17"/>
      <c r="F1" s="17"/>
      <c r="G1" s="17"/>
      <c r="H1" s="17"/>
      <c r="I1" s="17"/>
      <c r="J1" s="17"/>
      <c r="K1" s="17"/>
      <c r="L1" s="17"/>
      <c r="M1" s="17"/>
      <c r="N1" s="18"/>
      <c r="O1" s="61"/>
      <c r="P1" s="61"/>
      <c r="Q1" s="20"/>
      <c r="R1" s="23"/>
    </row>
    <row r="2" spans="1:18" ht="54" customHeight="1">
      <c r="A2" s="344" t="s">
        <v>5416</v>
      </c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62"/>
      <c r="P2" s="62"/>
      <c r="Q2" s="5"/>
      <c r="R2" s="7"/>
    </row>
    <row r="3" spans="1:18" ht="54" customHeight="1">
      <c r="A3" s="301"/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62"/>
      <c r="P3" s="62"/>
      <c r="Q3" s="5"/>
      <c r="R3" s="7"/>
    </row>
    <row r="4" spans="1:18" ht="54" customHeight="1">
      <c r="A4" s="2"/>
      <c r="B4" s="3"/>
      <c r="D4" s="38"/>
      <c r="E4" s="2"/>
      <c r="F4" s="2" t="s">
        <v>31</v>
      </c>
      <c r="G4" s="2"/>
      <c r="H4" s="2"/>
      <c r="I4" s="2"/>
      <c r="J4" s="2"/>
      <c r="K4" s="2"/>
      <c r="L4" s="2"/>
      <c r="M4" s="2"/>
      <c r="N4" s="3"/>
      <c r="O4" s="62"/>
      <c r="P4" s="62"/>
      <c r="Q4" s="5"/>
      <c r="R4" s="7"/>
    </row>
    <row r="5" spans="1:18" ht="54" customHeight="1" thickBot="1">
      <c r="A5" s="345" t="s">
        <v>35</v>
      </c>
      <c r="B5" s="345"/>
      <c r="C5" s="345"/>
      <c r="D5" s="40">
        <f>Данные!C22</f>
        <v>21</v>
      </c>
      <c r="E5" s="3"/>
      <c r="F5" s="3"/>
      <c r="G5" s="3"/>
      <c r="H5" s="3"/>
      <c r="I5" s="3"/>
      <c r="J5" s="3"/>
      <c r="K5" s="3"/>
      <c r="L5" s="3"/>
      <c r="M5" s="3"/>
      <c r="N5" s="7"/>
      <c r="O5" s="27"/>
      <c r="P5" s="27"/>
      <c r="Q5" s="7"/>
    </row>
    <row r="6" spans="1:18" ht="54" customHeight="1">
      <c r="A6" s="362" t="s">
        <v>9</v>
      </c>
      <c r="B6" s="362" t="s">
        <v>24</v>
      </c>
      <c r="C6" s="362" t="s">
        <v>5</v>
      </c>
      <c r="D6" s="348" t="s">
        <v>21</v>
      </c>
      <c r="E6" s="348" t="s">
        <v>29</v>
      </c>
      <c r="F6" s="348" t="s">
        <v>30</v>
      </c>
      <c r="G6" s="348" t="s">
        <v>5411</v>
      </c>
      <c r="H6" s="348" t="s">
        <v>5412</v>
      </c>
      <c r="I6" s="348" t="s">
        <v>5413</v>
      </c>
      <c r="J6" s="348" t="s">
        <v>5414</v>
      </c>
      <c r="K6" s="348" t="s">
        <v>64</v>
      </c>
      <c r="L6" s="348" t="s">
        <v>5415</v>
      </c>
      <c r="M6" s="348" t="s">
        <v>5387</v>
      </c>
    </row>
    <row r="7" spans="1:18" ht="30" customHeight="1">
      <c r="A7" s="363"/>
      <c r="B7" s="363"/>
      <c r="C7" s="363"/>
      <c r="D7" s="349"/>
      <c r="E7" s="349"/>
      <c r="F7" s="349"/>
      <c r="G7" s="349"/>
      <c r="H7" s="349"/>
      <c r="I7" s="349"/>
      <c r="J7" s="349"/>
      <c r="K7" s="349"/>
      <c r="L7" s="349"/>
      <c r="M7" s="349"/>
    </row>
    <row r="8" spans="1:18" ht="32.25" thickBot="1">
      <c r="A8" s="364"/>
      <c r="B8" s="364"/>
      <c r="C8" s="364"/>
      <c r="D8" s="350"/>
      <c r="E8" s="350"/>
      <c r="F8" s="350"/>
      <c r="G8" s="350"/>
      <c r="H8" s="350"/>
      <c r="I8" s="350"/>
      <c r="J8" s="350"/>
      <c r="K8" s="350"/>
      <c r="L8" s="350"/>
      <c r="M8" s="350"/>
    </row>
    <row r="9" spans="1:18" s="12" customFormat="1" ht="54" customHeight="1">
      <c r="A9" s="68">
        <v>1</v>
      </c>
      <c r="B9" s="68" t="s">
        <v>28</v>
      </c>
      <c r="C9" s="89">
        <v>1</v>
      </c>
      <c r="D9" s="73" t="s">
        <v>22</v>
      </c>
      <c r="E9" s="88">
        <v>41214</v>
      </c>
      <c r="F9" s="88">
        <v>43831</v>
      </c>
      <c r="G9" s="88"/>
      <c r="H9" s="87">
        <v>188</v>
      </c>
      <c r="I9" s="87">
        <v>131</v>
      </c>
      <c r="J9" s="87">
        <v>25461</v>
      </c>
      <c r="K9" s="87">
        <v>3718</v>
      </c>
      <c r="L9" s="238"/>
      <c r="M9" s="88"/>
      <c r="N9" s="8"/>
      <c r="O9" s="63"/>
      <c r="P9" s="63"/>
      <c r="R9" s="13"/>
    </row>
    <row r="10" spans="1:18" s="12" customFormat="1" ht="54" customHeight="1">
      <c r="A10" s="68">
        <v>2</v>
      </c>
      <c r="B10" s="68" t="s">
        <v>28</v>
      </c>
      <c r="C10" s="89">
        <v>2</v>
      </c>
      <c r="D10" s="73" t="s">
        <v>5419</v>
      </c>
      <c r="E10" s="88">
        <v>41306</v>
      </c>
      <c r="F10" s="88">
        <v>43831</v>
      </c>
      <c r="G10" s="88"/>
      <c r="H10" s="87"/>
      <c r="I10" s="87">
        <v>16</v>
      </c>
      <c r="J10" s="87">
        <v>516</v>
      </c>
      <c r="K10" s="87">
        <v>41</v>
      </c>
      <c r="L10" s="238"/>
      <c r="M10" s="88"/>
      <c r="N10" s="8"/>
      <c r="O10" s="63"/>
      <c r="P10" s="63"/>
      <c r="R10" s="13"/>
    </row>
    <row r="11" spans="1:18" s="12" customFormat="1" ht="54" customHeight="1">
      <c r="A11" s="68">
        <v>3</v>
      </c>
      <c r="B11" s="68" t="s">
        <v>28</v>
      </c>
      <c r="C11" s="89">
        <v>3</v>
      </c>
      <c r="D11" s="73" t="s">
        <v>33</v>
      </c>
      <c r="E11" s="88">
        <v>41306</v>
      </c>
      <c r="F11" s="88">
        <v>43831</v>
      </c>
      <c r="G11" s="88"/>
      <c r="H11" s="87"/>
      <c r="I11" s="87">
        <v>1</v>
      </c>
      <c r="J11" s="87">
        <v>1439</v>
      </c>
      <c r="K11" s="87"/>
      <c r="L11" s="238"/>
      <c r="M11" s="88"/>
      <c r="N11" s="8"/>
      <c r="O11" s="63"/>
      <c r="P11" s="63"/>
      <c r="R11" s="13"/>
    </row>
    <row r="12" spans="1:18" s="12" customFormat="1" ht="54" customHeight="1">
      <c r="A12" s="68">
        <v>4</v>
      </c>
      <c r="B12" s="68" t="s">
        <v>28</v>
      </c>
      <c r="C12" s="89">
        <v>4</v>
      </c>
      <c r="D12" s="73" t="s">
        <v>17</v>
      </c>
      <c r="E12" s="88">
        <v>41306</v>
      </c>
      <c r="F12" s="88">
        <v>43831</v>
      </c>
      <c r="G12" s="88"/>
      <c r="H12" s="87">
        <v>39</v>
      </c>
      <c r="I12" s="87">
        <v>192</v>
      </c>
      <c r="J12" s="87">
        <v>6407</v>
      </c>
      <c r="K12" s="87">
        <v>445</v>
      </c>
      <c r="L12" s="238"/>
      <c r="M12" s="88"/>
      <c r="N12" s="8"/>
      <c r="O12" s="63"/>
      <c r="P12" s="63"/>
      <c r="R12" s="13"/>
    </row>
    <row r="13" spans="1:18" s="12" customFormat="1" ht="54" customHeight="1">
      <c r="A13" s="68">
        <v>5</v>
      </c>
      <c r="B13" s="68" t="s">
        <v>28</v>
      </c>
      <c r="C13" s="89">
        <v>5</v>
      </c>
      <c r="D13" s="73" t="s">
        <v>18</v>
      </c>
      <c r="E13" s="88">
        <v>41306</v>
      </c>
      <c r="F13" s="88">
        <v>43831</v>
      </c>
      <c r="G13" s="88"/>
      <c r="H13" s="87">
        <v>3</v>
      </c>
      <c r="I13" s="87">
        <v>11</v>
      </c>
      <c r="J13" s="87">
        <v>2310</v>
      </c>
      <c r="K13" s="87">
        <v>16</v>
      </c>
      <c r="L13" s="238"/>
      <c r="M13" s="88"/>
      <c r="N13" s="8"/>
      <c r="O13" s="63"/>
      <c r="P13" s="63"/>
      <c r="R13" s="13"/>
    </row>
    <row r="14" spans="1:18" s="12" customFormat="1" ht="54" customHeight="1">
      <c r="A14" s="68">
        <v>6</v>
      </c>
      <c r="B14" s="68" t="s">
        <v>28</v>
      </c>
      <c r="C14" s="89">
        <v>7</v>
      </c>
      <c r="D14" s="73" t="s">
        <v>5817</v>
      </c>
      <c r="E14" s="88">
        <v>41306</v>
      </c>
      <c r="F14" s="88">
        <v>43831</v>
      </c>
      <c r="G14" s="88"/>
      <c r="H14" s="87">
        <v>1</v>
      </c>
      <c r="I14" s="87">
        <v>5</v>
      </c>
      <c r="J14" s="87">
        <v>142</v>
      </c>
      <c r="K14" s="87">
        <v>11</v>
      </c>
      <c r="L14" s="238"/>
      <c r="M14" s="88"/>
      <c r="N14" s="8"/>
      <c r="O14" s="63"/>
      <c r="P14" s="63"/>
      <c r="R14" s="13"/>
    </row>
    <row r="15" spans="1:18" s="12" customFormat="1" ht="54" customHeight="1">
      <c r="A15" s="68">
        <v>7</v>
      </c>
      <c r="B15" s="68" t="s">
        <v>28</v>
      </c>
      <c r="C15" s="89">
        <v>6</v>
      </c>
      <c r="D15" s="73" t="s">
        <v>78</v>
      </c>
      <c r="E15" s="88">
        <v>43958</v>
      </c>
      <c r="F15" s="88">
        <v>43958</v>
      </c>
      <c r="G15" s="88"/>
      <c r="H15" s="87">
        <v>6</v>
      </c>
      <c r="I15" s="87">
        <v>105</v>
      </c>
      <c r="J15" s="87">
        <v>1906</v>
      </c>
      <c r="K15" s="87">
        <v>273</v>
      </c>
      <c r="L15" s="238"/>
      <c r="M15" s="88"/>
      <c r="N15" s="8"/>
      <c r="O15" s="63"/>
      <c r="P15" s="63"/>
      <c r="R15" s="13"/>
    </row>
    <row r="16" spans="1:18" s="12" customFormat="1" ht="54" customHeight="1">
      <c r="A16" s="68">
        <v>8</v>
      </c>
      <c r="B16" s="68" t="s">
        <v>115</v>
      </c>
      <c r="C16" s="89">
        <v>3282</v>
      </c>
      <c r="D16" s="73" t="s">
        <v>6198</v>
      </c>
      <c r="E16" s="88">
        <v>44536</v>
      </c>
      <c r="F16" s="88">
        <v>44651</v>
      </c>
      <c r="G16" s="88">
        <v>44512</v>
      </c>
      <c r="H16" s="87">
        <v>5</v>
      </c>
      <c r="I16" s="87">
        <v>26</v>
      </c>
      <c r="J16" s="87">
        <v>545</v>
      </c>
      <c r="K16" s="87">
        <v>46</v>
      </c>
      <c r="L16" s="238" t="s">
        <v>5417</v>
      </c>
      <c r="M16" s="88" t="s">
        <v>6198</v>
      </c>
      <c r="N16" s="8"/>
      <c r="O16" s="63"/>
      <c r="P16" s="63"/>
      <c r="R16" s="13"/>
    </row>
    <row r="17" spans="1:18" s="12" customFormat="1" ht="54" customHeight="1">
      <c r="A17" s="68">
        <v>9</v>
      </c>
      <c r="B17" s="68" t="s">
        <v>115</v>
      </c>
      <c r="C17" s="89">
        <v>3358</v>
      </c>
      <c r="D17" s="73" t="s">
        <v>6198</v>
      </c>
      <c r="E17" s="88">
        <v>44543</v>
      </c>
      <c r="F17" s="88">
        <v>44651</v>
      </c>
      <c r="G17" s="88">
        <v>44517</v>
      </c>
      <c r="H17" s="87"/>
      <c r="I17" s="87">
        <v>6</v>
      </c>
      <c r="J17" s="87">
        <v>427</v>
      </c>
      <c r="K17" s="87">
        <v>12</v>
      </c>
      <c r="L17" s="238" t="s">
        <v>5417</v>
      </c>
      <c r="M17" s="88" t="s">
        <v>6198</v>
      </c>
      <c r="N17" s="8"/>
      <c r="O17" s="63"/>
      <c r="P17" s="63"/>
      <c r="R17" s="13"/>
    </row>
    <row r="18" spans="1:18" s="12" customFormat="1" ht="54" customHeight="1">
      <c r="A18" s="68">
        <v>10</v>
      </c>
      <c r="B18" s="68" t="s">
        <v>46</v>
      </c>
      <c r="C18" s="89">
        <v>3304</v>
      </c>
      <c r="D18" s="73" t="s">
        <v>6198</v>
      </c>
      <c r="E18" s="88">
        <v>44554</v>
      </c>
      <c r="F18" s="88">
        <v>44651</v>
      </c>
      <c r="G18" s="88">
        <v>44539</v>
      </c>
      <c r="H18" s="87"/>
      <c r="I18" s="87">
        <v>1</v>
      </c>
      <c r="J18" s="87">
        <v>141</v>
      </c>
      <c r="K18" s="87"/>
      <c r="L18" s="238" t="s">
        <v>5417</v>
      </c>
      <c r="M18" s="88" t="s">
        <v>6198</v>
      </c>
      <c r="N18" s="8"/>
      <c r="O18" s="63"/>
      <c r="P18" s="63"/>
      <c r="R18" s="13"/>
    </row>
    <row r="19" spans="1:18" s="12" customFormat="1" ht="54" customHeight="1">
      <c r="A19" s="68">
        <v>11</v>
      </c>
      <c r="B19" s="68" t="s">
        <v>4996</v>
      </c>
      <c r="C19" s="89">
        <v>3409</v>
      </c>
      <c r="D19" s="73" t="s">
        <v>6198</v>
      </c>
      <c r="E19" s="88">
        <v>44580</v>
      </c>
      <c r="F19" s="88">
        <v>44651</v>
      </c>
      <c r="G19" s="88">
        <v>44580</v>
      </c>
      <c r="H19" s="87"/>
      <c r="I19" s="87">
        <v>9</v>
      </c>
      <c r="J19" s="87">
        <v>179</v>
      </c>
      <c r="K19" s="87">
        <v>20</v>
      </c>
      <c r="L19" s="238"/>
      <c r="M19" s="88" t="s">
        <v>6198</v>
      </c>
      <c r="N19" s="8"/>
      <c r="O19" s="63"/>
      <c r="P19" s="63"/>
      <c r="R19" s="13"/>
    </row>
    <row r="20" spans="1:18" s="12" customFormat="1" ht="54" customHeight="1">
      <c r="A20" s="68">
        <v>12</v>
      </c>
      <c r="B20" s="68" t="s">
        <v>44</v>
      </c>
      <c r="C20" s="89">
        <v>3464</v>
      </c>
      <c r="D20" s="73" t="s">
        <v>6198</v>
      </c>
      <c r="E20" s="88">
        <v>44596</v>
      </c>
      <c r="F20" s="88">
        <v>44651</v>
      </c>
      <c r="G20" s="88">
        <v>44594</v>
      </c>
      <c r="H20" s="87"/>
      <c r="I20" s="87">
        <v>1</v>
      </c>
      <c r="J20" s="87">
        <v>43</v>
      </c>
      <c r="K20" s="87"/>
      <c r="L20" s="238"/>
      <c r="M20" s="88" t="s">
        <v>6198</v>
      </c>
      <c r="N20" s="8"/>
      <c r="O20" s="63"/>
      <c r="P20" s="63"/>
      <c r="R20" s="13"/>
    </row>
    <row r="21" spans="1:18" s="12" customFormat="1" ht="54" customHeight="1">
      <c r="A21" s="68">
        <v>13</v>
      </c>
      <c r="B21" s="68" t="s">
        <v>125</v>
      </c>
      <c r="C21" s="89">
        <v>3417</v>
      </c>
      <c r="D21" s="73" t="s">
        <v>6198</v>
      </c>
      <c r="E21" s="88">
        <v>44599</v>
      </c>
      <c r="F21" s="88">
        <v>44651</v>
      </c>
      <c r="G21" s="88">
        <v>44599</v>
      </c>
      <c r="H21" s="87"/>
      <c r="I21" s="87">
        <v>1</v>
      </c>
      <c r="J21" s="87">
        <v>14</v>
      </c>
      <c r="K21" s="87">
        <v>51</v>
      </c>
      <c r="L21" s="238"/>
      <c r="M21" s="88" t="s">
        <v>6198</v>
      </c>
      <c r="N21" s="8"/>
      <c r="O21" s="63"/>
      <c r="P21" s="63"/>
      <c r="R21" s="13"/>
    </row>
    <row r="22" spans="1:18" s="12" customFormat="1" ht="54" customHeight="1" thickBot="1">
      <c r="A22" s="68">
        <v>14</v>
      </c>
      <c r="B22" s="68" t="s">
        <v>34</v>
      </c>
      <c r="C22" s="89">
        <v>3559</v>
      </c>
      <c r="D22" s="73" t="s">
        <v>6198</v>
      </c>
      <c r="E22" s="88">
        <v>44636</v>
      </c>
      <c r="F22" s="88">
        <v>44651</v>
      </c>
      <c r="G22" s="88"/>
      <c r="H22" s="87">
        <v>2</v>
      </c>
      <c r="I22" s="87">
        <v>20</v>
      </c>
      <c r="J22" s="87">
        <v>47</v>
      </c>
      <c r="K22" s="87">
        <v>56</v>
      </c>
      <c r="L22" s="238"/>
      <c r="M22" s="88" t="s">
        <v>6198</v>
      </c>
      <c r="N22" s="8"/>
      <c r="O22" s="63"/>
      <c r="P22" s="63"/>
      <c r="R22" s="13"/>
    </row>
    <row r="23" spans="1:18" s="12" customFormat="1" ht="54" customHeight="1" thickBot="1">
      <c r="A23" s="359" t="s">
        <v>37</v>
      </c>
      <c r="B23" s="360"/>
      <c r="C23" s="361"/>
      <c r="D23" s="73"/>
      <c r="E23" s="88"/>
      <c r="F23" s="88"/>
      <c r="G23" s="88"/>
      <c r="H23" s="88"/>
      <c r="I23" s="88"/>
      <c r="J23" s="88"/>
      <c r="K23" s="88"/>
      <c r="L23" s="88"/>
      <c r="M23" s="88" t="s">
        <v>6198</v>
      </c>
      <c r="N23" s="8"/>
      <c r="O23" s="63"/>
      <c r="P23" s="63"/>
      <c r="R23" s="13"/>
    </row>
    <row r="24" spans="1:18" s="12" customFormat="1" ht="54" customHeight="1">
      <c r="A24" s="68">
        <v>15</v>
      </c>
      <c r="B24" s="68" t="s">
        <v>147</v>
      </c>
      <c r="C24" s="89">
        <v>3011</v>
      </c>
      <c r="D24" s="73" t="s">
        <v>6198</v>
      </c>
      <c r="E24" s="88">
        <v>44585</v>
      </c>
      <c r="F24" s="88">
        <v>44607</v>
      </c>
      <c r="G24" s="88"/>
      <c r="H24" s="87">
        <v>29</v>
      </c>
      <c r="I24" s="87">
        <v>33</v>
      </c>
      <c r="J24" s="87">
        <v>33</v>
      </c>
      <c r="K24" s="87">
        <v>99</v>
      </c>
      <c r="L24" s="238" t="s">
        <v>5417</v>
      </c>
      <c r="M24" s="88" t="s">
        <v>6198</v>
      </c>
      <c r="N24" s="8"/>
      <c r="O24" s="63"/>
      <c r="P24" s="63"/>
      <c r="R24" s="13"/>
    </row>
    <row r="25" spans="1:18" s="12" customFormat="1" ht="54" customHeight="1">
      <c r="A25" s="68">
        <v>16</v>
      </c>
      <c r="B25" s="68" t="s">
        <v>147</v>
      </c>
      <c r="C25" s="89">
        <v>3380</v>
      </c>
      <c r="D25" s="73" t="s">
        <v>6198</v>
      </c>
      <c r="E25" s="88">
        <v>44585</v>
      </c>
      <c r="F25" s="88">
        <v>44607</v>
      </c>
      <c r="G25" s="88"/>
      <c r="H25" s="87">
        <v>19</v>
      </c>
      <c r="I25" s="87">
        <v>23</v>
      </c>
      <c r="J25" s="87">
        <v>23</v>
      </c>
      <c r="K25" s="87">
        <v>139</v>
      </c>
      <c r="L25" s="238" t="s">
        <v>5417</v>
      </c>
      <c r="M25" s="88" t="s">
        <v>6198</v>
      </c>
      <c r="N25" s="8"/>
      <c r="O25" s="63"/>
      <c r="P25" s="63"/>
      <c r="R25" s="13"/>
    </row>
    <row r="26" spans="1:18" s="12" customFormat="1" ht="54" customHeight="1">
      <c r="A26" s="68">
        <v>17</v>
      </c>
      <c r="B26" s="68" t="s">
        <v>147</v>
      </c>
      <c r="C26" s="89">
        <v>3407</v>
      </c>
      <c r="D26" s="73" t="s">
        <v>6198</v>
      </c>
      <c r="E26" s="88">
        <v>44585</v>
      </c>
      <c r="F26" s="88">
        <v>44607</v>
      </c>
      <c r="G26" s="88"/>
      <c r="H26" s="87">
        <v>17</v>
      </c>
      <c r="I26" s="87">
        <v>20</v>
      </c>
      <c r="J26" s="87">
        <v>20</v>
      </c>
      <c r="K26" s="87">
        <v>135</v>
      </c>
      <c r="L26" s="238" t="s">
        <v>5417</v>
      </c>
      <c r="M26" s="88" t="s">
        <v>6198</v>
      </c>
      <c r="N26" s="8"/>
      <c r="O26" s="63"/>
      <c r="P26" s="63"/>
      <c r="R26" s="13"/>
    </row>
    <row r="27" spans="1:18" s="12" customFormat="1" ht="54" customHeight="1">
      <c r="A27" s="68">
        <v>18</v>
      </c>
      <c r="B27" s="68" t="s">
        <v>34</v>
      </c>
      <c r="C27" s="89">
        <v>3316</v>
      </c>
      <c r="D27" s="73" t="s">
        <v>6198</v>
      </c>
      <c r="E27" s="88">
        <v>44583</v>
      </c>
      <c r="F27" s="88">
        <v>44614</v>
      </c>
      <c r="G27" s="88"/>
      <c r="H27" s="87">
        <v>372</v>
      </c>
      <c r="I27" s="87">
        <v>421</v>
      </c>
      <c r="J27" s="87">
        <v>421</v>
      </c>
      <c r="K27" s="87">
        <v>1218</v>
      </c>
      <c r="L27" s="238" t="s">
        <v>5417</v>
      </c>
      <c r="M27" s="88" t="s">
        <v>6198</v>
      </c>
      <c r="N27" s="8"/>
      <c r="O27" s="63"/>
      <c r="P27" s="63"/>
      <c r="R27" s="13"/>
    </row>
    <row r="28" spans="1:18" s="12" customFormat="1" ht="54" customHeight="1">
      <c r="A28" s="68">
        <v>19</v>
      </c>
      <c r="B28" s="68" t="s">
        <v>147</v>
      </c>
      <c r="C28" s="89">
        <v>3001</v>
      </c>
      <c r="D28" s="73" t="s">
        <v>6198</v>
      </c>
      <c r="E28" s="88">
        <v>44652</v>
      </c>
      <c r="F28" s="88">
        <v>44652</v>
      </c>
      <c r="G28" s="88"/>
      <c r="H28" s="87">
        <v>123</v>
      </c>
      <c r="I28" s="87">
        <v>145</v>
      </c>
      <c r="J28" s="87">
        <v>145</v>
      </c>
      <c r="K28" s="87">
        <v>362</v>
      </c>
      <c r="L28" s="238" t="s">
        <v>5417</v>
      </c>
      <c r="M28" s="88" t="s">
        <v>6198</v>
      </c>
      <c r="N28" s="8"/>
      <c r="O28" s="63"/>
      <c r="P28" s="63"/>
      <c r="R28" s="13"/>
    </row>
    <row r="29" spans="1:18" s="12" customFormat="1" ht="54" customHeight="1">
      <c r="A29" s="68">
        <v>20</v>
      </c>
      <c r="B29" s="68" t="s">
        <v>147</v>
      </c>
      <c r="C29" s="89">
        <v>3004</v>
      </c>
      <c r="D29" s="73" t="s">
        <v>6198</v>
      </c>
      <c r="E29" s="88">
        <v>44652</v>
      </c>
      <c r="F29" s="88">
        <v>44652</v>
      </c>
      <c r="G29" s="88"/>
      <c r="H29" s="87">
        <v>33</v>
      </c>
      <c r="I29" s="87">
        <v>39</v>
      </c>
      <c r="J29" s="87">
        <v>39</v>
      </c>
      <c r="K29" s="87">
        <v>272</v>
      </c>
      <c r="L29" s="238" t="s">
        <v>5417</v>
      </c>
      <c r="M29" s="88" t="s">
        <v>6198</v>
      </c>
      <c r="N29" s="8"/>
      <c r="O29" s="63"/>
      <c r="P29" s="63"/>
      <c r="R29" s="13"/>
    </row>
    <row r="30" spans="1:18" s="12" customFormat="1" ht="54" customHeight="1">
      <c r="A30" s="68">
        <v>21</v>
      </c>
      <c r="B30" s="68" t="s">
        <v>147</v>
      </c>
      <c r="C30" s="89">
        <v>3005</v>
      </c>
      <c r="D30" s="73" t="s">
        <v>6198</v>
      </c>
      <c r="E30" s="88">
        <v>44652</v>
      </c>
      <c r="F30" s="88">
        <v>44652</v>
      </c>
      <c r="G30" s="88"/>
      <c r="H30" s="87">
        <v>17</v>
      </c>
      <c r="I30" s="87">
        <v>21</v>
      </c>
      <c r="J30" s="87">
        <v>21</v>
      </c>
      <c r="K30" s="87">
        <v>46</v>
      </c>
      <c r="L30" s="238" t="s">
        <v>5417</v>
      </c>
      <c r="M30" s="88" t="s">
        <v>6198</v>
      </c>
      <c r="N30" s="8"/>
      <c r="O30" s="63"/>
      <c r="P30" s="63"/>
      <c r="R30" s="13"/>
    </row>
    <row r="31" spans="1:18" s="12" customFormat="1" ht="54" customHeight="1">
      <c r="A31" s="68">
        <v>22</v>
      </c>
      <c r="B31" s="68" t="s">
        <v>147</v>
      </c>
      <c r="C31" s="89">
        <v>3006</v>
      </c>
      <c r="D31" s="73" t="s">
        <v>6198</v>
      </c>
      <c r="E31" s="88">
        <v>44652</v>
      </c>
      <c r="F31" s="88">
        <v>44652</v>
      </c>
      <c r="G31" s="88"/>
      <c r="H31" s="87">
        <v>118</v>
      </c>
      <c r="I31" s="87">
        <v>128</v>
      </c>
      <c r="J31" s="87">
        <v>128</v>
      </c>
      <c r="K31" s="87">
        <v>273</v>
      </c>
      <c r="L31" s="238" t="s">
        <v>5417</v>
      </c>
      <c r="M31" s="88" t="s">
        <v>6198</v>
      </c>
      <c r="N31" s="8"/>
      <c r="O31" s="63"/>
      <c r="P31" s="63"/>
      <c r="R31" s="13"/>
    </row>
    <row r="32" spans="1:18" s="12" customFormat="1" ht="54" customHeight="1">
      <c r="A32" s="68">
        <v>23</v>
      </c>
      <c r="B32" s="68" t="s">
        <v>147</v>
      </c>
      <c r="C32" s="89">
        <v>3007</v>
      </c>
      <c r="D32" s="73" t="s">
        <v>6198</v>
      </c>
      <c r="E32" s="88">
        <v>44652</v>
      </c>
      <c r="F32" s="88">
        <v>44652</v>
      </c>
      <c r="G32" s="88"/>
      <c r="H32" s="87">
        <v>23</v>
      </c>
      <c r="I32" s="87">
        <v>31</v>
      </c>
      <c r="J32" s="87">
        <v>31</v>
      </c>
      <c r="K32" s="87">
        <v>63</v>
      </c>
      <c r="L32" s="238" t="s">
        <v>5417</v>
      </c>
      <c r="M32" s="88" t="s">
        <v>6198</v>
      </c>
      <c r="N32" s="8"/>
      <c r="O32" s="63"/>
      <c r="P32" s="63"/>
      <c r="R32" s="13"/>
    </row>
    <row r="33" spans="1:18" s="12" customFormat="1" ht="54" customHeight="1">
      <c r="A33" s="68">
        <v>24</v>
      </c>
      <c r="B33" s="68" t="s">
        <v>147</v>
      </c>
      <c r="C33" s="89">
        <v>3008</v>
      </c>
      <c r="D33" s="73" t="s">
        <v>6198</v>
      </c>
      <c r="E33" s="88">
        <v>44652</v>
      </c>
      <c r="F33" s="88">
        <v>44652</v>
      </c>
      <c r="G33" s="88"/>
      <c r="H33" s="87">
        <v>5</v>
      </c>
      <c r="I33" s="87">
        <v>9</v>
      </c>
      <c r="J33" s="87">
        <v>9</v>
      </c>
      <c r="K33" s="87">
        <v>23</v>
      </c>
      <c r="L33" s="238" t="s">
        <v>5417</v>
      </c>
      <c r="M33" s="88" t="s">
        <v>6198</v>
      </c>
      <c r="N33" s="8"/>
      <c r="O33" s="63"/>
      <c r="P33" s="63"/>
      <c r="R33" s="13"/>
    </row>
    <row r="34" spans="1:18" s="12" customFormat="1" ht="54" customHeight="1">
      <c r="A34" s="68">
        <v>25</v>
      </c>
      <c r="B34" s="68" t="s">
        <v>147</v>
      </c>
      <c r="C34" s="89">
        <v>3009</v>
      </c>
      <c r="D34" s="73" t="s">
        <v>6198</v>
      </c>
      <c r="E34" s="88">
        <v>44652</v>
      </c>
      <c r="F34" s="88">
        <v>44652</v>
      </c>
      <c r="G34" s="88"/>
      <c r="H34" s="87">
        <v>9</v>
      </c>
      <c r="I34" s="87">
        <v>9</v>
      </c>
      <c r="J34" s="87">
        <v>9</v>
      </c>
      <c r="K34" s="87">
        <v>11</v>
      </c>
      <c r="L34" s="238" t="s">
        <v>5417</v>
      </c>
      <c r="M34" s="88" t="s">
        <v>6198</v>
      </c>
      <c r="N34" s="8"/>
      <c r="O34" s="63"/>
      <c r="P34" s="63"/>
      <c r="R34" s="13"/>
    </row>
    <row r="35" spans="1:18" s="12" customFormat="1" ht="54" customHeight="1">
      <c r="A35" s="68">
        <v>26</v>
      </c>
      <c r="B35" s="68" t="s">
        <v>147</v>
      </c>
      <c r="C35" s="89">
        <v>3010</v>
      </c>
      <c r="D35" s="73" t="s">
        <v>6198</v>
      </c>
      <c r="E35" s="88">
        <v>44652</v>
      </c>
      <c r="F35" s="88">
        <v>44652</v>
      </c>
      <c r="G35" s="88"/>
      <c r="H35" s="87">
        <v>31</v>
      </c>
      <c r="I35" s="87">
        <v>37</v>
      </c>
      <c r="J35" s="87">
        <v>37</v>
      </c>
      <c r="K35" s="87">
        <v>62</v>
      </c>
      <c r="L35" s="238" t="s">
        <v>5417</v>
      </c>
      <c r="M35" s="88" t="s">
        <v>6198</v>
      </c>
      <c r="N35" s="8"/>
      <c r="O35" s="63"/>
      <c r="P35" s="63"/>
      <c r="R35" s="13"/>
    </row>
    <row r="36" spans="1:18" s="12" customFormat="1" ht="54" customHeight="1">
      <c r="A36" s="68">
        <v>27</v>
      </c>
      <c r="B36" s="68" t="s">
        <v>46</v>
      </c>
      <c r="C36" s="89">
        <v>3012</v>
      </c>
      <c r="D36" s="73" t="s">
        <v>6198</v>
      </c>
      <c r="E36" s="88">
        <v>44652</v>
      </c>
      <c r="F36" s="88">
        <v>44652</v>
      </c>
      <c r="G36" s="88"/>
      <c r="H36" s="87">
        <v>33</v>
      </c>
      <c r="I36" s="87">
        <v>39</v>
      </c>
      <c r="J36" s="87">
        <v>39</v>
      </c>
      <c r="K36" s="87">
        <v>946</v>
      </c>
      <c r="L36" s="238" t="s">
        <v>5417</v>
      </c>
      <c r="M36" s="88" t="s">
        <v>6198</v>
      </c>
      <c r="N36" s="8"/>
      <c r="O36" s="63"/>
      <c r="P36" s="63"/>
      <c r="R36" s="13"/>
    </row>
    <row r="37" spans="1:18" s="12" customFormat="1" ht="54" customHeight="1">
      <c r="A37" s="68">
        <v>28</v>
      </c>
      <c r="B37" s="68" t="s">
        <v>46</v>
      </c>
      <c r="C37" s="89">
        <v>3013</v>
      </c>
      <c r="D37" s="73" t="s">
        <v>6198</v>
      </c>
      <c r="E37" s="88">
        <v>44652</v>
      </c>
      <c r="F37" s="88">
        <v>44652</v>
      </c>
      <c r="G37" s="88"/>
      <c r="H37" s="87">
        <v>118</v>
      </c>
      <c r="I37" s="87">
        <v>128</v>
      </c>
      <c r="J37" s="87">
        <v>128</v>
      </c>
      <c r="K37" s="87">
        <v>959</v>
      </c>
      <c r="L37" s="238" t="s">
        <v>5417</v>
      </c>
      <c r="M37" s="88" t="s">
        <v>6198</v>
      </c>
      <c r="N37" s="8"/>
      <c r="O37" s="63"/>
      <c r="P37" s="63"/>
      <c r="R37" s="13"/>
    </row>
    <row r="38" spans="1:18" s="12" customFormat="1" ht="54" customHeight="1">
      <c r="A38" s="68">
        <v>29</v>
      </c>
      <c r="B38" s="68" t="s">
        <v>147</v>
      </c>
      <c r="C38" s="89">
        <v>3369</v>
      </c>
      <c r="D38" s="73" t="s">
        <v>6198</v>
      </c>
      <c r="E38" s="88">
        <v>44652</v>
      </c>
      <c r="F38" s="88">
        <v>44652</v>
      </c>
      <c r="G38" s="88"/>
      <c r="H38" s="87">
        <v>441</v>
      </c>
      <c r="I38" s="87">
        <v>487</v>
      </c>
      <c r="J38" s="87">
        <v>487</v>
      </c>
      <c r="K38" s="87">
        <v>1466</v>
      </c>
      <c r="L38" s="238" t="s">
        <v>5418</v>
      </c>
      <c r="M38" s="88" t="s">
        <v>6198</v>
      </c>
      <c r="N38" s="8"/>
      <c r="O38" s="63"/>
      <c r="P38" s="63"/>
      <c r="R38" s="13"/>
    </row>
    <row r="39" spans="1:18" s="12" customFormat="1" ht="54" customHeight="1">
      <c r="A39" s="68">
        <v>30</v>
      </c>
      <c r="B39" s="68" t="s">
        <v>147</v>
      </c>
      <c r="C39" s="89">
        <v>3371</v>
      </c>
      <c r="D39" s="73" t="s">
        <v>6198</v>
      </c>
      <c r="E39" s="88">
        <v>44652</v>
      </c>
      <c r="F39" s="88">
        <v>44652</v>
      </c>
      <c r="G39" s="88"/>
      <c r="H39" s="87">
        <v>63</v>
      </c>
      <c r="I39" s="87">
        <v>64</v>
      </c>
      <c r="J39" s="87">
        <v>64</v>
      </c>
      <c r="K39" s="87">
        <v>236</v>
      </c>
      <c r="L39" s="238" t="s">
        <v>5418</v>
      </c>
      <c r="M39" s="88" t="s">
        <v>6198</v>
      </c>
      <c r="N39" s="8"/>
      <c r="O39" s="63"/>
      <c r="P39" s="63"/>
      <c r="R39" s="13"/>
    </row>
    <row r="40" spans="1:18" s="12" customFormat="1" ht="54" customHeight="1">
      <c r="A40" s="68">
        <v>31</v>
      </c>
      <c r="B40" s="68" t="s">
        <v>147</v>
      </c>
      <c r="C40" s="89">
        <v>3376</v>
      </c>
      <c r="D40" s="73" t="s">
        <v>6198</v>
      </c>
      <c r="E40" s="88">
        <v>44652</v>
      </c>
      <c r="F40" s="88">
        <v>44652</v>
      </c>
      <c r="G40" s="88"/>
      <c r="H40" s="87">
        <v>75</v>
      </c>
      <c r="I40" s="87">
        <v>93</v>
      </c>
      <c r="J40" s="87">
        <v>93</v>
      </c>
      <c r="K40" s="87">
        <v>243</v>
      </c>
      <c r="L40" s="238" t="s">
        <v>5418</v>
      </c>
      <c r="M40" s="88" t="s">
        <v>6198</v>
      </c>
      <c r="N40" s="8"/>
      <c r="O40" s="63"/>
      <c r="P40" s="63"/>
      <c r="R40" s="13"/>
    </row>
    <row r="41" spans="1:18" s="12" customFormat="1" ht="54" customHeight="1">
      <c r="A41" s="68">
        <v>32</v>
      </c>
      <c r="B41" s="68" t="s">
        <v>4558</v>
      </c>
      <c r="C41" s="89">
        <v>3391</v>
      </c>
      <c r="D41" s="73" t="s">
        <v>6198</v>
      </c>
      <c r="E41" s="88">
        <v>44652</v>
      </c>
      <c r="F41" s="88">
        <v>44652</v>
      </c>
      <c r="G41" s="88"/>
      <c r="H41" s="87">
        <v>242</v>
      </c>
      <c r="I41" s="87">
        <v>273</v>
      </c>
      <c r="J41" s="87">
        <v>273</v>
      </c>
      <c r="K41" s="87">
        <v>1211</v>
      </c>
      <c r="L41" s="238" t="s">
        <v>5417</v>
      </c>
      <c r="M41" s="88" t="s">
        <v>6198</v>
      </c>
      <c r="N41" s="8"/>
      <c r="O41" s="63"/>
      <c r="P41" s="63"/>
      <c r="R41" s="13"/>
    </row>
    <row r="42" spans="1:18" s="12" customFormat="1" ht="54" customHeight="1">
      <c r="A42" s="68">
        <v>33</v>
      </c>
      <c r="B42" s="68" t="s">
        <v>4558</v>
      </c>
      <c r="C42" s="89">
        <v>3392</v>
      </c>
      <c r="D42" s="73" t="s">
        <v>6198</v>
      </c>
      <c r="E42" s="88">
        <v>44652</v>
      </c>
      <c r="F42" s="88">
        <v>44652</v>
      </c>
      <c r="G42" s="88"/>
      <c r="H42" s="87">
        <v>13</v>
      </c>
      <c r="I42" s="87">
        <v>13</v>
      </c>
      <c r="J42" s="87">
        <v>16</v>
      </c>
      <c r="K42" s="87">
        <v>32</v>
      </c>
      <c r="L42" s="238" t="s">
        <v>5417</v>
      </c>
      <c r="M42" s="88" t="s">
        <v>6198</v>
      </c>
      <c r="N42" s="8"/>
      <c r="O42" s="63"/>
      <c r="P42" s="63"/>
      <c r="R42" s="13"/>
    </row>
    <row r="43" spans="1:18" s="12" customFormat="1" ht="54" customHeight="1">
      <c r="A43" s="68">
        <v>34</v>
      </c>
      <c r="B43" s="68" t="s">
        <v>4558</v>
      </c>
      <c r="C43" s="89">
        <v>3393</v>
      </c>
      <c r="D43" s="73" t="s">
        <v>6198</v>
      </c>
      <c r="E43" s="88">
        <v>44652</v>
      </c>
      <c r="F43" s="88">
        <v>44652</v>
      </c>
      <c r="G43" s="88"/>
      <c r="H43" s="87">
        <v>58</v>
      </c>
      <c r="I43" s="87">
        <v>63</v>
      </c>
      <c r="J43" s="87">
        <v>63</v>
      </c>
      <c r="K43" s="87">
        <v>290</v>
      </c>
      <c r="L43" s="238" t="s">
        <v>5417</v>
      </c>
      <c r="M43" s="88" t="s">
        <v>6198</v>
      </c>
      <c r="N43" s="8"/>
      <c r="O43" s="63"/>
      <c r="P43" s="63"/>
      <c r="R43" s="13"/>
    </row>
    <row r="44" spans="1:18" s="12" customFormat="1" ht="54" customHeight="1">
      <c r="A44" s="68">
        <v>35</v>
      </c>
      <c r="B44" s="68" t="s">
        <v>4558</v>
      </c>
      <c r="C44" s="89">
        <v>3394</v>
      </c>
      <c r="D44" s="73" t="s">
        <v>6198</v>
      </c>
      <c r="E44" s="88">
        <v>44652</v>
      </c>
      <c r="F44" s="88">
        <v>44652</v>
      </c>
      <c r="G44" s="88"/>
      <c r="H44" s="87">
        <v>25</v>
      </c>
      <c r="I44" s="87">
        <v>27</v>
      </c>
      <c r="J44" s="87">
        <v>27</v>
      </c>
      <c r="K44" s="87">
        <v>123</v>
      </c>
      <c r="L44" s="238" t="s">
        <v>5417</v>
      </c>
      <c r="M44" s="88" t="s">
        <v>6198</v>
      </c>
      <c r="N44" s="8"/>
      <c r="O44" s="63"/>
      <c r="P44" s="63"/>
      <c r="R44" s="13"/>
    </row>
    <row r="45" spans="1:18" s="12" customFormat="1" ht="54" customHeight="1">
      <c r="A45" s="68">
        <v>36</v>
      </c>
      <c r="B45" s="68" t="s">
        <v>4558</v>
      </c>
      <c r="C45" s="89">
        <v>3395</v>
      </c>
      <c r="D45" s="73" t="s">
        <v>6198</v>
      </c>
      <c r="E45" s="88">
        <v>44652</v>
      </c>
      <c r="F45" s="88">
        <v>44652</v>
      </c>
      <c r="G45" s="88"/>
      <c r="H45" s="87">
        <v>36</v>
      </c>
      <c r="I45" s="87">
        <v>46</v>
      </c>
      <c r="J45" s="87">
        <v>46</v>
      </c>
      <c r="K45" s="87">
        <v>107</v>
      </c>
      <c r="L45" s="238" t="s">
        <v>5417</v>
      </c>
      <c r="M45" s="88" t="s">
        <v>6198</v>
      </c>
      <c r="N45" s="8"/>
      <c r="O45" s="63"/>
      <c r="P45" s="63"/>
      <c r="R45" s="13"/>
    </row>
    <row r="46" spans="1:18" s="12" customFormat="1" ht="54" customHeight="1">
      <c r="A46" s="68">
        <v>37</v>
      </c>
      <c r="B46" s="68" t="s">
        <v>4558</v>
      </c>
      <c r="C46" s="89">
        <v>3396</v>
      </c>
      <c r="D46" s="73" t="s">
        <v>6198</v>
      </c>
      <c r="E46" s="88">
        <v>44652</v>
      </c>
      <c r="F46" s="88">
        <v>44652</v>
      </c>
      <c r="G46" s="88"/>
      <c r="H46" s="87">
        <v>3</v>
      </c>
      <c r="I46" s="87">
        <v>3</v>
      </c>
      <c r="J46" s="87">
        <v>3</v>
      </c>
      <c r="K46" s="87">
        <v>16</v>
      </c>
      <c r="L46" s="238" t="s">
        <v>5417</v>
      </c>
      <c r="M46" s="88" t="s">
        <v>6198</v>
      </c>
      <c r="N46" s="8"/>
      <c r="O46" s="63"/>
      <c r="P46" s="63"/>
      <c r="R46" s="13"/>
    </row>
    <row r="47" spans="1:18" s="12" customFormat="1" ht="54" customHeight="1">
      <c r="A47" s="68">
        <v>38</v>
      </c>
      <c r="B47" s="68" t="s">
        <v>4558</v>
      </c>
      <c r="C47" s="89">
        <v>3397</v>
      </c>
      <c r="D47" s="73" t="s">
        <v>6198</v>
      </c>
      <c r="E47" s="88">
        <v>44652</v>
      </c>
      <c r="F47" s="88">
        <v>44652</v>
      </c>
      <c r="G47" s="88"/>
      <c r="H47" s="87">
        <v>31</v>
      </c>
      <c r="I47" s="87">
        <v>40</v>
      </c>
      <c r="J47" s="87">
        <v>40</v>
      </c>
      <c r="K47" s="87">
        <v>178</v>
      </c>
      <c r="L47" s="238" t="s">
        <v>5417</v>
      </c>
      <c r="M47" s="88" t="s">
        <v>6198</v>
      </c>
      <c r="N47" s="8"/>
      <c r="O47" s="63"/>
      <c r="P47" s="63"/>
      <c r="R47" s="13"/>
    </row>
    <row r="48" spans="1:18" s="12" customFormat="1" ht="54" customHeight="1">
      <c r="A48" s="68">
        <v>39</v>
      </c>
      <c r="B48" s="68" t="s">
        <v>4558</v>
      </c>
      <c r="C48" s="89">
        <v>3398</v>
      </c>
      <c r="D48" s="73" t="s">
        <v>6198</v>
      </c>
      <c r="E48" s="88">
        <v>44652</v>
      </c>
      <c r="F48" s="88">
        <v>44652</v>
      </c>
      <c r="G48" s="88"/>
      <c r="H48" s="87">
        <v>27</v>
      </c>
      <c r="I48" s="87">
        <v>28</v>
      </c>
      <c r="J48" s="87">
        <v>28</v>
      </c>
      <c r="K48" s="87">
        <v>63</v>
      </c>
      <c r="L48" s="238" t="s">
        <v>5417</v>
      </c>
      <c r="M48" s="88" t="s">
        <v>6198</v>
      </c>
      <c r="N48" s="8"/>
      <c r="O48" s="63"/>
      <c r="P48" s="63"/>
      <c r="R48" s="13"/>
    </row>
    <row r="49" spans="1:18" s="12" customFormat="1" ht="54" customHeight="1">
      <c r="A49" s="68">
        <v>40</v>
      </c>
      <c r="B49" s="68" t="s">
        <v>45</v>
      </c>
      <c r="C49" s="89">
        <v>3465</v>
      </c>
      <c r="D49" s="73" t="s">
        <v>6198</v>
      </c>
      <c r="E49" s="88">
        <v>44652</v>
      </c>
      <c r="F49" s="88">
        <v>44652</v>
      </c>
      <c r="G49" s="88"/>
      <c r="H49" s="87">
        <v>118</v>
      </c>
      <c r="I49" s="87">
        <v>136</v>
      </c>
      <c r="J49" s="87">
        <v>136</v>
      </c>
      <c r="K49" s="87">
        <v>629</v>
      </c>
      <c r="L49" s="238" t="s">
        <v>5418</v>
      </c>
      <c r="M49" s="88" t="s">
        <v>6198</v>
      </c>
      <c r="N49" s="8"/>
      <c r="O49" s="63"/>
      <c r="P49" s="63"/>
      <c r="R49" s="13"/>
    </row>
    <row r="50" spans="1:18" s="12" customFormat="1" ht="54" customHeight="1">
      <c r="A50" s="68">
        <v>41</v>
      </c>
      <c r="B50" s="68" t="s">
        <v>44</v>
      </c>
      <c r="C50" s="89">
        <v>3474</v>
      </c>
      <c r="D50" s="73" t="s">
        <v>6198</v>
      </c>
      <c r="E50" s="88">
        <v>44652</v>
      </c>
      <c r="F50" s="88">
        <v>44652</v>
      </c>
      <c r="G50" s="88"/>
      <c r="H50" s="87">
        <v>28</v>
      </c>
      <c r="I50" s="87">
        <v>28</v>
      </c>
      <c r="J50" s="87">
        <v>28</v>
      </c>
      <c r="K50" s="87">
        <v>1428</v>
      </c>
      <c r="L50" s="238" t="s">
        <v>5417</v>
      </c>
      <c r="M50" s="88" t="s">
        <v>6198</v>
      </c>
      <c r="N50" s="8"/>
      <c r="O50" s="63"/>
      <c r="P50" s="63"/>
      <c r="R50" s="13"/>
    </row>
    <row r="51" spans="1:18" s="12" customFormat="1" ht="54" customHeight="1">
      <c r="A51" s="68">
        <v>42</v>
      </c>
      <c r="B51" s="68" t="s">
        <v>44</v>
      </c>
      <c r="C51" s="89">
        <v>3476</v>
      </c>
      <c r="D51" s="73" t="s">
        <v>6198</v>
      </c>
      <c r="E51" s="88">
        <v>44652</v>
      </c>
      <c r="F51" s="88">
        <v>44652</v>
      </c>
      <c r="G51" s="88"/>
      <c r="H51" s="87">
        <v>18</v>
      </c>
      <c r="I51" s="87">
        <v>18</v>
      </c>
      <c r="J51" s="87">
        <v>19</v>
      </c>
      <c r="K51" s="87">
        <v>176</v>
      </c>
      <c r="L51" s="238" t="s">
        <v>5418</v>
      </c>
      <c r="M51" s="88" t="s">
        <v>6198</v>
      </c>
      <c r="N51" s="8"/>
      <c r="O51" s="63"/>
      <c r="P51" s="63"/>
      <c r="R51" s="13"/>
    </row>
    <row r="52" spans="1:18" s="12" customFormat="1" ht="54" customHeight="1">
      <c r="A52" s="68">
        <v>43</v>
      </c>
      <c r="B52" s="68" t="s">
        <v>44</v>
      </c>
      <c r="C52" s="89">
        <v>3477</v>
      </c>
      <c r="D52" s="73" t="s">
        <v>6198</v>
      </c>
      <c r="E52" s="88">
        <v>44652</v>
      </c>
      <c r="F52" s="88">
        <v>44652</v>
      </c>
      <c r="G52" s="88"/>
      <c r="H52" s="87">
        <v>25</v>
      </c>
      <c r="I52" s="87">
        <v>25</v>
      </c>
      <c r="J52" s="87">
        <v>25</v>
      </c>
      <c r="K52" s="87">
        <v>1738</v>
      </c>
      <c r="L52" s="238" t="s">
        <v>5418</v>
      </c>
      <c r="M52" s="88" t="s">
        <v>6198</v>
      </c>
      <c r="N52" s="8"/>
      <c r="O52" s="63"/>
      <c r="P52" s="63"/>
      <c r="R52" s="13"/>
    </row>
    <row r="53" spans="1:18" s="12" customFormat="1" ht="54" customHeight="1">
      <c r="A53" s="68">
        <v>44</v>
      </c>
      <c r="B53" s="68" t="s">
        <v>44</v>
      </c>
      <c r="C53" s="89">
        <v>3478</v>
      </c>
      <c r="D53" s="73" t="s">
        <v>6198</v>
      </c>
      <c r="E53" s="88">
        <v>44652</v>
      </c>
      <c r="F53" s="88">
        <v>44652</v>
      </c>
      <c r="G53" s="88"/>
      <c r="H53" s="87">
        <v>9</v>
      </c>
      <c r="I53" s="87">
        <v>9</v>
      </c>
      <c r="J53" s="87">
        <v>9</v>
      </c>
      <c r="K53" s="87">
        <v>801</v>
      </c>
      <c r="L53" s="238" t="s">
        <v>5418</v>
      </c>
      <c r="M53" s="88" t="s">
        <v>6198</v>
      </c>
      <c r="N53" s="8"/>
      <c r="O53" s="63"/>
      <c r="P53" s="63"/>
      <c r="R53" s="13"/>
    </row>
    <row r="54" spans="1:18" s="12" customFormat="1" ht="54" customHeight="1">
      <c r="A54" s="68">
        <v>45</v>
      </c>
      <c r="B54" s="68" t="s">
        <v>44</v>
      </c>
      <c r="C54" s="89">
        <v>3479</v>
      </c>
      <c r="D54" s="73" t="s">
        <v>6198</v>
      </c>
      <c r="E54" s="88">
        <v>44652</v>
      </c>
      <c r="F54" s="88">
        <v>44652</v>
      </c>
      <c r="G54" s="88"/>
      <c r="H54" s="87">
        <v>21</v>
      </c>
      <c r="I54" s="87">
        <v>27</v>
      </c>
      <c r="J54" s="87">
        <v>27</v>
      </c>
      <c r="K54" s="87">
        <v>1436</v>
      </c>
      <c r="L54" s="238" t="s">
        <v>5418</v>
      </c>
      <c r="M54" s="88" t="s">
        <v>6198</v>
      </c>
      <c r="N54" s="8"/>
      <c r="O54" s="63"/>
      <c r="P54" s="63"/>
      <c r="R54" s="13"/>
    </row>
    <row r="55" spans="1:18" s="12" customFormat="1" ht="54" customHeight="1">
      <c r="A55" s="68">
        <v>46</v>
      </c>
      <c r="B55" s="68" t="s">
        <v>44</v>
      </c>
      <c r="C55" s="89">
        <v>3480</v>
      </c>
      <c r="D55" s="73" t="s">
        <v>6198</v>
      </c>
      <c r="E55" s="88">
        <v>44652</v>
      </c>
      <c r="F55" s="88">
        <v>44652</v>
      </c>
      <c r="G55" s="88"/>
      <c r="H55" s="87">
        <v>12</v>
      </c>
      <c r="I55" s="87">
        <v>14</v>
      </c>
      <c r="J55" s="87">
        <v>14</v>
      </c>
      <c r="K55" s="87">
        <v>777</v>
      </c>
      <c r="L55" s="238" t="s">
        <v>5418</v>
      </c>
      <c r="M55" s="88" t="s">
        <v>6198</v>
      </c>
      <c r="N55" s="8"/>
      <c r="O55" s="63"/>
      <c r="P55" s="63"/>
      <c r="R55" s="13"/>
    </row>
    <row r="56" spans="1:18" s="12" customFormat="1" ht="54" customHeight="1">
      <c r="A56" s="68">
        <v>47</v>
      </c>
      <c r="B56" s="68" t="s">
        <v>44</v>
      </c>
      <c r="C56" s="89">
        <v>3481</v>
      </c>
      <c r="D56" s="73" t="s">
        <v>6198</v>
      </c>
      <c r="E56" s="88">
        <v>44652</v>
      </c>
      <c r="F56" s="88">
        <v>44652</v>
      </c>
      <c r="G56" s="88"/>
      <c r="H56" s="87">
        <v>29</v>
      </c>
      <c r="I56" s="87">
        <v>33</v>
      </c>
      <c r="J56" s="87">
        <v>33</v>
      </c>
      <c r="K56" s="87">
        <v>849</v>
      </c>
      <c r="L56" s="238" t="s">
        <v>5418</v>
      </c>
      <c r="M56" s="88" t="s">
        <v>6198</v>
      </c>
      <c r="N56" s="8"/>
      <c r="O56" s="63"/>
      <c r="P56" s="63"/>
      <c r="R56" s="13"/>
    </row>
    <row r="57" spans="1:18" s="12" customFormat="1" ht="54" customHeight="1">
      <c r="A57" s="68">
        <v>48</v>
      </c>
      <c r="B57" s="68" t="s">
        <v>44</v>
      </c>
      <c r="C57" s="89">
        <v>3482</v>
      </c>
      <c r="D57" s="73" t="s">
        <v>6198</v>
      </c>
      <c r="E57" s="88">
        <v>44652</v>
      </c>
      <c r="F57" s="88">
        <v>44652</v>
      </c>
      <c r="G57" s="88"/>
      <c r="H57" s="87">
        <v>50</v>
      </c>
      <c r="I57" s="87">
        <v>57</v>
      </c>
      <c r="J57" s="87">
        <v>57</v>
      </c>
      <c r="K57" s="87">
        <v>404</v>
      </c>
      <c r="L57" s="238" t="s">
        <v>5418</v>
      </c>
      <c r="M57" s="88" t="s">
        <v>6198</v>
      </c>
      <c r="N57" s="8"/>
      <c r="O57" s="63"/>
      <c r="P57" s="63"/>
      <c r="R57" s="13"/>
    </row>
    <row r="58" spans="1:18" s="12" customFormat="1" ht="54" customHeight="1">
      <c r="A58" s="68">
        <v>49</v>
      </c>
      <c r="B58" s="68" t="s">
        <v>44</v>
      </c>
      <c r="C58" s="89">
        <v>3483</v>
      </c>
      <c r="D58" s="73" t="s">
        <v>6198</v>
      </c>
      <c r="E58" s="88">
        <v>44652</v>
      </c>
      <c r="F58" s="88">
        <v>44652</v>
      </c>
      <c r="G58" s="88"/>
      <c r="H58" s="87">
        <v>109</v>
      </c>
      <c r="I58" s="87">
        <v>126</v>
      </c>
      <c r="J58" s="87">
        <v>126</v>
      </c>
      <c r="K58" s="87">
        <v>871</v>
      </c>
      <c r="L58" s="238" t="s">
        <v>5418</v>
      </c>
      <c r="M58" s="88" t="s">
        <v>6198</v>
      </c>
      <c r="N58" s="8"/>
      <c r="O58" s="63"/>
      <c r="P58" s="63"/>
      <c r="R58" s="13"/>
    </row>
    <row r="59" spans="1:18" s="12" customFormat="1" ht="54" customHeight="1">
      <c r="A59" s="68">
        <v>50</v>
      </c>
      <c r="B59" s="68" t="s">
        <v>44</v>
      </c>
      <c r="C59" s="89">
        <v>3484</v>
      </c>
      <c r="D59" s="73" t="s">
        <v>6198</v>
      </c>
      <c r="E59" s="88">
        <v>44652</v>
      </c>
      <c r="F59" s="88">
        <v>44652</v>
      </c>
      <c r="G59" s="88"/>
      <c r="H59" s="87">
        <v>185</v>
      </c>
      <c r="I59" s="87">
        <v>230</v>
      </c>
      <c r="J59" s="87">
        <v>230</v>
      </c>
      <c r="K59" s="87">
        <v>2534</v>
      </c>
      <c r="L59" s="238" t="s">
        <v>5418</v>
      </c>
      <c r="M59" s="88" t="s">
        <v>6198</v>
      </c>
      <c r="N59" s="8"/>
      <c r="O59" s="63"/>
      <c r="P59" s="63"/>
      <c r="R59" s="13"/>
    </row>
    <row r="60" spans="1:18" s="12" customFormat="1" ht="54" customHeight="1">
      <c r="A60" s="68">
        <v>51</v>
      </c>
      <c r="B60" s="68" t="s">
        <v>44</v>
      </c>
      <c r="C60" s="89">
        <v>3485</v>
      </c>
      <c r="D60" s="73" t="s">
        <v>6198</v>
      </c>
      <c r="E60" s="88">
        <v>44652</v>
      </c>
      <c r="F60" s="88">
        <v>44652</v>
      </c>
      <c r="G60" s="88"/>
      <c r="H60" s="87">
        <v>14</v>
      </c>
      <c r="I60" s="87">
        <v>21</v>
      </c>
      <c r="J60" s="87">
        <v>21</v>
      </c>
      <c r="K60" s="87">
        <v>1554</v>
      </c>
      <c r="L60" s="238" t="s">
        <v>5418</v>
      </c>
      <c r="M60" s="88" t="s">
        <v>6198</v>
      </c>
      <c r="N60" s="8"/>
      <c r="O60" s="63"/>
      <c r="P60" s="63"/>
      <c r="R60" s="13"/>
    </row>
    <row r="61" spans="1:18" s="12" customFormat="1" ht="54" customHeight="1">
      <c r="A61" s="68">
        <v>52</v>
      </c>
      <c r="B61" s="68" t="s">
        <v>44</v>
      </c>
      <c r="C61" s="89">
        <v>3487</v>
      </c>
      <c r="D61" s="73" t="s">
        <v>6198</v>
      </c>
      <c r="E61" s="88">
        <v>44652</v>
      </c>
      <c r="F61" s="88">
        <v>44652</v>
      </c>
      <c r="G61" s="88"/>
      <c r="H61" s="87">
        <v>77</v>
      </c>
      <c r="I61" s="87">
        <v>97</v>
      </c>
      <c r="J61" s="87">
        <v>97</v>
      </c>
      <c r="K61" s="87">
        <v>320</v>
      </c>
      <c r="L61" s="238"/>
      <c r="M61" s="88" t="s">
        <v>6198</v>
      </c>
      <c r="N61" s="8"/>
      <c r="O61" s="63"/>
      <c r="P61" s="63"/>
      <c r="R61" s="13"/>
    </row>
    <row r="62" spans="1:18" s="12" customFormat="1" ht="54" customHeight="1">
      <c r="A62" s="68">
        <v>53</v>
      </c>
      <c r="B62" s="68" t="s">
        <v>34</v>
      </c>
      <c r="C62" s="89">
        <v>3489</v>
      </c>
      <c r="D62" s="73" t="s">
        <v>6198</v>
      </c>
      <c r="E62" s="88">
        <v>44652</v>
      </c>
      <c r="F62" s="88">
        <v>44652</v>
      </c>
      <c r="G62" s="88"/>
      <c r="H62" s="87">
        <v>8</v>
      </c>
      <c r="I62" s="87">
        <v>8</v>
      </c>
      <c r="J62" s="87">
        <v>8</v>
      </c>
      <c r="K62" s="87">
        <v>1026</v>
      </c>
      <c r="L62" s="238" t="s">
        <v>5417</v>
      </c>
      <c r="M62" s="88" t="s">
        <v>6198</v>
      </c>
      <c r="N62" s="8"/>
      <c r="O62" s="63"/>
      <c r="P62" s="63"/>
      <c r="R62" s="13"/>
    </row>
    <row r="63" spans="1:18" s="12" customFormat="1" ht="54" customHeight="1">
      <c r="A63" s="68">
        <v>54</v>
      </c>
      <c r="B63" s="68" t="s">
        <v>34</v>
      </c>
      <c r="C63" s="89">
        <v>3490</v>
      </c>
      <c r="D63" s="73" t="s">
        <v>6198</v>
      </c>
      <c r="E63" s="88">
        <v>44652</v>
      </c>
      <c r="F63" s="88">
        <v>44652</v>
      </c>
      <c r="G63" s="88"/>
      <c r="H63" s="87">
        <v>8</v>
      </c>
      <c r="I63" s="87">
        <v>8</v>
      </c>
      <c r="J63" s="87">
        <v>8</v>
      </c>
      <c r="K63" s="87">
        <v>1026</v>
      </c>
      <c r="L63" s="238" t="s">
        <v>5417</v>
      </c>
      <c r="M63" s="88" t="s">
        <v>6198</v>
      </c>
      <c r="N63" s="8"/>
      <c r="O63" s="63"/>
      <c r="P63" s="63"/>
      <c r="R63" s="13"/>
    </row>
    <row r="64" spans="1:18" s="12" customFormat="1" ht="54" customHeight="1">
      <c r="A64" s="68">
        <v>55</v>
      </c>
      <c r="B64" s="68" t="s">
        <v>34</v>
      </c>
      <c r="C64" s="89">
        <v>3491</v>
      </c>
      <c r="D64" s="73" t="s">
        <v>6198</v>
      </c>
      <c r="E64" s="88">
        <v>44652</v>
      </c>
      <c r="F64" s="88">
        <v>44652</v>
      </c>
      <c r="G64" s="88"/>
      <c r="H64" s="87">
        <v>8</v>
      </c>
      <c r="I64" s="87">
        <v>8</v>
      </c>
      <c r="J64" s="87">
        <v>8</v>
      </c>
      <c r="K64" s="87">
        <v>1026</v>
      </c>
      <c r="L64" s="238" t="s">
        <v>5417</v>
      </c>
      <c r="M64" s="88" t="s">
        <v>6198</v>
      </c>
      <c r="N64" s="8"/>
      <c r="O64" s="63"/>
      <c r="P64" s="63"/>
      <c r="R64" s="13"/>
    </row>
    <row r="65" spans="1:18" s="12" customFormat="1" ht="54" customHeight="1">
      <c r="A65" s="68">
        <v>56</v>
      </c>
      <c r="B65" s="68" t="s">
        <v>34</v>
      </c>
      <c r="C65" s="89">
        <v>3492</v>
      </c>
      <c r="D65" s="73" t="s">
        <v>6198</v>
      </c>
      <c r="E65" s="88">
        <v>44652</v>
      </c>
      <c r="F65" s="88">
        <v>44652</v>
      </c>
      <c r="G65" s="88"/>
      <c r="H65" s="87">
        <v>8</v>
      </c>
      <c r="I65" s="87">
        <v>8</v>
      </c>
      <c r="J65" s="87">
        <v>8</v>
      </c>
      <c r="K65" s="87">
        <v>1050</v>
      </c>
      <c r="L65" s="238" t="s">
        <v>5418</v>
      </c>
      <c r="M65" s="88" t="s">
        <v>6198</v>
      </c>
      <c r="N65" s="8"/>
      <c r="O65" s="63"/>
      <c r="P65" s="63"/>
      <c r="R65" s="13"/>
    </row>
    <row r="66" spans="1:18" s="12" customFormat="1" ht="54" customHeight="1">
      <c r="A66" s="68">
        <v>57</v>
      </c>
      <c r="B66" s="68" t="s">
        <v>147</v>
      </c>
      <c r="C66" s="89">
        <v>3493</v>
      </c>
      <c r="D66" s="73" t="s">
        <v>6198</v>
      </c>
      <c r="E66" s="88">
        <v>44652</v>
      </c>
      <c r="F66" s="88">
        <v>44652</v>
      </c>
      <c r="G66" s="88"/>
      <c r="H66" s="87">
        <v>42</v>
      </c>
      <c r="I66" s="87">
        <v>48</v>
      </c>
      <c r="J66" s="87">
        <v>48</v>
      </c>
      <c r="K66" s="87">
        <v>90</v>
      </c>
      <c r="L66" s="238"/>
      <c r="M66" s="88" t="s">
        <v>6198</v>
      </c>
      <c r="N66" s="8"/>
      <c r="O66" s="63"/>
      <c r="P66" s="63"/>
      <c r="R66" s="13"/>
    </row>
    <row r="67" spans="1:18" s="12" customFormat="1" ht="54" customHeight="1">
      <c r="A67" s="68">
        <v>58</v>
      </c>
      <c r="B67" s="68" t="s">
        <v>44</v>
      </c>
      <c r="C67" s="89">
        <v>3494</v>
      </c>
      <c r="D67" s="73" t="s">
        <v>6198</v>
      </c>
      <c r="E67" s="88">
        <v>44652</v>
      </c>
      <c r="F67" s="88">
        <v>44652</v>
      </c>
      <c r="G67" s="88"/>
      <c r="H67" s="87">
        <v>66</v>
      </c>
      <c r="I67" s="87">
        <v>83</v>
      </c>
      <c r="J67" s="87">
        <v>83</v>
      </c>
      <c r="K67" s="87">
        <v>2352</v>
      </c>
      <c r="L67" s="238" t="s">
        <v>5418</v>
      </c>
      <c r="M67" s="88" t="s">
        <v>6198</v>
      </c>
      <c r="N67" s="8"/>
      <c r="O67" s="63"/>
      <c r="P67" s="63"/>
      <c r="R67" s="13"/>
    </row>
    <row r="68" spans="1:18" s="12" customFormat="1" ht="54" customHeight="1">
      <c r="A68" s="68">
        <v>59</v>
      </c>
      <c r="B68" s="68" t="s">
        <v>44</v>
      </c>
      <c r="C68" s="89">
        <v>3495</v>
      </c>
      <c r="D68" s="73" t="s">
        <v>6198</v>
      </c>
      <c r="E68" s="88">
        <v>44652</v>
      </c>
      <c r="F68" s="88">
        <v>44652</v>
      </c>
      <c r="G68" s="88"/>
      <c r="H68" s="87">
        <v>2</v>
      </c>
      <c r="I68" s="87">
        <v>3</v>
      </c>
      <c r="J68" s="87">
        <v>3</v>
      </c>
      <c r="K68" s="87">
        <v>1355</v>
      </c>
      <c r="L68" s="238" t="s">
        <v>5418</v>
      </c>
      <c r="M68" s="88" t="s">
        <v>6198</v>
      </c>
      <c r="N68" s="8"/>
      <c r="O68" s="63"/>
      <c r="P68" s="63"/>
      <c r="R68" s="13"/>
    </row>
    <row r="69" spans="1:18" s="12" customFormat="1" ht="54" customHeight="1">
      <c r="A69" s="68">
        <v>60</v>
      </c>
      <c r="B69" s="68" t="s">
        <v>44</v>
      </c>
      <c r="C69" s="89">
        <v>3496</v>
      </c>
      <c r="D69" s="73" t="s">
        <v>6198</v>
      </c>
      <c r="E69" s="88">
        <v>44652</v>
      </c>
      <c r="F69" s="88">
        <v>44652</v>
      </c>
      <c r="G69" s="88"/>
      <c r="H69" s="87">
        <v>54</v>
      </c>
      <c r="I69" s="87">
        <v>68</v>
      </c>
      <c r="J69" s="87">
        <v>68</v>
      </c>
      <c r="K69" s="87">
        <v>2067</v>
      </c>
      <c r="L69" s="238" t="s">
        <v>5418</v>
      </c>
      <c r="M69" s="88" t="s">
        <v>6198</v>
      </c>
      <c r="N69" s="8"/>
      <c r="O69" s="63"/>
      <c r="P69" s="63"/>
      <c r="R69" s="13"/>
    </row>
    <row r="70" spans="1:18" s="12" customFormat="1" ht="54" customHeight="1">
      <c r="A70" s="68">
        <v>61</v>
      </c>
      <c r="B70" s="68" t="s">
        <v>44</v>
      </c>
      <c r="C70" s="89">
        <v>3497</v>
      </c>
      <c r="D70" s="73" t="s">
        <v>6198</v>
      </c>
      <c r="E70" s="88">
        <v>44652</v>
      </c>
      <c r="F70" s="88">
        <v>44652</v>
      </c>
      <c r="G70" s="88"/>
      <c r="H70" s="87">
        <v>107</v>
      </c>
      <c r="I70" s="87">
        <v>132</v>
      </c>
      <c r="J70" s="87">
        <v>132</v>
      </c>
      <c r="K70" s="87">
        <v>1384</v>
      </c>
      <c r="L70" s="238" t="s">
        <v>5418</v>
      </c>
      <c r="M70" s="88" t="s">
        <v>6198</v>
      </c>
      <c r="N70" s="8"/>
      <c r="O70" s="63"/>
      <c r="P70" s="63"/>
      <c r="R70" s="13"/>
    </row>
    <row r="71" spans="1:18" s="12" customFormat="1" ht="54" customHeight="1">
      <c r="A71" s="68">
        <v>62</v>
      </c>
      <c r="B71" s="68" t="s">
        <v>44</v>
      </c>
      <c r="C71" s="89">
        <v>3498</v>
      </c>
      <c r="D71" s="73" t="s">
        <v>6198</v>
      </c>
      <c r="E71" s="88">
        <v>44652</v>
      </c>
      <c r="F71" s="88">
        <v>44652</v>
      </c>
      <c r="G71" s="88"/>
      <c r="H71" s="87">
        <v>44</v>
      </c>
      <c r="I71" s="87">
        <v>61</v>
      </c>
      <c r="J71" s="87">
        <v>61</v>
      </c>
      <c r="K71" s="87">
        <v>498</v>
      </c>
      <c r="L71" s="238" t="s">
        <v>5418</v>
      </c>
      <c r="M71" s="88" t="s">
        <v>6198</v>
      </c>
      <c r="N71" s="8"/>
      <c r="O71" s="63"/>
      <c r="P71" s="63"/>
      <c r="R71" s="13"/>
    </row>
    <row r="72" spans="1:18" s="12" customFormat="1" ht="54" customHeight="1">
      <c r="A72" s="68">
        <v>63</v>
      </c>
      <c r="B72" s="68" t="s">
        <v>125</v>
      </c>
      <c r="C72" s="89">
        <v>3504</v>
      </c>
      <c r="D72" s="73" t="s">
        <v>6198</v>
      </c>
      <c r="E72" s="88">
        <v>44652</v>
      </c>
      <c r="F72" s="88">
        <v>44652</v>
      </c>
      <c r="G72" s="88"/>
      <c r="H72" s="87">
        <v>243</v>
      </c>
      <c r="I72" s="87">
        <v>280</v>
      </c>
      <c r="J72" s="87">
        <v>282</v>
      </c>
      <c r="K72" s="87">
        <v>299</v>
      </c>
      <c r="L72" s="238" t="s">
        <v>5418</v>
      </c>
      <c r="M72" s="88" t="s">
        <v>6198</v>
      </c>
      <c r="N72" s="8"/>
      <c r="O72" s="63"/>
      <c r="P72" s="63"/>
      <c r="R72" s="13"/>
    </row>
    <row r="73" spans="1:18" s="12" customFormat="1" ht="54" customHeight="1">
      <c r="A73" s="68">
        <v>64</v>
      </c>
      <c r="B73" s="68" t="s">
        <v>44</v>
      </c>
      <c r="C73" s="89">
        <v>3514</v>
      </c>
      <c r="D73" s="73" t="s">
        <v>6198</v>
      </c>
      <c r="E73" s="88">
        <v>44652</v>
      </c>
      <c r="F73" s="88">
        <v>44652</v>
      </c>
      <c r="G73" s="88"/>
      <c r="H73" s="87">
        <v>66</v>
      </c>
      <c r="I73" s="87">
        <v>83</v>
      </c>
      <c r="J73" s="87">
        <v>83</v>
      </c>
      <c r="K73" s="87">
        <v>2352</v>
      </c>
      <c r="L73" s="238" t="s">
        <v>5418</v>
      </c>
      <c r="M73" s="88" t="s">
        <v>6198</v>
      </c>
      <c r="N73" s="8"/>
      <c r="O73" s="63"/>
      <c r="P73" s="63"/>
      <c r="R73" s="13"/>
    </row>
    <row r="74" spans="1:18" s="12" customFormat="1" ht="54" customHeight="1">
      <c r="A74" s="68">
        <v>65</v>
      </c>
      <c r="B74" s="68" t="s">
        <v>44</v>
      </c>
      <c r="C74" s="89">
        <v>3515</v>
      </c>
      <c r="D74" s="73" t="s">
        <v>6198</v>
      </c>
      <c r="E74" s="88">
        <v>44652</v>
      </c>
      <c r="F74" s="88">
        <v>44652</v>
      </c>
      <c r="G74" s="88"/>
      <c r="H74" s="87">
        <v>66</v>
      </c>
      <c r="I74" s="87">
        <v>83</v>
      </c>
      <c r="J74" s="87">
        <v>83</v>
      </c>
      <c r="K74" s="87">
        <v>2352</v>
      </c>
      <c r="L74" s="238" t="s">
        <v>5418</v>
      </c>
      <c r="M74" s="88" t="s">
        <v>6198</v>
      </c>
      <c r="N74" s="8"/>
      <c r="O74" s="63"/>
      <c r="P74" s="63"/>
      <c r="R74" s="13"/>
    </row>
    <row r="75" spans="1:18" s="12" customFormat="1" ht="54" customHeight="1">
      <c r="A75" s="68">
        <v>66</v>
      </c>
      <c r="B75" s="68" t="s">
        <v>44</v>
      </c>
      <c r="C75" s="89">
        <v>3516</v>
      </c>
      <c r="D75" s="73" t="s">
        <v>6198</v>
      </c>
      <c r="E75" s="88">
        <v>44652</v>
      </c>
      <c r="F75" s="88">
        <v>44652</v>
      </c>
      <c r="G75" s="88"/>
      <c r="H75" s="87">
        <v>66</v>
      </c>
      <c r="I75" s="87">
        <v>83</v>
      </c>
      <c r="J75" s="87">
        <v>83</v>
      </c>
      <c r="K75" s="87">
        <v>2352</v>
      </c>
      <c r="L75" s="238" t="s">
        <v>5418</v>
      </c>
      <c r="M75" s="88" t="s">
        <v>6198</v>
      </c>
      <c r="N75" s="8"/>
      <c r="O75" s="63"/>
      <c r="P75" s="63"/>
      <c r="R75" s="13"/>
    </row>
    <row r="76" spans="1:18" s="12" customFormat="1" ht="54" customHeight="1">
      <c r="A76" s="68">
        <v>67</v>
      </c>
      <c r="B76" s="68" t="s">
        <v>44</v>
      </c>
      <c r="C76" s="89">
        <v>3523</v>
      </c>
      <c r="D76" s="73" t="s">
        <v>6198</v>
      </c>
      <c r="E76" s="88">
        <v>44652</v>
      </c>
      <c r="F76" s="88">
        <v>44652</v>
      </c>
      <c r="G76" s="88"/>
      <c r="H76" s="87">
        <v>54</v>
      </c>
      <c r="I76" s="87">
        <v>68</v>
      </c>
      <c r="J76" s="87">
        <v>68</v>
      </c>
      <c r="K76" s="87">
        <v>1993</v>
      </c>
      <c r="L76" s="238" t="s">
        <v>5418</v>
      </c>
      <c r="M76" s="88" t="s">
        <v>6198</v>
      </c>
      <c r="N76" s="8"/>
      <c r="O76" s="63"/>
      <c r="P76" s="63"/>
      <c r="R76" s="13"/>
    </row>
    <row r="77" spans="1:18" s="12" customFormat="1" ht="54" customHeight="1">
      <c r="A77" s="68">
        <v>68</v>
      </c>
      <c r="B77" s="68" t="s">
        <v>44</v>
      </c>
      <c r="C77" s="89">
        <v>3524</v>
      </c>
      <c r="D77" s="73" t="s">
        <v>6198</v>
      </c>
      <c r="E77" s="88">
        <v>44652</v>
      </c>
      <c r="F77" s="88">
        <v>44652</v>
      </c>
      <c r="G77" s="88"/>
      <c r="H77" s="87">
        <v>54</v>
      </c>
      <c r="I77" s="87">
        <v>68</v>
      </c>
      <c r="J77" s="87">
        <v>68</v>
      </c>
      <c r="K77" s="87">
        <v>1993</v>
      </c>
      <c r="L77" s="238" t="s">
        <v>5418</v>
      </c>
      <c r="M77" s="88" t="s">
        <v>6198</v>
      </c>
      <c r="N77" s="8"/>
      <c r="O77" s="63"/>
      <c r="P77" s="63"/>
      <c r="R77" s="13"/>
    </row>
    <row r="78" spans="1:18" s="12" customFormat="1" ht="54" customHeight="1">
      <c r="A78" s="68">
        <v>69</v>
      </c>
      <c r="B78" s="68" t="s">
        <v>44</v>
      </c>
      <c r="C78" s="89">
        <v>3525</v>
      </c>
      <c r="D78" s="73" t="s">
        <v>6198</v>
      </c>
      <c r="E78" s="88">
        <v>44652</v>
      </c>
      <c r="F78" s="88">
        <v>44652</v>
      </c>
      <c r="G78" s="88"/>
      <c r="H78" s="87">
        <v>54</v>
      </c>
      <c r="I78" s="87">
        <v>68</v>
      </c>
      <c r="J78" s="87">
        <v>68</v>
      </c>
      <c r="K78" s="87">
        <v>1993</v>
      </c>
      <c r="L78" s="238" t="s">
        <v>5418</v>
      </c>
      <c r="M78" s="88" t="s">
        <v>6198</v>
      </c>
      <c r="N78" s="8"/>
      <c r="O78" s="63"/>
      <c r="P78" s="63"/>
      <c r="R78" s="13"/>
    </row>
    <row r="79" spans="1:18" s="12" customFormat="1" ht="54" customHeight="1">
      <c r="A79" s="68">
        <v>70</v>
      </c>
      <c r="B79" s="68" t="s">
        <v>44</v>
      </c>
      <c r="C79" s="89">
        <v>3532</v>
      </c>
      <c r="D79" s="73" t="s">
        <v>6198</v>
      </c>
      <c r="E79" s="88">
        <v>44652</v>
      </c>
      <c r="F79" s="88">
        <v>44652</v>
      </c>
      <c r="G79" s="88"/>
      <c r="H79" s="87">
        <v>44</v>
      </c>
      <c r="I79" s="87">
        <v>61</v>
      </c>
      <c r="J79" s="87">
        <v>61</v>
      </c>
      <c r="K79" s="87">
        <v>498</v>
      </c>
      <c r="L79" s="238" t="s">
        <v>5418</v>
      </c>
      <c r="M79" s="88" t="s">
        <v>6198</v>
      </c>
      <c r="N79" s="8"/>
      <c r="O79" s="63"/>
      <c r="P79" s="63"/>
      <c r="R79" s="13"/>
    </row>
    <row r="80" spans="1:18" s="12" customFormat="1" ht="54" customHeight="1">
      <c r="A80" s="68">
        <v>71</v>
      </c>
      <c r="B80" s="68" t="s">
        <v>44</v>
      </c>
      <c r="C80" s="89">
        <v>3533</v>
      </c>
      <c r="D80" s="73" t="s">
        <v>6198</v>
      </c>
      <c r="E80" s="88">
        <v>44652</v>
      </c>
      <c r="F80" s="88">
        <v>44652</v>
      </c>
      <c r="G80" s="88"/>
      <c r="H80" s="87">
        <v>44</v>
      </c>
      <c r="I80" s="87">
        <v>61</v>
      </c>
      <c r="J80" s="87">
        <v>61</v>
      </c>
      <c r="K80" s="87">
        <v>498</v>
      </c>
      <c r="L80" s="238" t="s">
        <v>5418</v>
      </c>
      <c r="M80" s="88" t="s">
        <v>6198</v>
      </c>
      <c r="N80" s="8"/>
      <c r="O80" s="63"/>
      <c r="P80" s="63"/>
      <c r="R80" s="13"/>
    </row>
    <row r="81" spans="1:18" s="12" customFormat="1" ht="54" customHeight="1">
      <c r="A81" s="68">
        <v>72</v>
      </c>
      <c r="B81" s="68" t="s">
        <v>44</v>
      </c>
      <c r="C81" s="89">
        <v>3534</v>
      </c>
      <c r="D81" s="73" t="s">
        <v>6198</v>
      </c>
      <c r="E81" s="88">
        <v>44652</v>
      </c>
      <c r="F81" s="88">
        <v>44652</v>
      </c>
      <c r="G81" s="88"/>
      <c r="H81" s="87">
        <v>44</v>
      </c>
      <c r="I81" s="87">
        <v>61</v>
      </c>
      <c r="J81" s="87">
        <v>61</v>
      </c>
      <c r="K81" s="87">
        <v>498</v>
      </c>
      <c r="L81" s="238" t="s">
        <v>5418</v>
      </c>
      <c r="M81" s="88" t="s">
        <v>6198</v>
      </c>
      <c r="N81" s="8"/>
      <c r="O81" s="63"/>
      <c r="P81" s="63"/>
      <c r="R81" s="13"/>
    </row>
    <row r="82" spans="1:18" s="12" customFormat="1" ht="54" customHeight="1">
      <c r="A82" s="68">
        <v>73</v>
      </c>
      <c r="B82" s="68" t="s">
        <v>44</v>
      </c>
      <c r="C82" s="89">
        <v>3541</v>
      </c>
      <c r="D82" s="73" t="s">
        <v>6198</v>
      </c>
      <c r="E82" s="88">
        <v>44652</v>
      </c>
      <c r="F82" s="88">
        <v>44652</v>
      </c>
      <c r="G82" s="88"/>
      <c r="H82" s="87">
        <v>169</v>
      </c>
      <c r="I82" s="87">
        <v>212</v>
      </c>
      <c r="J82" s="87">
        <v>212</v>
      </c>
      <c r="K82" s="87">
        <v>7771</v>
      </c>
      <c r="L82" s="238" t="s">
        <v>5418</v>
      </c>
      <c r="M82" s="88" t="s">
        <v>6198</v>
      </c>
      <c r="N82" s="8"/>
      <c r="O82" s="63"/>
      <c r="P82" s="63"/>
      <c r="R82" s="13"/>
    </row>
    <row r="83" spans="1:18" s="12" customFormat="1" ht="54" customHeight="1">
      <c r="A83" s="68">
        <v>74</v>
      </c>
      <c r="B83" s="68" t="s">
        <v>44</v>
      </c>
      <c r="C83" s="89">
        <v>3542</v>
      </c>
      <c r="D83" s="73" t="s">
        <v>6198</v>
      </c>
      <c r="E83" s="88">
        <v>44652</v>
      </c>
      <c r="F83" s="88">
        <v>44652</v>
      </c>
      <c r="G83" s="88"/>
      <c r="H83" s="87">
        <v>62</v>
      </c>
      <c r="I83" s="87">
        <v>71</v>
      </c>
      <c r="J83" s="87">
        <v>71</v>
      </c>
      <c r="K83" s="87">
        <v>295</v>
      </c>
      <c r="L83" s="238" t="s">
        <v>5418</v>
      </c>
      <c r="M83" s="88" t="s">
        <v>6198</v>
      </c>
      <c r="N83" s="8"/>
      <c r="O83" s="63"/>
      <c r="P83" s="63"/>
      <c r="R83" s="13"/>
    </row>
    <row r="84" spans="1:18" s="12" customFormat="1" ht="54" customHeight="1">
      <c r="A84" s="68">
        <v>75</v>
      </c>
      <c r="B84" s="68" t="s">
        <v>147</v>
      </c>
      <c r="C84" s="89">
        <v>3577</v>
      </c>
      <c r="D84" s="73" t="s">
        <v>6198</v>
      </c>
      <c r="E84" s="88">
        <v>44652</v>
      </c>
      <c r="F84" s="88">
        <v>44652</v>
      </c>
      <c r="G84" s="88"/>
      <c r="H84" s="87">
        <v>68</v>
      </c>
      <c r="I84" s="87">
        <v>91</v>
      </c>
      <c r="J84" s="87">
        <v>91</v>
      </c>
      <c r="K84" s="87">
        <v>4108</v>
      </c>
      <c r="L84" s="238"/>
      <c r="M84" s="88" t="s">
        <v>6198</v>
      </c>
      <c r="N84" s="8"/>
      <c r="O84" s="63"/>
      <c r="P84" s="63"/>
      <c r="R84" s="13"/>
    </row>
    <row r="85" spans="1:18" s="12" customFormat="1" ht="54" customHeight="1">
      <c r="A85" s="68">
        <v>76</v>
      </c>
      <c r="B85" s="68" t="s">
        <v>147</v>
      </c>
      <c r="C85" s="89">
        <v>3580</v>
      </c>
      <c r="D85" s="73" t="s">
        <v>6198</v>
      </c>
      <c r="E85" s="88">
        <v>44652</v>
      </c>
      <c r="F85" s="88">
        <v>44652</v>
      </c>
      <c r="G85" s="88"/>
      <c r="H85" s="87">
        <v>31</v>
      </c>
      <c r="I85" s="87">
        <v>31</v>
      </c>
      <c r="J85" s="87">
        <v>31</v>
      </c>
      <c r="K85" s="87">
        <v>206</v>
      </c>
      <c r="L85" s="238" t="s">
        <v>5418</v>
      </c>
      <c r="M85" s="88" t="s">
        <v>6198</v>
      </c>
      <c r="N85" s="8"/>
      <c r="O85" s="63"/>
      <c r="P85" s="63"/>
      <c r="R85" s="13"/>
    </row>
    <row r="86" spans="1:18" s="12" customFormat="1" ht="54" customHeight="1">
      <c r="A86" s="68">
        <v>77</v>
      </c>
      <c r="B86" s="68" t="s">
        <v>125</v>
      </c>
      <c r="C86" s="89">
        <v>3344</v>
      </c>
      <c r="D86" s="73" t="s">
        <v>6198</v>
      </c>
      <c r="E86" s="88">
        <v>44635</v>
      </c>
      <c r="F86" s="88">
        <v>44655</v>
      </c>
      <c r="G86" s="88">
        <v>44579</v>
      </c>
      <c r="H86" s="87"/>
      <c r="I86" s="87">
        <v>2</v>
      </c>
      <c r="J86" s="87">
        <v>34</v>
      </c>
      <c r="K86" s="87"/>
      <c r="L86" s="238"/>
      <c r="M86" s="88" t="s">
        <v>6198</v>
      </c>
      <c r="N86" s="8"/>
      <c r="O86" s="63"/>
      <c r="P86" s="63"/>
      <c r="R86" s="13"/>
    </row>
    <row r="87" spans="1:18" s="12" customFormat="1" ht="54" customHeight="1">
      <c r="A87" s="68">
        <v>78</v>
      </c>
      <c r="B87" s="68" t="s">
        <v>147</v>
      </c>
      <c r="C87" s="89">
        <v>3473</v>
      </c>
      <c r="D87" s="73" t="s">
        <v>6198</v>
      </c>
      <c r="E87" s="88">
        <v>44631</v>
      </c>
      <c r="F87" s="88">
        <v>44655</v>
      </c>
      <c r="G87" s="88">
        <v>44586</v>
      </c>
      <c r="H87" s="87"/>
      <c r="I87" s="87">
        <v>2</v>
      </c>
      <c r="J87" s="87">
        <v>90</v>
      </c>
      <c r="K87" s="87">
        <v>2</v>
      </c>
      <c r="L87" s="238"/>
      <c r="M87" s="88" t="s">
        <v>6198</v>
      </c>
      <c r="N87" s="8"/>
      <c r="O87" s="63"/>
      <c r="P87" s="63"/>
      <c r="R87" s="13"/>
    </row>
    <row r="88" spans="1:18" s="12" customFormat="1" ht="54" customHeight="1">
      <c r="A88" s="68">
        <v>79</v>
      </c>
      <c r="B88" s="68" t="s">
        <v>147</v>
      </c>
      <c r="C88" s="89">
        <v>3486</v>
      </c>
      <c r="D88" s="73" t="s">
        <v>6198</v>
      </c>
      <c r="E88" s="88">
        <v>44631</v>
      </c>
      <c r="F88" s="88">
        <v>44655</v>
      </c>
      <c r="G88" s="88">
        <v>44595</v>
      </c>
      <c r="H88" s="87"/>
      <c r="I88" s="87">
        <v>12</v>
      </c>
      <c r="J88" s="87">
        <v>15</v>
      </c>
      <c r="K88" s="87">
        <v>155</v>
      </c>
      <c r="L88" s="238"/>
      <c r="M88" s="88" t="s">
        <v>6198</v>
      </c>
      <c r="N88" s="8"/>
      <c r="O88" s="63"/>
      <c r="P88" s="63"/>
      <c r="R88" s="13"/>
    </row>
    <row r="89" spans="1:18" s="12" customFormat="1" ht="54" customHeight="1">
      <c r="A89" s="68">
        <v>80</v>
      </c>
      <c r="B89" s="68" t="s">
        <v>147</v>
      </c>
      <c r="C89" s="89">
        <v>3406</v>
      </c>
      <c r="D89" s="73" t="s">
        <v>6198</v>
      </c>
      <c r="E89" s="88">
        <v>44630</v>
      </c>
      <c r="F89" s="88">
        <v>44655</v>
      </c>
      <c r="G89" s="88">
        <v>44607</v>
      </c>
      <c r="H89" s="87">
        <v>16</v>
      </c>
      <c r="I89" s="87">
        <v>162</v>
      </c>
      <c r="J89" s="87">
        <v>187</v>
      </c>
      <c r="K89" s="87">
        <v>812</v>
      </c>
      <c r="L89" s="238" t="s">
        <v>5417</v>
      </c>
      <c r="M89" s="88" t="s">
        <v>6198</v>
      </c>
      <c r="N89" s="8"/>
      <c r="O89" s="63"/>
      <c r="P89" s="63"/>
      <c r="R89" s="13"/>
    </row>
    <row r="90" spans="1:18" s="12" customFormat="1" ht="54" customHeight="1">
      <c r="A90" s="68">
        <v>81</v>
      </c>
      <c r="B90" s="68" t="s">
        <v>147</v>
      </c>
      <c r="C90" s="89">
        <v>3509</v>
      </c>
      <c r="D90" s="73" t="s">
        <v>6198</v>
      </c>
      <c r="E90" s="88">
        <v>44631</v>
      </c>
      <c r="F90" s="88">
        <v>44655</v>
      </c>
      <c r="G90" s="88"/>
      <c r="H90" s="87"/>
      <c r="I90" s="87">
        <v>16</v>
      </c>
      <c r="J90" s="87">
        <v>46</v>
      </c>
      <c r="K90" s="87">
        <v>14</v>
      </c>
      <c r="L90" s="238"/>
      <c r="M90" s="88" t="s">
        <v>6198</v>
      </c>
      <c r="N90" s="8"/>
      <c r="O90" s="63"/>
      <c r="P90" s="63"/>
      <c r="R90" s="13"/>
    </row>
    <row r="91" spans="1:18" s="12" customFormat="1" ht="54" customHeight="1">
      <c r="A91" s="68">
        <v>82</v>
      </c>
      <c r="B91" s="68" t="s">
        <v>39</v>
      </c>
      <c r="C91" s="89">
        <v>3507</v>
      </c>
      <c r="D91" s="73" t="s">
        <v>6198</v>
      </c>
      <c r="E91" s="88">
        <v>44655</v>
      </c>
      <c r="F91" s="88">
        <v>44659</v>
      </c>
      <c r="G91" s="88"/>
      <c r="H91" s="87">
        <v>478</v>
      </c>
      <c r="I91" s="87">
        <v>605</v>
      </c>
      <c r="J91" s="87">
        <v>605</v>
      </c>
      <c r="K91" s="87">
        <v>1441</v>
      </c>
      <c r="L91" s="238" t="s">
        <v>5418</v>
      </c>
      <c r="M91" s="88" t="s">
        <v>6198</v>
      </c>
      <c r="N91" s="8"/>
      <c r="O91" s="63"/>
      <c r="P91" s="63"/>
      <c r="R91" s="13"/>
    </row>
    <row r="92" spans="1:18" s="12" customFormat="1" ht="54" customHeight="1">
      <c r="A92" s="68">
        <v>83</v>
      </c>
      <c r="B92" s="68" t="s">
        <v>34</v>
      </c>
      <c r="C92" s="89">
        <v>3475</v>
      </c>
      <c r="D92" s="73" t="s">
        <v>6198</v>
      </c>
      <c r="E92" s="88">
        <v>44635</v>
      </c>
      <c r="F92" s="88">
        <v>44666</v>
      </c>
      <c r="G92" s="88">
        <v>44608</v>
      </c>
      <c r="H92" s="87">
        <v>41</v>
      </c>
      <c r="I92" s="87">
        <v>96</v>
      </c>
      <c r="J92" s="87">
        <v>108</v>
      </c>
      <c r="K92" s="87">
        <v>935</v>
      </c>
      <c r="L92" s="238" t="s">
        <v>5417</v>
      </c>
      <c r="M92" s="88" t="s">
        <v>6198</v>
      </c>
      <c r="N92" s="8"/>
      <c r="O92" s="63"/>
      <c r="P92" s="63"/>
      <c r="R92" s="13"/>
    </row>
    <row r="93" spans="1:18" s="12" customFormat="1" ht="54" customHeight="1">
      <c r="A93" s="68">
        <v>84</v>
      </c>
      <c r="B93" s="68" t="s">
        <v>46</v>
      </c>
      <c r="C93" s="89">
        <v>3299</v>
      </c>
      <c r="D93" s="73" t="s">
        <v>6198</v>
      </c>
      <c r="E93" s="88">
        <v>44634</v>
      </c>
      <c r="F93" s="88">
        <v>44666</v>
      </c>
      <c r="G93" s="88">
        <v>44602</v>
      </c>
      <c r="H93" s="87"/>
      <c r="I93" s="87">
        <v>21</v>
      </c>
      <c r="J93" s="87">
        <v>40</v>
      </c>
      <c r="K93" s="87">
        <v>604</v>
      </c>
      <c r="L93" s="238" t="s">
        <v>5417</v>
      </c>
      <c r="M93" s="88" t="s">
        <v>6198</v>
      </c>
      <c r="N93" s="8"/>
      <c r="O93" s="63"/>
      <c r="P93" s="63"/>
      <c r="R93" s="13"/>
    </row>
    <row r="94" spans="1:18" s="12" customFormat="1" ht="54" customHeight="1">
      <c r="A94" s="68">
        <v>85</v>
      </c>
      <c r="B94" s="68" t="s">
        <v>38</v>
      </c>
      <c r="C94" s="89">
        <v>3359</v>
      </c>
      <c r="D94" s="73" t="s">
        <v>6198</v>
      </c>
      <c r="E94" s="88">
        <v>44634</v>
      </c>
      <c r="F94" s="88">
        <v>44666</v>
      </c>
      <c r="G94" s="88"/>
      <c r="H94" s="87">
        <v>132</v>
      </c>
      <c r="I94" s="87">
        <v>202</v>
      </c>
      <c r="J94" s="87">
        <v>203</v>
      </c>
      <c r="K94" s="87">
        <v>866</v>
      </c>
      <c r="L94" s="238" t="s">
        <v>5417</v>
      </c>
      <c r="M94" s="88" t="s">
        <v>6198</v>
      </c>
      <c r="N94" s="8"/>
      <c r="O94" s="63"/>
      <c r="P94" s="63"/>
      <c r="R94" s="13"/>
    </row>
    <row r="95" spans="1:18" s="12" customFormat="1" ht="54" customHeight="1">
      <c r="A95" s="68">
        <v>86</v>
      </c>
      <c r="B95" s="68" t="s">
        <v>142</v>
      </c>
      <c r="C95" s="89">
        <v>3403</v>
      </c>
      <c r="D95" s="73" t="s">
        <v>6198</v>
      </c>
      <c r="E95" s="88">
        <v>44652</v>
      </c>
      <c r="F95" s="88">
        <v>44666</v>
      </c>
      <c r="G95" s="88"/>
      <c r="H95" s="87">
        <v>71</v>
      </c>
      <c r="I95" s="87">
        <v>72</v>
      </c>
      <c r="J95" s="87">
        <v>72</v>
      </c>
      <c r="K95" s="87">
        <v>245</v>
      </c>
      <c r="L95" s="238" t="s">
        <v>5418</v>
      </c>
      <c r="M95" s="88" t="s">
        <v>6198</v>
      </c>
      <c r="N95" s="8"/>
      <c r="O95" s="63"/>
      <c r="P95" s="63"/>
      <c r="R95" s="13"/>
    </row>
    <row r="96" spans="1:18" s="12" customFormat="1" ht="54" customHeight="1">
      <c r="A96" s="68">
        <v>87</v>
      </c>
      <c r="B96" s="68" t="s">
        <v>125</v>
      </c>
      <c r="C96" s="89">
        <v>3503</v>
      </c>
      <c r="D96" s="73" t="s">
        <v>6198</v>
      </c>
      <c r="E96" s="88">
        <v>44636</v>
      </c>
      <c r="F96" s="88">
        <v>44669</v>
      </c>
      <c r="G96" s="88"/>
      <c r="H96" s="87">
        <v>198</v>
      </c>
      <c r="I96" s="87">
        <v>274</v>
      </c>
      <c r="J96" s="87">
        <v>282</v>
      </c>
      <c r="K96" s="87">
        <v>964</v>
      </c>
      <c r="L96" s="238" t="s">
        <v>5417</v>
      </c>
      <c r="M96" s="88" t="s">
        <v>6198</v>
      </c>
      <c r="N96" s="8"/>
      <c r="O96" s="63"/>
      <c r="P96" s="63"/>
      <c r="R96" s="13"/>
    </row>
    <row r="97" spans="1:18" s="12" customFormat="1" ht="54" customHeight="1">
      <c r="A97" s="68">
        <v>88</v>
      </c>
      <c r="B97" s="68" t="s">
        <v>40</v>
      </c>
      <c r="C97" s="89">
        <v>3284</v>
      </c>
      <c r="D97" s="73" t="s">
        <v>6198</v>
      </c>
      <c r="E97" s="88">
        <v>44616</v>
      </c>
      <c r="F97" s="88">
        <v>44673</v>
      </c>
      <c r="G97" s="88">
        <v>44574</v>
      </c>
      <c r="H97" s="87"/>
      <c r="I97" s="87">
        <v>119</v>
      </c>
      <c r="J97" s="87">
        <v>400</v>
      </c>
      <c r="K97" s="87">
        <v>1251</v>
      </c>
      <c r="L97" s="238" t="s">
        <v>5417</v>
      </c>
      <c r="M97" s="88" t="s">
        <v>6198</v>
      </c>
      <c r="N97" s="8"/>
      <c r="O97" s="63"/>
      <c r="P97" s="63"/>
      <c r="R97" s="13"/>
    </row>
    <row r="98" spans="1:18" s="12" customFormat="1" ht="54" customHeight="1">
      <c r="A98" s="68">
        <v>89</v>
      </c>
      <c r="B98" s="68" t="s">
        <v>40</v>
      </c>
      <c r="C98" s="89">
        <v>3286</v>
      </c>
      <c r="D98" s="73" t="s">
        <v>6198</v>
      </c>
      <c r="E98" s="88">
        <v>44616</v>
      </c>
      <c r="F98" s="88">
        <v>44673</v>
      </c>
      <c r="G98" s="88">
        <v>44574</v>
      </c>
      <c r="H98" s="87"/>
      <c r="I98" s="87">
        <v>118</v>
      </c>
      <c r="J98" s="87">
        <v>400</v>
      </c>
      <c r="K98" s="87">
        <v>1253</v>
      </c>
      <c r="L98" s="238" t="s">
        <v>5417</v>
      </c>
      <c r="M98" s="88" t="s">
        <v>6198</v>
      </c>
      <c r="N98" s="8"/>
      <c r="O98" s="63"/>
      <c r="P98" s="63"/>
      <c r="R98" s="13"/>
    </row>
    <row r="99" spans="1:18" s="12" customFormat="1" ht="54" customHeight="1">
      <c r="A99" s="68">
        <v>90</v>
      </c>
      <c r="B99" s="68" t="s">
        <v>125</v>
      </c>
      <c r="C99" s="89">
        <v>3325</v>
      </c>
      <c r="D99" s="73" t="s">
        <v>6198</v>
      </c>
      <c r="E99" s="88">
        <v>44634</v>
      </c>
      <c r="F99" s="88">
        <v>44676</v>
      </c>
      <c r="G99" s="88"/>
      <c r="H99" s="87"/>
      <c r="I99" s="87">
        <v>25</v>
      </c>
      <c r="J99" s="87">
        <v>27</v>
      </c>
      <c r="K99" s="87">
        <v>1914</v>
      </c>
      <c r="L99" s="238"/>
      <c r="M99" s="88" t="s">
        <v>6198</v>
      </c>
      <c r="N99" s="8"/>
      <c r="O99" s="63"/>
      <c r="P99" s="63"/>
      <c r="R99" s="13"/>
    </row>
    <row r="100" spans="1:18" s="12" customFormat="1" ht="54" customHeight="1">
      <c r="A100" s="68">
        <v>91</v>
      </c>
      <c r="B100" s="68" t="s">
        <v>125</v>
      </c>
      <c r="C100" s="89">
        <v>3326</v>
      </c>
      <c r="D100" s="73" t="s">
        <v>6198</v>
      </c>
      <c r="E100" s="88">
        <v>44634</v>
      </c>
      <c r="F100" s="88">
        <v>44676</v>
      </c>
      <c r="G100" s="88"/>
      <c r="H100" s="87">
        <v>17</v>
      </c>
      <c r="I100" s="87">
        <v>27</v>
      </c>
      <c r="J100" s="87">
        <v>27</v>
      </c>
      <c r="K100" s="87">
        <v>2143</v>
      </c>
      <c r="L100" s="238"/>
      <c r="M100" s="88" t="s">
        <v>6198</v>
      </c>
      <c r="N100" s="8"/>
      <c r="O100" s="63"/>
      <c r="P100" s="63"/>
      <c r="R100" s="13"/>
    </row>
    <row r="101" spans="1:18" s="12" customFormat="1" ht="54" customHeight="1">
      <c r="A101" s="68">
        <v>92</v>
      </c>
      <c r="B101" s="68" t="s">
        <v>125</v>
      </c>
      <c r="C101" s="89">
        <v>3327</v>
      </c>
      <c r="D101" s="73" t="s">
        <v>6198</v>
      </c>
      <c r="E101" s="88">
        <v>44610</v>
      </c>
      <c r="F101" s="88">
        <v>44676</v>
      </c>
      <c r="G101" s="88">
        <v>44607</v>
      </c>
      <c r="H101" s="87">
        <v>11</v>
      </c>
      <c r="I101" s="87">
        <v>27</v>
      </c>
      <c r="J101" s="87">
        <v>27</v>
      </c>
      <c r="K101" s="87">
        <v>2705</v>
      </c>
      <c r="L101" s="238"/>
      <c r="M101" s="88" t="s">
        <v>6198</v>
      </c>
      <c r="N101" s="8"/>
      <c r="O101" s="63"/>
      <c r="P101" s="63"/>
      <c r="R101" s="13"/>
    </row>
    <row r="102" spans="1:18" s="12" customFormat="1" ht="54" customHeight="1">
      <c r="A102" s="68">
        <v>93</v>
      </c>
      <c r="B102" s="68" t="s">
        <v>125</v>
      </c>
      <c r="C102" s="89">
        <v>3329</v>
      </c>
      <c r="D102" s="73" t="s">
        <v>6198</v>
      </c>
      <c r="E102" s="88">
        <v>44596</v>
      </c>
      <c r="F102" s="88">
        <v>44676</v>
      </c>
      <c r="G102" s="88">
        <v>44579</v>
      </c>
      <c r="H102" s="87"/>
      <c r="I102" s="87">
        <v>2</v>
      </c>
      <c r="J102" s="87">
        <v>7</v>
      </c>
      <c r="K102" s="87">
        <v>198</v>
      </c>
      <c r="L102" s="238"/>
      <c r="M102" s="88" t="s">
        <v>6198</v>
      </c>
      <c r="N102" s="8"/>
      <c r="O102" s="63"/>
      <c r="P102" s="63"/>
      <c r="R102" s="13"/>
    </row>
    <row r="103" spans="1:18" s="12" customFormat="1" ht="54" customHeight="1">
      <c r="A103" s="68">
        <v>94</v>
      </c>
      <c r="B103" s="68" t="s">
        <v>125</v>
      </c>
      <c r="C103" s="89">
        <v>3330</v>
      </c>
      <c r="D103" s="73" t="s">
        <v>6198</v>
      </c>
      <c r="E103" s="88">
        <v>44607</v>
      </c>
      <c r="F103" s="88">
        <v>44676</v>
      </c>
      <c r="G103" s="88">
        <v>44607</v>
      </c>
      <c r="H103" s="87">
        <v>2</v>
      </c>
      <c r="I103" s="87">
        <v>7</v>
      </c>
      <c r="J103" s="87">
        <v>7</v>
      </c>
      <c r="K103" s="87">
        <v>681</v>
      </c>
      <c r="L103" s="238"/>
      <c r="M103" s="88" t="s">
        <v>6198</v>
      </c>
      <c r="N103" s="8"/>
      <c r="O103" s="63"/>
      <c r="P103" s="63"/>
      <c r="R103" s="13"/>
    </row>
    <row r="104" spans="1:18" s="12" customFormat="1" ht="54" customHeight="1">
      <c r="A104" s="68">
        <v>95</v>
      </c>
      <c r="B104" s="68" t="s">
        <v>125</v>
      </c>
      <c r="C104" s="89">
        <v>3331</v>
      </c>
      <c r="D104" s="73" t="s">
        <v>6198</v>
      </c>
      <c r="E104" s="88">
        <v>44610</v>
      </c>
      <c r="F104" s="88">
        <v>44676</v>
      </c>
      <c r="G104" s="88">
        <v>44607</v>
      </c>
      <c r="H104" s="87">
        <v>2</v>
      </c>
      <c r="I104" s="87">
        <v>7</v>
      </c>
      <c r="J104" s="87">
        <v>7</v>
      </c>
      <c r="K104" s="87">
        <v>873</v>
      </c>
      <c r="L104" s="238"/>
      <c r="M104" s="88" t="s">
        <v>6198</v>
      </c>
      <c r="N104" s="8"/>
      <c r="O104" s="63"/>
      <c r="P104" s="63"/>
      <c r="R104" s="13"/>
    </row>
    <row r="105" spans="1:18" s="12" customFormat="1" ht="54" customHeight="1">
      <c r="A105" s="68">
        <v>96</v>
      </c>
      <c r="B105" s="68" t="s">
        <v>125</v>
      </c>
      <c r="C105" s="89">
        <v>3334</v>
      </c>
      <c r="D105" s="73" t="s">
        <v>6198</v>
      </c>
      <c r="E105" s="88">
        <v>44634</v>
      </c>
      <c r="F105" s="88">
        <v>44676</v>
      </c>
      <c r="G105" s="88"/>
      <c r="H105" s="87"/>
      <c r="I105" s="87">
        <v>3</v>
      </c>
      <c r="J105" s="87">
        <v>70</v>
      </c>
      <c r="K105" s="87">
        <v>410</v>
      </c>
      <c r="L105" s="238"/>
      <c r="M105" s="88" t="s">
        <v>6198</v>
      </c>
      <c r="N105" s="8"/>
      <c r="O105" s="63"/>
      <c r="P105" s="63"/>
      <c r="R105" s="13"/>
    </row>
    <row r="106" spans="1:18" s="12" customFormat="1" ht="54" customHeight="1">
      <c r="A106" s="68">
        <v>97</v>
      </c>
      <c r="B106" s="68" t="s">
        <v>125</v>
      </c>
      <c r="C106" s="89">
        <v>3339</v>
      </c>
      <c r="D106" s="73" t="s">
        <v>6198</v>
      </c>
      <c r="E106" s="88">
        <v>44596</v>
      </c>
      <c r="F106" s="88">
        <v>44676</v>
      </c>
      <c r="G106" s="88">
        <v>44579</v>
      </c>
      <c r="H106" s="87"/>
      <c r="I106" s="87">
        <v>6</v>
      </c>
      <c r="J106" s="87">
        <v>33</v>
      </c>
      <c r="K106" s="87">
        <v>212</v>
      </c>
      <c r="L106" s="238"/>
      <c r="M106" s="88" t="s">
        <v>6198</v>
      </c>
      <c r="N106" s="8"/>
      <c r="O106" s="63"/>
      <c r="P106" s="63"/>
      <c r="R106" s="13"/>
    </row>
    <row r="107" spans="1:18" s="12" customFormat="1" ht="54" customHeight="1">
      <c r="A107" s="68">
        <v>98</v>
      </c>
      <c r="B107" s="68" t="s">
        <v>125</v>
      </c>
      <c r="C107" s="89">
        <v>3340</v>
      </c>
      <c r="D107" s="73" t="s">
        <v>6198</v>
      </c>
      <c r="E107" s="88">
        <v>44579</v>
      </c>
      <c r="F107" s="88">
        <v>44676</v>
      </c>
      <c r="G107" s="88">
        <v>44578</v>
      </c>
      <c r="H107" s="87"/>
      <c r="I107" s="87">
        <v>6</v>
      </c>
      <c r="J107" s="87">
        <v>33</v>
      </c>
      <c r="K107" s="87">
        <v>271</v>
      </c>
      <c r="L107" s="238"/>
      <c r="M107" s="88" t="s">
        <v>6198</v>
      </c>
      <c r="N107" s="8"/>
      <c r="O107" s="63"/>
      <c r="P107" s="63"/>
      <c r="R107" s="13"/>
    </row>
    <row r="108" spans="1:18" s="12" customFormat="1" ht="54" customHeight="1">
      <c r="A108" s="68">
        <v>99</v>
      </c>
      <c r="B108" s="68" t="s">
        <v>125</v>
      </c>
      <c r="C108" s="89">
        <v>3342</v>
      </c>
      <c r="D108" s="73" t="s">
        <v>6198</v>
      </c>
      <c r="E108" s="88">
        <v>44582</v>
      </c>
      <c r="F108" s="88">
        <v>44676</v>
      </c>
      <c r="G108" s="88">
        <v>44578</v>
      </c>
      <c r="H108" s="87"/>
      <c r="I108" s="87">
        <v>6</v>
      </c>
      <c r="J108" s="87">
        <v>45</v>
      </c>
      <c r="K108" s="87">
        <v>306</v>
      </c>
      <c r="L108" s="238"/>
      <c r="M108" s="88" t="s">
        <v>6198</v>
      </c>
      <c r="N108" s="8"/>
      <c r="O108" s="63"/>
      <c r="P108" s="63"/>
      <c r="R108" s="13"/>
    </row>
    <row r="109" spans="1:18" s="12" customFormat="1" ht="54" customHeight="1">
      <c r="A109" s="68">
        <v>100</v>
      </c>
      <c r="B109" s="68" t="s">
        <v>125</v>
      </c>
      <c r="C109" s="89">
        <v>3453</v>
      </c>
      <c r="D109" s="73" t="s">
        <v>6198</v>
      </c>
      <c r="E109" s="88">
        <v>44607</v>
      </c>
      <c r="F109" s="88">
        <v>44676</v>
      </c>
      <c r="G109" s="88">
        <v>44600</v>
      </c>
      <c r="H109" s="87">
        <v>4</v>
      </c>
      <c r="I109" s="87">
        <v>46</v>
      </c>
      <c r="J109" s="87">
        <v>78</v>
      </c>
      <c r="K109" s="87">
        <v>414</v>
      </c>
      <c r="L109" s="238"/>
      <c r="M109" s="88" t="s">
        <v>6198</v>
      </c>
      <c r="N109" s="8"/>
      <c r="O109" s="63"/>
      <c r="P109" s="63"/>
      <c r="R109" s="13"/>
    </row>
    <row r="110" spans="1:18" s="12" customFormat="1" ht="54" customHeight="1">
      <c r="A110" s="68">
        <v>101</v>
      </c>
      <c r="B110" s="68" t="s">
        <v>125</v>
      </c>
      <c r="C110" s="89">
        <v>3454</v>
      </c>
      <c r="D110" s="73" t="s">
        <v>6198</v>
      </c>
      <c r="E110" s="88">
        <v>44607</v>
      </c>
      <c r="F110" s="88">
        <v>44676</v>
      </c>
      <c r="G110" s="88">
        <v>44600</v>
      </c>
      <c r="H110" s="87">
        <v>4</v>
      </c>
      <c r="I110" s="87">
        <v>46</v>
      </c>
      <c r="J110" s="87">
        <v>78</v>
      </c>
      <c r="K110" s="87">
        <v>414</v>
      </c>
      <c r="L110" s="238"/>
      <c r="M110" s="88" t="s">
        <v>6198</v>
      </c>
      <c r="N110" s="8"/>
      <c r="O110" s="63"/>
      <c r="P110" s="63"/>
      <c r="R110" s="13"/>
    </row>
    <row r="111" spans="1:18" s="12" customFormat="1" ht="54" customHeight="1">
      <c r="A111" s="68">
        <v>102</v>
      </c>
      <c r="B111" s="68" t="s">
        <v>125</v>
      </c>
      <c r="C111" s="89">
        <v>3455</v>
      </c>
      <c r="D111" s="73" t="s">
        <v>6198</v>
      </c>
      <c r="E111" s="88">
        <v>44607</v>
      </c>
      <c r="F111" s="88">
        <v>44676</v>
      </c>
      <c r="G111" s="88">
        <v>44600</v>
      </c>
      <c r="H111" s="87">
        <v>4</v>
      </c>
      <c r="I111" s="87">
        <v>48</v>
      </c>
      <c r="J111" s="87">
        <v>79</v>
      </c>
      <c r="K111" s="87">
        <v>573</v>
      </c>
      <c r="L111" s="238"/>
      <c r="M111" s="88" t="s">
        <v>6198</v>
      </c>
      <c r="N111" s="8"/>
      <c r="O111" s="63"/>
      <c r="P111" s="63"/>
      <c r="R111" s="13"/>
    </row>
    <row r="112" spans="1:18" s="12" customFormat="1" ht="54" customHeight="1">
      <c r="A112" s="68">
        <v>103</v>
      </c>
      <c r="B112" s="68" t="s">
        <v>79</v>
      </c>
      <c r="C112" s="89">
        <v>3351</v>
      </c>
      <c r="D112" s="73" t="s">
        <v>6198</v>
      </c>
      <c r="E112" s="88">
        <v>44617</v>
      </c>
      <c r="F112" s="88">
        <v>44680</v>
      </c>
      <c r="G112" s="88">
        <v>44594</v>
      </c>
      <c r="H112" s="87"/>
      <c r="I112" s="87">
        <v>28</v>
      </c>
      <c r="J112" s="87">
        <v>118</v>
      </c>
      <c r="K112" s="87">
        <v>512</v>
      </c>
      <c r="L112" s="238" t="s">
        <v>5417</v>
      </c>
      <c r="M112" s="88" t="s">
        <v>6198</v>
      </c>
      <c r="N112" s="8"/>
      <c r="O112" s="63"/>
      <c r="P112" s="63"/>
      <c r="R112" s="13"/>
    </row>
    <row r="113" spans="1:18" s="12" customFormat="1" ht="54" customHeight="1">
      <c r="A113" s="68">
        <v>104</v>
      </c>
      <c r="B113" s="68" t="s">
        <v>4558</v>
      </c>
      <c r="C113" s="89">
        <v>3389</v>
      </c>
      <c r="D113" s="73" t="s">
        <v>6198</v>
      </c>
      <c r="E113" s="88">
        <v>44610</v>
      </c>
      <c r="F113" s="88">
        <v>44680</v>
      </c>
      <c r="G113" s="88">
        <v>44545</v>
      </c>
      <c r="H113" s="87"/>
      <c r="I113" s="87">
        <v>7</v>
      </c>
      <c r="J113" s="87">
        <v>31</v>
      </c>
      <c r="K113" s="87">
        <v>399</v>
      </c>
      <c r="L113" s="238" t="s">
        <v>5417</v>
      </c>
      <c r="M113" s="88" t="s">
        <v>6198</v>
      </c>
      <c r="N113" s="8"/>
      <c r="O113" s="63"/>
      <c r="P113" s="63"/>
      <c r="R113" s="13"/>
    </row>
    <row r="114" spans="1:18" s="12" customFormat="1" ht="54" customHeight="1" thickBot="1">
      <c r="A114" s="68">
        <v>105</v>
      </c>
      <c r="B114" s="68" t="s">
        <v>4558</v>
      </c>
      <c r="C114" s="89">
        <v>3390</v>
      </c>
      <c r="D114" s="73" t="s">
        <v>6198</v>
      </c>
      <c r="E114" s="88">
        <v>44610</v>
      </c>
      <c r="F114" s="88">
        <v>44680</v>
      </c>
      <c r="G114" s="88">
        <v>44545</v>
      </c>
      <c r="H114" s="87">
        <v>18</v>
      </c>
      <c r="I114" s="87">
        <v>30</v>
      </c>
      <c r="J114" s="87">
        <v>84</v>
      </c>
      <c r="K114" s="87">
        <v>282</v>
      </c>
      <c r="L114" s="238" t="s">
        <v>5417</v>
      </c>
      <c r="M114" s="88" t="s">
        <v>6198</v>
      </c>
      <c r="N114" s="8"/>
      <c r="O114" s="63"/>
      <c r="P114" s="63"/>
      <c r="R114" s="13"/>
    </row>
    <row r="115" spans="1:18" s="12" customFormat="1" ht="54" customHeight="1" thickBot="1">
      <c r="A115" s="365" t="s">
        <v>36</v>
      </c>
      <c r="B115" s="366"/>
      <c r="C115" s="367"/>
      <c r="D115" s="250"/>
      <c r="E115" s="85"/>
      <c r="F115" s="85"/>
      <c r="G115" s="85"/>
      <c r="H115" s="85"/>
      <c r="I115" s="85"/>
      <c r="J115" s="85"/>
      <c r="K115" s="85"/>
      <c r="L115" s="85"/>
      <c r="M115" s="85"/>
      <c r="N115" s="42"/>
      <c r="O115" s="39"/>
      <c r="P115" s="13"/>
    </row>
    <row r="116" spans="1:18" s="12" customFormat="1" ht="54" customHeight="1">
      <c r="A116" s="369" t="s">
        <v>5777</v>
      </c>
      <c r="B116" s="369"/>
      <c r="C116" s="369"/>
      <c r="D116" s="369"/>
      <c r="E116" s="300"/>
      <c r="F116" s="300"/>
      <c r="G116" s="300"/>
      <c r="H116" s="300"/>
      <c r="I116" s="300"/>
      <c r="J116" s="300"/>
      <c r="K116" s="300"/>
      <c r="L116" s="300"/>
      <c r="M116" s="300"/>
      <c r="N116" s="41"/>
      <c r="O116" s="39"/>
      <c r="P116" s="63"/>
      <c r="R116" s="13"/>
    </row>
    <row r="117" spans="1:18" s="12" customFormat="1" ht="54" customHeight="1">
      <c r="A117" s="368" t="s">
        <v>5780</v>
      </c>
      <c r="B117" s="368"/>
      <c r="C117" s="371" t="s">
        <v>5778</v>
      </c>
      <c r="D117" s="371"/>
      <c r="E117" s="11"/>
      <c r="F117" s="11"/>
      <c r="G117" s="11"/>
      <c r="H117" s="11"/>
      <c r="I117" s="11"/>
      <c r="J117" s="11"/>
      <c r="K117" s="11"/>
      <c r="L117" s="11"/>
      <c r="M117" s="249"/>
      <c r="N117" s="41"/>
      <c r="O117" s="39"/>
      <c r="P117" s="63"/>
      <c r="R117" s="13"/>
    </row>
    <row r="118" spans="1:18" s="12" customFormat="1" ht="54" customHeight="1">
      <c r="A118" s="368"/>
      <c r="B118" s="368"/>
      <c r="C118" s="371" t="s">
        <v>5779</v>
      </c>
      <c r="D118" s="371"/>
      <c r="E118" s="11"/>
      <c r="F118" s="11"/>
      <c r="G118" s="11"/>
      <c r="H118" s="11"/>
      <c r="I118" s="11"/>
      <c r="J118" s="11"/>
      <c r="K118" s="11"/>
      <c r="L118" s="11"/>
      <c r="M118" s="11"/>
      <c r="N118" s="63"/>
      <c r="P118" s="13"/>
    </row>
    <row r="119" spans="1:18" s="12" customFormat="1" ht="54" customHeight="1">
      <c r="A119" s="370" t="s">
        <v>5776</v>
      </c>
      <c r="B119" s="370"/>
      <c r="C119" s="370"/>
      <c r="D119" s="370"/>
      <c r="E119" s="370"/>
      <c r="F119" s="370"/>
      <c r="G119" s="370"/>
      <c r="H119" s="370"/>
      <c r="I119" s="370"/>
      <c r="J119" s="370"/>
      <c r="K119" s="370"/>
      <c r="L119" s="370"/>
      <c r="M119" s="370"/>
      <c r="N119" s="63"/>
      <c r="P119" s="13"/>
    </row>
    <row r="120" spans="1:18" s="12" customFormat="1" ht="54" customHeight="1">
      <c r="A120" s="9"/>
      <c r="B120" s="302"/>
      <c r="C120" s="9"/>
      <c r="D120" s="11"/>
      <c r="E120" s="9"/>
      <c r="F120" s="9"/>
      <c r="G120" s="9" t="s">
        <v>5411</v>
      </c>
      <c r="H120" s="9" t="s">
        <v>5412</v>
      </c>
      <c r="I120" s="9" t="s">
        <v>5413</v>
      </c>
      <c r="J120" s="9" t="s">
        <v>5414</v>
      </c>
      <c r="K120" s="9" t="s">
        <v>64</v>
      </c>
      <c r="L120" s="9" t="s">
        <v>5415</v>
      </c>
      <c r="M120" s="9" t="s">
        <v>5775</v>
      </c>
      <c r="N120" s="63"/>
      <c r="P120" s="13"/>
    </row>
    <row r="121" spans="1:18" s="12" customFormat="1" ht="54" customHeight="1">
      <c r="A121" s="9"/>
      <c r="B121" s="302" t="s">
        <v>25</v>
      </c>
      <c r="C121" s="9">
        <v>3259</v>
      </c>
      <c r="D121" s="11" t="s">
        <v>6198</v>
      </c>
      <c r="E121" s="239">
        <v>44622</v>
      </c>
      <c r="F121" s="239">
        <v>44634</v>
      </c>
      <c r="G121" s="9"/>
      <c r="H121" s="9"/>
      <c r="I121" s="9">
        <v>14</v>
      </c>
      <c r="J121" s="9">
        <v>204</v>
      </c>
      <c r="K121" s="9">
        <v>25</v>
      </c>
      <c r="L121" s="9" t="s">
        <v>5417</v>
      </c>
      <c r="M121" s="239" t="s">
        <v>6198</v>
      </c>
      <c r="N121" s="63"/>
      <c r="P121" s="13"/>
    </row>
    <row r="122" spans="1:18" s="12" customFormat="1" ht="54" customHeight="1">
      <c r="A122" s="9"/>
      <c r="B122" s="302" t="s">
        <v>25</v>
      </c>
      <c r="C122" s="9">
        <v>3254</v>
      </c>
      <c r="D122" s="11" t="s">
        <v>6198</v>
      </c>
      <c r="E122" s="239">
        <v>44624</v>
      </c>
      <c r="F122" s="239">
        <v>44628</v>
      </c>
      <c r="G122" s="9"/>
      <c r="H122" s="9"/>
      <c r="I122" s="9">
        <v>2</v>
      </c>
      <c r="J122" s="9">
        <v>111</v>
      </c>
      <c r="K122" s="9">
        <v>2</v>
      </c>
      <c r="L122" s="9" t="s">
        <v>5417</v>
      </c>
      <c r="M122" s="239" t="s">
        <v>6198</v>
      </c>
      <c r="N122" s="63"/>
      <c r="P122" s="13"/>
    </row>
    <row r="123" spans="1:18" s="12" customFormat="1" ht="54" customHeight="1">
      <c r="A123" s="9"/>
      <c r="B123" s="302" t="s">
        <v>25</v>
      </c>
      <c r="C123" s="9">
        <v>3255</v>
      </c>
      <c r="D123" s="11" t="s">
        <v>6198</v>
      </c>
      <c r="E123" s="239">
        <v>44624</v>
      </c>
      <c r="F123" s="239">
        <v>44631</v>
      </c>
      <c r="G123" s="239">
        <v>44614</v>
      </c>
      <c r="H123" s="9"/>
      <c r="I123" s="9">
        <v>1</v>
      </c>
      <c r="J123" s="9">
        <v>111</v>
      </c>
      <c r="K123" s="9"/>
      <c r="L123" s="9" t="s">
        <v>5417</v>
      </c>
      <c r="M123" s="239" t="s">
        <v>6198</v>
      </c>
      <c r="N123" s="63"/>
      <c r="P123" s="13"/>
    </row>
    <row r="124" spans="1:18" s="12" customFormat="1" ht="54" customHeight="1">
      <c r="A124" s="9"/>
      <c r="B124" s="302" t="s">
        <v>25</v>
      </c>
      <c r="C124" s="9">
        <v>3267</v>
      </c>
      <c r="D124" s="11" t="s">
        <v>6198</v>
      </c>
      <c r="E124" s="239">
        <v>44627</v>
      </c>
      <c r="F124" s="239">
        <v>44650</v>
      </c>
      <c r="G124" s="9"/>
      <c r="H124" s="9"/>
      <c r="I124" s="9">
        <v>82</v>
      </c>
      <c r="J124" s="9">
        <v>174</v>
      </c>
      <c r="K124" s="9">
        <v>524</v>
      </c>
      <c r="L124" s="9" t="s">
        <v>5417</v>
      </c>
      <c r="M124" s="239" t="s">
        <v>6198</v>
      </c>
      <c r="N124" s="63"/>
      <c r="P124" s="13"/>
    </row>
    <row r="125" spans="1:18" s="12" customFormat="1" ht="54" customHeight="1">
      <c r="A125" s="9"/>
      <c r="B125" s="302" t="s">
        <v>25</v>
      </c>
      <c r="C125" s="9">
        <v>3263</v>
      </c>
      <c r="D125" s="11" t="s">
        <v>6198</v>
      </c>
      <c r="E125" s="239">
        <v>44628</v>
      </c>
      <c r="F125" s="239">
        <v>44650</v>
      </c>
      <c r="G125" s="9"/>
      <c r="H125" s="9"/>
      <c r="I125" s="9">
        <v>22</v>
      </c>
      <c r="J125" s="9">
        <v>38</v>
      </c>
      <c r="K125" s="9">
        <v>350</v>
      </c>
      <c r="L125" s="9" t="s">
        <v>5417</v>
      </c>
      <c r="M125" s="239" t="s">
        <v>6198</v>
      </c>
      <c r="N125" s="63"/>
      <c r="P125" s="13"/>
    </row>
    <row r="126" spans="1:18" s="12" customFormat="1" ht="54" customHeight="1">
      <c r="A126" s="9"/>
      <c r="B126" s="302" t="s">
        <v>25</v>
      </c>
      <c r="C126" s="9">
        <v>3269</v>
      </c>
      <c r="D126" s="11" t="s">
        <v>6198</v>
      </c>
      <c r="E126" s="239">
        <v>44628</v>
      </c>
      <c r="F126" s="239">
        <v>44650</v>
      </c>
      <c r="G126" s="9"/>
      <c r="H126" s="9"/>
      <c r="I126" s="9">
        <v>48</v>
      </c>
      <c r="J126" s="9">
        <v>125</v>
      </c>
      <c r="K126" s="9">
        <v>628</v>
      </c>
      <c r="L126" s="9" t="s">
        <v>5417</v>
      </c>
      <c r="M126" s="239" t="s">
        <v>6198</v>
      </c>
      <c r="N126" s="63"/>
      <c r="P126" s="13"/>
    </row>
    <row r="127" spans="1:18" s="12" customFormat="1" ht="54" customHeight="1">
      <c r="A127" s="9"/>
      <c r="B127" s="302" t="s">
        <v>25</v>
      </c>
      <c r="C127" s="9">
        <v>3264</v>
      </c>
      <c r="D127" s="11" t="s">
        <v>6198</v>
      </c>
      <c r="E127" s="239">
        <v>44629</v>
      </c>
      <c r="F127" s="239">
        <v>44650</v>
      </c>
      <c r="G127" s="9"/>
      <c r="H127" s="9"/>
      <c r="I127" s="9">
        <v>10</v>
      </c>
      <c r="J127" s="9">
        <v>20</v>
      </c>
      <c r="K127" s="9">
        <v>511</v>
      </c>
      <c r="L127" s="9" t="s">
        <v>5417</v>
      </c>
      <c r="M127" s="239" t="s">
        <v>6198</v>
      </c>
      <c r="N127" s="63"/>
      <c r="P127" s="13"/>
    </row>
    <row r="128" spans="1:18" s="12" customFormat="1" ht="54" customHeight="1">
      <c r="A128" s="9"/>
      <c r="B128" s="302" t="s">
        <v>25</v>
      </c>
      <c r="C128" s="9">
        <v>3268</v>
      </c>
      <c r="D128" s="11" t="s">
        <v>6198</v>
      </c>
      <c r="E128" s="239">
        <v>44629</v>
      </c>
      <c r="F128" s="239">
        <v>44650</v>
      </c>
      <c r="G128" s="9"/>
      <c r="H128" s="9"/>
      <c r="I128" s="9">
        <v>38</v>
      </c>
      <c r="J128" s="9">
        <v>117</v>
      </c>
      <c r="K128" s="9">
        <v>565</v>
      </c>
      <c r="L128" s="9" t="s">
        <v>5417</v>
      </c>
      <c r="M128" s="239" t="s">
        <v>6198</v>
      </c>
      <c r="N128" s="63"/>
      <c r="P128" s="13"/>
    </row>
    <row r="129" spans="1:16" s="12" customFormat="1" ht="54" customHeight="1">
      <c r="A129" s="9"/>
      <c r="B129" s="302" t="s">
        <v>25</v>
      </c>
      <c r="C129" s="9">
        <v>3271</v>
      </c>
      <c r="D129" s="11" t="s">
        <v>6198</v>
      </c>
      <c r="E129" s="239">
        <v>44629</v>
      </c>
      <c r="F129" s="239">
        <v>44650</v>
      </c>
      <c r="G129" s="9"/>
      <c r="H129" s="9"/>
      <c r="I129" s="9">
        <v>53</v>
      </c>
      <c r="J129" s="9">
        <v>271</v>
      </c>
      <c r="K129" s="9">
        <v>100</v>
      </c>
      <c r="L129" s="9" t="s">
        <v>5417</v>
      </c>
      <c r="M129" s="239" t="s">
        <v>6198</v>
      </c>
      <c r="N129" s="63"/>
      <c r="P129" s="13"/>
    </row>
    <row r="130" spans="1:16" s="12" customFormat="1" ht="54" customHeight="1">
      <c r="A130" s="9"/>
      <c r="B130" s="302" t="s">
        <v>25</v>
      </c>
      <c r="C130" s="9">
        <v>3278</v>
      </c>
      <c r="D130" s="11" t="s">
        <v>6198</v>
      </c>
      <c r="E130" s="239">
        <v>44630</v>
      </c>
      <c r="F130" s="239">
        <v>44650</v>
      </c>
      <c r="G130" s="9"/>
      <c r="H130" s="9"/>
      <c r="I130" s="9">
        <v>67</v>
      </c>
      <c r="J130" s="9">
        <v>233</v>
      </c>
      <c r="K130" s="9">
        <v>408</v>
      </c>
      <c r="L130" s="9" t="s">
        <v>5417</v>
      </c>
      <c r="M130" s="239" t="s">
        <v>6198</v>
      </c>
      <c r="N130" s="63"/>
      <c r="P130" s="13"/>
    </row>
    <row r="131" spans="1:16" s="12" customFormat="1" ht="54" customHeight="1">
      <c r="A131" s="9"/>
      <c r="B131" s="302" t="s">
        <v>25</v>
      </c>
      <c r="C131" s="9">
        <v>3274</v>
      </c>
      <c r="D131" s="11" t="s">
        <v>6198</v>
      </c>
      <c r="E131" s="239">
        <v>44631</v>
      </c>
      <c r="F131" s="239">
        <v>44649</v>
      </c>
      <c r="G131" s="9"/>
      <c r="H131" s="9"/>
      <c r="I131" s="9">
        <v>51</v>
      </c>
      <c r="J131" s="9">
        <v>114</v>
      </c>
      <c r="K131" s="9">
        <v>250</v>
      </c>
      <c r="L131" s="9" t="s">
        <v>5417</v>
      </c>
      <c r="M131" s="239" t="s">
        <v>6198</v>
      </c>
      <c r="N131" s="63"/>
      <c r="P131" s="13"/>
    </row>
    <row r="132" spans="1:16" s="12" customFormat="1" ht="54" customHeight="1">
      <c r="A132" s="9"/>
      <c r="B132" s="302" t="s">
        <v>25</v>
      </c>
      <c r="C132" s="9">
        <v>3277</v>
      </c>
      <c r="D132" s="11" t="s">
        <v>6198</v>
      </c>
      <c r="E132" s="239">
        <v>44631</v>
      </c>
      <c r="F132" s="239">
        <v>44648</v>
      </c>
      <c r="G132" s="9"/>
      <c r="H132" s="9"/>
      <c r="I132" s="9">
        <v>32</v>
      </c>
      <c r="J132" s="9">
        <v>81</v>
      </c>
      <c r="K132" s="9">
        <v>303</v>
      </c>
      <c r="L132" s="9" t="s">
        <v>5417</v>
      </c>
      <c r="M132" s="239" t="s">
        <v>6198</v>
      </c>
      <c r="N132" s="63"/>
      <c r="P132" s="13"/>
    </row>
    <row r="133" spans="1:16" s="12" customFormat="1" ht="54" customHeight="1">
      <c r="A133" s="9"/>
      <c r="B133" s="302" t="s">
        <v>25</v>
      </c>
      <c r="C133" s="9">
        <v>3266</v>
      </c>
      <c r="D133" s="11" t="s">
        <v>6198</v>
      </c>
      <c r="E133" s="239">
        <v>44634</v>
      </c>
      <c r="F133" s="239">
        <v>44648</v>
      </c>
      <c r="G133" s="9"/>
      <c r="H133" s="9"/>
      <c r="I133" s="9">
        <v>18</v>
      </c>
      <c r="J133" s="9">
        <v>68</v>
      </c>
      <c r="K133" s="9">
        <v>154</v>
      </c>
      <c r="L133" s="9" t="s">
        <v>5417</v>
      </c>
      <c r="M133" s="239" t="s">
        <v>6198</v>
      </c>
      <c r="N133" s="63"/>
      <c r="P133" s="13"/>
    </row>
    <row r="134" spans="1:16" s="12" customFormat="1" ht="54" customHeight="1">
      <c r="A134" s="9"/>
      <c r="B134" s="302" t="s">
        <v>25</v>
      </c>
      <c r="C134" s="9">
        <v>3272</v>
      </c>
      <c r="D134" s="11" t="s">
        <v>6198</v>
      </c>
      <c r="E134" s="239">
        <v>44634</v>
      </c>
      <c r="F134" s="239">
        <v>44642</v>
      </c>
      <c r="G134" s="9"/>
      <c r="H134" s="9"/>
      <c r="I134" s="9">
        <v>38</v>
      </c>
      <c r="J134" s="9">
        <v>118</v>
      </c>
      <c r="K134" s="9">
        <v>171</v>
      </c>
      <c r="L134" s="9" t="s">
        <v>5417</v>
      </c>
      <c r="M134" s="239" t="s">
        <v>6198</v>
      </c>
      <c r="N134" s="63"/>
      <c r="P134" s="13"/>
    </row>
    <row r="135" spans="1:16" s="12" customFormat="1" ht="54" customHeight="1">
      <c r="A135" s="9"/>
      <c r="B135" s="302" t="s">
        <v>25</v>
      </c>
      <c r="C135" s="9">
        <v>3270</v>
      </c>
      <c r="D135" s="11" t="s">
        <v>6198</v>
      </c>
      <c r="E135" s="239">
        <v>44635</v>
      </c>
      <c r="F135" s="239">
        <v>44641</v>
      </c>
      <c r="G135" s="9"/>
      <c r="H135" s="9"/>
      <c r="I135" s="9">
        <v>75</v>
      </c>
      <c r="J135" s="9">
        <v>227</v>
      </c>
      <c r="K135" s="9">
        <v>87</v>
      </c>
      <c r="L135" s="9" t="s">
        <v>5417</v>
      </c>
      <c r="M135" s="239" t="s">
        <v>6198</v>
      </c>
      <c r="N135" s="63"/>
      <c r="P135" s="13"/>
    </row>
    <row r="136" spans="1:16" s="12" customFormat="1" ht="54" customHeight="1">
      <c r="A136" s="9"/>
      <c r="B136" s="302" t="s">
        <v>25</v>
      </c>
      <c r="C136" s="9">
        <v>3273</v>
      </c>
      <c r="D136" s="11" t="s">
        <v>6198</v>
      </c>
      <c r="E136" s="239">
        <v>44635</v>
      </c>
      <c r="F136" s="239">
        <v>44641</v>
      </c>
      <c r="G136" s="9"/>
      <c r="H136" s="9"/>
      <c r="I136" s="9">
        <v>40</v>
      </c>
      <c r="J136" s="9">
        <v>103</v>
      </c>
      <c r="K136" s="9">
        <v>57</v>
      </c>
      <c r="L136" s="9" t="s">
        <v>5417</v>
      </c>
      <c r="M136" s="239" t="s">
        <v>6198</v>
      </c>
      <c r="N136" s="63"/>
      <c r="P136" s="13"/>
    </row>
    <row r="137" spans="1:16" s="12" customFormat="1" ht="54" customHeight="1">
      <c r="A137" s="9"/>
      <c r="B137" s="302" t="s">
        <v>125</v>
      </c>
      <c r="C137" s="9">
        <v>3411</v>
      </c>
      <c r="D137" s="11" t="s">
        <v>6198</v>
      </c>
      <c r="E137" s="239">
        <v>44652</v>
      </c>
      <c r="F137" s="239">
        <v>44652</v>
      </c>
      <c r="G137" s="9"/>
      <c r="H137" s="9">
        <v>31</v>
      </c>
      <c r="I137" s="9">
        <v>41</v>
      </c>
      <c r="J137" s="9">
        <v>43</v>
      </c>
      <c r="K137" s="9">
        <v>2542</v>
      </c>
      <c r="L137" s="9"/>
      <c r="M137" s="239" t="s">
        <v>6198</v>
      </c>
      <c r="N137" s="63"/>
      <c r="P137" s="13"/>
    </row>
    <row r="138" spans="1:16" s="12" customFormat="1" ht="54" customHeight="1">
      <c r="A138" s="9"/>
      <c r="B138" s="302" t="s">
        <v>125</v>
      </c>
      <c r="C138" s="9">
        <v>3412</v>
      </c>
      <c r="D138" s="11" t="s">
        <v>6198</v>
      </c>
      <c r="E138" s="239">
        <v>44652</v>
      </c>
      <c r="F138" s="239">
        <v>44652</v>
      </c>
      <c r="G138" s="9"/>
      <c r="H138" s="9">
        <v>30</v>
      </c>
      <c r="I138" s="9">
        <v>40</v>
      </c>
      <c r="J138" s="9">
        <v>42</v>
      </c>
      <c r="K138" s="9">
        <v>2988</v>
      </c>
      <c r="L138" s="9"/>
      <c r="M138" s="239" t="s">
        <v>6198</v>
      </c>
      <c r="N138" s="63"/>
      <c r="P138" s="13"/>
    </row>
    <row r="139" spans="1:16" s="12" customFormat="1" ht="54" customHeight="1">
      <c r="A139" s="9"/>
      <c r="B139" s="302" t="s">
        <v>125</v>
      </c>
      <c r="C139" s="9">
        <v>3413</v>
      </c>
      <c r="D139" s="11" t="s">
        <v>6198</v>
      </c>
      <c r="E139" s="239">
        <v>44652</v>
      </c>
      <c r="F139" s="239">
        <v>44652</v>
      </c>
      <c r="G139" s="9"/>
      <c r="H139" s="9">
        <v>30</v>
      </c>
      <c r="I139" s="9">
        <v>40</v>
      </c>
      <c r="J139" s="9">
        <v>42</v>
      </c>
      <c r="K139" s="9">
        <v>2908</v>
      </c>
      <c r="L139" s="9"/>
      <c r="M139" s="239" t="s">
        <v>6198</v>
      </c>
      <c r="N139" s="63"/>
      <c r="P139" s="13"/>
    </row>
    <row r="140" spans="1:16" s="12" customFormat="1" ht="54" customHeight="1">
      <c r="A140" s="9"/>
      <c r="B140" s="302" t="s">
        <v>125</v>
      </c>
      <c r="C140" s="9">
        <v>3414</v>
      </c>
      <c r="D140" s="11" t="s">
        <v>6198</v>
      </c>
      <c r="E140" s="239">
        <v>44652</v>
      </c>
      <c r="F140" s="239">
        <v>44652</v>
      </c>
      <c r="G140" s="9"/>
      <c r="H140" s="9">
        <v>11</v>
      </c>
      <c r="I140" s="9">
        <v>14</v>
      </c>
      <c r="J140" s="9">
        <v>16</v>
      </c>
      <c r="K140" s="9">
        <v>500</v>
      </c>
      <c r="L140" s="9"/>
      <c r="M140" s="239" t="s">
        <v>6198</v>
      </c>
      <c r="N140" s="63"/>
      <c r="P140" s="13"/>
    </row>
    <row r="141" spans="1:16" s="12" customFormat="1" ht="54" customHeight="1">
      <c r="A141" s="9"/>
      <c r="B141" s="302" t="s">
        <v>125</v>
      </c>
      <c r="C141" s="9">
        <v>3415</v>
      </c>
      <c r="D141" s="11" t="s">
        <v>6198</v>
      </c>
      <c r="E141" s="239">
        <v>44652</v>
      </c>
      <c r="F141" s="239">
        <v>44652</v>
      </c>
      <c r="G141" s="9"/>
      <c r="H141" s="9">
        <v>11</v>
      </c>
      <c r="I141" s="9">
        <v>14</v>
      </c>
      <c r="J141" s="9">
        <v>16</v>
      </c>
      <c r="K141" s="9">
        <v>528</v>
      </c>
      <c r="L141" s="9"/>
      <c r="M141" s="239" t="s">
        <v>6198</v>
      </c>
      <c r="N141" s="63"/>
      <c r="P141" s="13"/>
    </row>
    <row r="142" spans="1:16" s="12" customFormat="1" ht="54" customHeight="1">
      <c r="A142" s="9"/>
      <c r="B142" s="302" t="s">
        <v>125</v>
      </c>
      <c r="C142" s="9">
        <v>3416</v>
      </c>
      <c r="D142" s="11" t="s">
        <v>6198</v>
      </c>
      <c r="E142" s="239">
        <v>44652</v>
      </c>
      <c r="F142" s="239">
        <v>44652</v>
      </c>
      <c r="G142" s="9"/>
      <c r="H142" s="9">
        <v>11</v>
      </c>
      <c r="I142" s="9">
        <v>14</v>
      </c>
      <c r="J142" s="9">
        <v>16</v>
      </c>
      <c r="K142" s="9">
        <v>662</v>
      </c>
      <c r="L142" s="9"/>
      <c r="M142" s="239" t="s">
        <v>6198</v>
      </c>
      <c r="N142" s="63"/>
      <c r="P142" s="13"/>
    </row>
    <row r="143" spans="1:16" s="12" customFormat="1" ht="54" customHeight="1">
      <c r="A143" s="9"/>
      <c r="B143" s="302" t="s">
        <v>125</v>
      </c>
      <c r="C143" s="9">
        <v>3446</v>
      </c>
      <c r="D143" s="11" t="s">
        <v>6198</v>
      </c>
      <c r="E143" s="239">
        <v>44652</v>
      </c>
      <c r="F143" s="239">
        <v>44652</v>
      </c>
      <c r="G143" s="9"/>
      <c r="H143" s="9">
        <v>39</v>
      </c>
      <c r="I143" s="9">
        <v>42</v>
      </c>
      <c r="J143" s="9">
        <v>43</v>
      </c>
      <c r="K143" s="9">
        <v>1387</v>
      </c>
      <c r="L143" s="9"/>
      <c r="M143" s="239" t="s">
        <v>6198</v>
      </c>
      <c r="N143" s="63"/>
      <c r="P143" s="13"/>
    </row>
    <row r="144" spans="1:16" s="12" customFormat="1" ht="54" customHeight="1">
      <c r="A144" s="9"/>
      <c r="B144" s="302" t="s">
        <v>125</v>
      </c>
      <c r="C144" s="9">
        <v>3449</v>
      </c>
      <c r="D144" s="11" t="s">
        <v>6198</v>
      </c>
      <c r="E144" s="239">
        <v>44652</v>
      </c>
      <c r="F144" s="239">
        <v>44652</v>
      </c>
      <c r="G144" s="9"/>
      <c r="H144" s="9">
        <v>24</v>
      </c>
      <c r="I144" s="9">
        <v>30</v>
      </c>
      <c r="J144" s="9">
        <v>31</v>
      </c>
      <c r="K144" s="9">
        <v>754</v>
      </c>
      <c r="L144" s="9"/>
      <c r="M144" s="239" t="s">
        <v>6198</v>
      </c>
      <c r="N144" s="63"/>
      <c r="P144" s="13"/>
    </row>
    <row r="145" spans="1:16" s="12" customFormat="1" ht="54" customHeight="1">
      <c r="A145" s="9"/>
      <c r="B145" s="302" t="s">
        <v>125</v>
      </c>
      <c r="C145" s="9">
        <v>3505</v>
      </c>
      <c r="D145" s="11" t="s">
        <v>6198</v>
      </c>
      <c r="E145" s="239">
        <v>44986</v>
      </c>
      <c r="F145" s="239">
        <v>44986</v>
      </c>
      <c r="G145" s="9"/>
      <c r="H145" s="9">
        <v>243</v>
      </c>
      <c r="I145" s="9">
        <v>280</v>
      </c>
      <c r="J145" s="9">
        <v>282</v>
      </c>
      <c r="K145" s="9">
        <v>203</v>
      </c>
      <c r="L145" s="9"/>
      <c r="M145" s="239" t="s">
        <v>6198</v>
      </c>
      <c r="N145" s="63"/>
      <c r="P145" s="13"/>
    </row>
    <row r="146" spans="1:16" s="12" customFormat="1" ht="54" customHeight="1">
      <c r="A146" s="9"/>
      <c r="B146" s="302"/>
      <c r="C146" s="9"/>
      <c r="D146" s="11"/>
      <c r="E146" s="9"/>
      <c r="F146" s="9"/>
      <c r="G146" s="9"/>
      <c r="H146" s="9"/>
      <c r="I146" s="9"/>
      <c r="J146" s="9"/>
      <c r="K146" s="9"/>
      <c r="L146" s="9"/>
      <c r="M146" s="9"/>
      <c r="N146" s="63"/>
      <c r="P146" s="13"/>
    </row>
    <row r="147" spans="1:16" s="12" customFormat="1" ht="54" customHeight="1">
      <c r="A147" s="9"/>
      <c r="B147" s="302"/>
      <c r="C147" s="9"/>
      <c r="D147" s="11"/>
      <c r="E147" s="9"/>
      <c r="F147" s="9"/>
      <c r="G147" s="9"/>
      <c r="H147" s="9"/>
      <c r="I147" s="9"/>
      <c r="J147" s="9"/>
      <c r="K147" s="9"/>
      <c r="L147" s="9"/>
      <c r="M147" s="9"/>
      <c r="N147" s="63"/>
      <c r="P147" s="13"/>
    </row>
    <row r="148" spans="1:16" s="12" customFormat="1" ht="54" customHeight="1">
      <c r="A148" s="9"/>
      <c r="B148" s="302"/>
      <c r="C148" s="9"/>
      <c r="D148" s="11"/>
      <c r="E148" s="9"/>
      <c r="F148" s="9"/>
      <c r="G148" s="9"/>
      <c r="H148" s="9"/>
      <c r="I148" s="9"/>
      <c r="J148" s="9"/>
      <c r="K148" s="9"/>
      <c r="L148" s="9"/>
      <c r="M148" s="9"/>
      <c r="N148" s="63"/>
      <c r="P148" s="13"/>
    </row>
    <row r="149" spans="1:16" s="12" customFormat="1" ht="54" customHeight="1">
      <c r="A149" s="9"/>
      <c r="B149" s="302"/>
      <c r="C149" s="9"/>
      <c r="D149" s="11"/>
      <c r="E149" s="9"/>
      <c r="F149" s="9"/>
      <c r="G149" s="9"/>
      <c r="H149" s="9"/>
      <c r="I149" s="9"/>
      <c r="J149" s="9"/>
      <c r="K149" s="9"/>
      <c r="L149" s="9"/>
      <c r="M149" s="9"/>
      <c r="N149" s="63"/>
      <c r="P149" s="13"/>
    </row>
    <row r="150" spans="1:16" s="12" customFormat="1" ht="54" customHeight="1">
      <c r="A150" s="9"/>
      <c r="B150" s="302"/>
      <c r="C150" s="9"/>
      <c r="D150" s="11"/>
      <c r="E150" s="9"/>
      <c r="F150" s="9"/>
      <c r="G150" s="9"/>
      <c r="H150" s="9"/>
      <c r="I150" s="9"/>
      <c r="J150" s="9"/>
      <c r="K150" s="9"/>
      <c r="L150" s="9"/>
      <c r="M150" s="9"/>
      <c r="N150" s="63"/>
      <c r="P150" s="13"/>
    </row>
  </sheetData>
  <sortState xmlns:xlrd2="http://schemas.microsoft.com/office/spreadsheetml/2017/richdata2" ref="B24:M114">
    <sortCondition ref="F1"/>
  </sortState>
  <mergeCells count="22">
    <mergeCell ref="A119:M119"/>
    <mergeCell ref="I6:I8"/>
    <mergeCell ref="J6:J8"/>
    <mergeCell ref="K6:K8"/>
    <mergeCell ref="L6:L8"/>
    <mergeCell ref="M6:M8"/>
    <mergeCell ref="A23:C23"/>
    <mergeCell ref="A115:C115"/>
    <mergeCell ref="A116:D116"/>
    <mergeCell ref="A117:B118"/>
    <mergeCell ref="C117:D117"/>
    <mergeCell ref="C118:D118"/>
    <mergeCell ref="A2:N2"/>
    <mergeCell ref="A5:C5"/>
    <mergeCell ref="A6:A8"/>
    <mergeCell ref="B6:B8"/>
    <mergeCell ref="C6:C8"/>
    <mergeCell ref="D6:D8"/>
    <mergeCell ref="E6:E8"/>
    <mergeCell ref="F6:F8"/>
    <mergeCell ref="G6:G8"/>
    <mergeCell ref="H6:H8"/>
  </mergeCells>
  <conditionalFormatting sqref="B24:B114 B9:B22">
    <cfRule type="containsText" dxfId="17" priority="11" operator="containsText" text="БГБК">
      <formula>NOT(ISERROR(SEARCH("БГБК",B9)))</formula>
    </cfRule>
    <cfRule type="containsText" dxfId="16" priority="12" operator="containsText" text="ПРД">
      <formula>NOT(ISERROR(SEARCH("ПРД",B9)))</formula>
    </cfRule>
    <cfRule type="containsText" dxfId="15" priority="13" operator="containsText" text="Неман">
      <formula>NOT(ISERROR(SEARCH("Неман",B9)))</formula>
    </cfRule>
    <cfRule type="cellIs" dxfId="14" priority="14" operator="equal">
      <formula>"РПДМ"</formula>
    </cfRule>
    <cfRule type="cellIs" dxfId="13" priority="15" operator="equal">
      <formula>"МАСИ"</formula>
    </cfRule>
    <cfRule type="cellIs" dxfId="12" priority="16" operator="equal">
      <formula>"Р-673"</formula>
    </cfRule>
    <cfRule type="cellIs" dxfId="11" priority="17" operator="equal">
      <formula>"Р-170П"</formula>
    </cfRule>
    <cfRule type="containsText" dxfId="10" priority="18" operator="containsText" text="МКСТ">
      <formula>NOT(ISERROR(SEARCH("МКСТ",B9)))</formula>
    </cfRule>
  </conditionalFormatting>
  <conditionalFormatting sqref="B24:B114 B9:B22">
    <cfRule type="containsText" dxfId="9" priority="10" operator="containsText" text="К676">
      <formula>NOT(ISERROR(SEARCH("К676",B9)))</formula>
    </cfRule>
  </conditionalFormatting>
  <conditionalFormatting sqref="B24:B114 B9:B22">
    <cfRule type="containsText" dxfId="8" priority="8" operator="containsText" text="Прочее">
      <formula>NOT(ISERROR(SEARCH("Прочее",B9)))</formula>
    </cfRule>
    <cfRule type="containsText" dxfId="7" priority="9" operator="containsText" text="СЛУЖ.">
      <formula>NOT(ISERROR(SEARCH("СЛУЖ.",B9)))</formula>
    </cfRule>
  </conditionalFormatting>
  <conditionalFormatting sqref="B24:B114 B9:B22">
    <cfRule type="containsText" dxfId="6" priority="3" operator="containsText" text="К625">
      <formula>NOT(ISERROR(SEARCH("К625",B9)))</formula>
    </cfRule>
    <cfRule type="containsText" dxfId="5" priority="4" operator="containsText" text="Ю627">
      <formula>NOT(ISERROR(SEARCH("Ю627",B9)))</formula>
    </cfRule>
    <cfRule type="containsText" dxfId="4" priority="5" operator="containsText" text="Ю628">
      <formula>NOT(ISERROR(SEARCH("Ю628",B9)))</formula>
    </cfRule>
    <cfRule type="containsText" dxfId="3" priority="6" operator="containsText" text="К674">
      <formula>NOT(ISERROR(SEARCH("К674",B9)))</formula>
    </cfRule>
    <cfRule type="containsText" dxfId="2" priority="7" operator="containsText" text="УСП">
      <formula>NOT(ISERROR(SEARCH("УСП",B9)))</formula>
    </cfRule>
  </conditionalFormatting>
  <conditionalFormatting sqref="B24:B114 B9:B22">
    <cfRule type="containsText" dxfId="1" priority="2" operator="containsText" text="МРМ">
      <formula>NOT(ISERROR(SEARCH("МРМ",B9)))</formula>
    </cfRule>
  </conditionalFormatting>
  <conditionalFormatting sqref="B24:B114 B9:B22">
    <cfRule type="containsText" dxfId="0" priority="1" operator="containsText" text="ОРХ">
      <formula>NOT(ISERROR(SEARCH("ОРХ",B9)))</formula>
    </cfRule>
  </conditionalFormatting>
  <printOptions horizontalCentered="1"/>
  <pageMargins left="0" right="0" top="0" bottom="0" header="0" footer="0"/>
  <pageSetup paperSize="8" scale="19" orientation="portrait" copies="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6929" r:id="rId4" name="Button 1">
              <controlPr defaultSize="0" print="0" autoFill="0" autoPict="0" macro="[0]!StatisticsSheet.onStartButtonClick">
                <anchor moveWithCells="1" sizeWithCells="1">
                  <from>
                    <xdr:col>3</xdr:col>
                    <xdr:colOff>11630025</xdr:colOff>
                    <xdr:row>5</xdr:row>
                    <xdr:rowOff>0</xdr:rowOff>
                  </from>
                  <to>
                    <xdr:col>4</xdr:col>
                    <xdr:colOff>1647825</xdr:colOff>
                    <xdr:row>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930" r:id="rId5" name="Button 2">
              <controlPr defaultSize="0" print="0" autoFill="0" autoPict="0" macro="[0]!StatisticsSheet.onFinishButtonClick">
                <anchor moveWithCells="1" sizeWithCells="1">
                  <from>
                    <xdr:col>5</xdr:col>
                    <xdr:colOff>9525</xdr:colOff>
                    <xdr:row>4</xdr:row>
                    <xdr:rowOff>676275</xdr:rowOff>
                  </from>
                  <to>
                    <xdr:col>6</xdr:col>
                    <xdr:colOff>0</xdr:colOff>
                    <xdr:row>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I295"/>
  <sheetViews>
    <sheetView topLeftCell="A260" workbookViewId="0"/>
  </sheetViews>
  <sheetFormatPr defaultRowHeight="12.75"/>
  <sheetData>
    <row r="1" spans="1:35">
      <c r="A1" s="100" t="s">
        <v>503</v>
      </c>
      <c r="B1" s="100" t="s">
        <v>4815</v>
      </c>
      <c r="C1" s="100" t="s">
        <v>4816</v>
      </c>
      <c r="D1" s="100" t="s">
        <v>4817</v>
      </c>
      <c r="E1" s="100" t="s">
        <v>4818</v>
      </c>
      <c r="F1" s="100" t="s">
        <v>4819</v>
      </c>
      <c r="G1" s="100" t="s">
        <v>29</v>
      </c>
      <c r="H1" s="100" t="s">
        <v>4820</v>
      </c>
      <c r="I1" s="100" t="s">
        <v>4821</v>
      </c>
      <c r="J1" s="100" t="s">
        <v>4822</v>
      </c>
      <c r="K1" s="100" t="s">
        <v>4823</v>
      </c>
      <c r="L1" s="100" t="s">
        <v>4824</v>
      </c>
      <c r="M1" s="100" t="s">
        <v>4825</v>
      </c>
      <c r="N1" s="100" t="s">
        <v>507</v>
      </c>
      <c r="O1" s="100" t="s">
        <v>4826</v>
      </c>
      <c r="P1" s="100" t="s">
        <v>504</v>
      </c>
      <c r="Q1" s="100" t="s">
        <v>4827</v>
      </c>
      <c r="R1" s="100" t="s">
        <v>4828</v>
      </c>
      <c r="S1" s="100" t="s">
        <v>4829</v>
      </c>
      <c r="T1" s="100" t="s">
        <v>4830</v>
      </c>
      <c r="U1" s="100" t="s">
        <v>4831</v>
      </c>
      <c r="V1" s="100" t="s">
        <v>4832</v>
      </c>
      <c r="W1" s="100" t="s">
        <v>4833</v>
      </c>
      <c r="X1" s="100" t="s">
        <v>4834</v>
      </c>
      <c r="Y1" s="100" t="s">
        <v>4835</v>
      </c>
      <c r="Z1" s="100" t="s">
        <v>4836</v>
      </c>
      <c r="AA1" s="100" t="s">
        <v>4837</v>
      </c>
      <c r="AB1" s="100" t="s">
        <v>4838</v>
      </c>
      <c r="AC1" s="100" t="s">
        <v>4839</v>
      </c>
      <c r="AD1" s="100" t="s">
        <v>4840</v>
      </c>
      <c r="AE1" s="100" t="s">
        <v>4841</v>
      </c>
      <c r="AF1" s="100" t="s">
        <v>4842</v>
      </c>
      <c r="AG1" s="100" t="s">
        <v>4843</v>
      </c>
      <c r="AH1" s="100" t="s">
        <v>4844</v>
      </c>
      <c r="AI1" s="100" t="s">
        <v>4845</v>
      </c>
    </row>
    <row r="2" spans="1:35">
      <c r="A2" s="100">
        <v>515162</v>
      </c>
      <c r="B2" s="171"/>
      <c r="C2" s="100">
        <v>1</v>
      </c>
      <c r="D2" s="100">
        <v>0</v>
      </c>
      <c r="E2" s="100">
        <v>102</v>
      </c>
      <c r="F2" s="171"/>
      <c r="G2" s="171" t="s">
        <v>5406</v>
      </c>
      <c r="H2" s="171"/>
      <c r="I2" s="171" t="s">
        <v>4856</v>
      </c>
      <c r="J2" s="171"/>
      <c r="K2" s="171">
        <v>100</v>
      </c>
      <c r="L2" s="171">
        <v>101</v>
      </c>
      <c r="M2" s="171">
        <v>10101</v>
      </c>
      <c r="N2" s="171">
        <v>10104</v>
      </c>
      <c r="O2" s="171" t="s">
        <v>4857</v>
      </c>
      <c r="P2" s="171" t="s">
        <v>555</v>
      </c>
      <c r="Q2" s="171" t="s">
        <v>4853</v>
      </c>
      <c r="R2" s="171" t="s">
        <v>4848</v>
      </c>
      <c r="S2" s="100">
        <v>5728</v>
      </c>
      <c r="T2" s="100">
        <v>0</v>
      </c>
      <c r="U2" s="100">
        <v>0</v>
      </c>
      <c r="V2" s="100">
        <v>1</v>
      </c>
      <c r="W2" s="100">
        <v>320</v>
      </c>
      <c r="X2" s="100">
        <v>320</v>
      </c>
      <c r="Y2" s="100">
        <v>0</v>
      </c>
      <c r="Z2" s="100">
        <v>0</v>
      </c>
      <c r="AA2" s="100">
        <v>0.03</v>
      </c>
      <c r="AB2" s="100">
        <v>8</v>
      </c>
      <c r="AC2" s="171"/>
      <c r="AD2" s="171"/>
      <c r="AE2" s="171"/>
      <c r="AF2" s="171" t="s">
        <v>4858</v>
      </c>
      <c r="AG2" s="171" t="s">
        <v>4856</v>
      </c>
      <c r="AH2" s="171" t="s">
        <v>4856</v>
      </c>
      <c r="AI2" s="171" t="s">
        <v>4850</v>
      </c>
    </row>
    <row r="3" spans="1:35">
      <c r="A3" s="100">
        <v>518150</v>
      </c>
      <c r="B3" s="171"/>
      <c r="C3" s="100">
        <v>1</v>
      </c>
      <c r="D3" s="100">
        <v>0</v>
      </c>
      <c r="E3" s="100">
        <v>102</v>
      </c>
      <c r="F3" s="171"/>
      <c r="G3" s="171" t="s">
        <v>4860</v>
      </c>
      <c r="H3" s="171"/>
      <c r="I3" s="171" t="s">
        <v>4861</v>
      </c>
      <c r="J3" s="171"/>
      <c r="K3" s="171">
        <v>100</v>
      </c>
      <c r="L3" s="171">
        <v>101</v>
      </c>
      <c r="M3" s="171">
        <v>10101</v>
      </c>
      <c r="N3" s="171">
        <v>10104</v>
      </c>
      <c r="O3" s="171" t="s">
        <v>716</v>
      </c>
      <c r="P3" s="171" t="s">
        <v>536</v>
      </c>
      <c r="Q3" s="171" t="s">
        <v>4853</v>
      </c>
      <c r="R3" s="171" t="s">
        <v>4848</v>
      </c>
      <c r="S3" s="100">
        <v>494</v>
      </c>
      <c r="T3" s="100">
        <v>0</v>
      </c>
      <c r="U3" s="100">
        <v>0</v>
      </c>
      <c r="V3" s="100">
        <v>1</v>
      </c>
      <c r="W3" s="100">
        <v>30</v>
      </c>
      <c r="X3" s="100">
        <v>30</v>
      </c>
      <c r="Y3" s="100">
        <v>0</v>
      </c>
      <c r="Z3" s="100">
        <v>0</v>
      </c>
      <c r="AA3" s="100">
        <v>0.01</v>
      </c>
      <c r="AB3" s="100">
        <v>0.25</v>
      </c>
      <c r="AC3" s="171"/>
      <c r="AD3" s="171"/>
      <c r="AE3" s="171"/>
      <c r="AF3" s="171" t="s">
        <v>4862</v>
      </c>
      <c r="AG3" s="171" t="s">
        <v>4861</v>
      </c>
      <c r="AH3" s="171" t="s">
        <v>4861</v>
      </c>
      <c r="AI3" s="171" t="s">
        <v>4863</v>
      </c>
    </row>
    <row r="4" spans="1:35">
      <c r="A4" s="100">
        <v>529479</v>
      </c>
      <c r="B4" s="171"/>
      <c r="C4" s="100">
        <v>1</v>
      </c>
      <c r="D4" s="100">
        <v>0</v>
      </c>
      <c r="E4" s="100">
        <v>114</v>
      </c>
      <c r="F4" s="171"/>
      <c r="G4" s="171" t="s">
        <v>5271</v>
      </c>
      <c r="H4" s="171"/>
      <c r="I4" s="171" t="s">
        <v>4865</v>
      </c>
      <c r="J4" s="171"/>
      <c r="K4" s="171">
        <v>100</v>
      </c>
      <c r="L4" s="171">
        <v>101</v>
      </c>
      <c r="M4" s="171">
        <v>10101</v>
      </c>
      <c r="N4" s="171">
        <v>10104</v>
      </c>
      <c r="O4" s="171" t="s">
        <v>2253</v>
      </c>
      <c r="P4" s="171" t="s">
        <v>4787</v>
      </c>
      <c r="Q4" s="171" t="s">
        <v>4853</v>
      </c>
      <c r="R4" s="171" t="s">
        <v>4848</v>
      </c>
      <c r="S4" s="100">
        <v>11287</v>
      </c>
      <c r="T4" s="100">
        <v>0</v>
      </c>
      <c r="U4" s="100">
        <v>0</v>
      </c>
      <c r="V4" s="100">
        <v>1</v>
      </c>
      <c r="W4" s="100">
        <v>36</v>
      </c>
      <c r="X4" s="100">
        <v>36</v>
      </c>
      <c r="Y4" s="100">
        <v>0</v>
      </c>
      <c r="Z4" s="100">
        <v>0</v>
      </c>
      <c r="AA4" s="100">
        <v>0.03</v>
      </c>
      <c r="AB4" s="100">
        <v>0.9</v>
      </c>
      <c r="AC4" s="171"/>
      <c r="AD4" s="171"/>
      <c r="AE4" s="171"/>
      <c r="AF4" s="171" t="s">
        <v>4866</v>
      </c>
      <c r="AG4" s="171" t="s">
        <v>4865</v>
      </c>
      <c r="AH4" s="171" t="s">
        <v>4865</v>
      </c>
      <c r="AI4" s="171" t="s">
        <v>4850</v>
      </c>
    </row>
    <row r="5" spans="1:35">
      <c r="A5" s="100">
        <v>535474</v>
      </c>
      <c r="B5" s="171"/>
      <c r="C5" s="100">
        <v>1</v>
      </c>
      <c r="D5" s="100">
        <v>0</v>
      </c>
      <c r="E5" s="100">
        <v>101</v>
      </c>
      <c r="F5" s="171"/>
      <c r="G5" s="171" t="s">
        <v>4867</v>
      </c>
      <c r="H5" s="171"/>
      <c r="I5" s="171" t="s">
        <v>4868</v>
      </c>
      <c r="J5" s="171"/>
      <c r="K5" s="171">
        <v>100</v>
      </c>
      <c r="L5" s="171">
        <v>101</v>
      </c>
      <c r="M5" s="171">
        <v>10101</v>
      </c>
      <c r="N5" s="171">
        <v>10104</v>
      </c>
      <c r="O5" s="171" t="s">
        <v>777</v>
      </c>
      <c r="P5" s="171" t="s">
        <v>4789</v>
      </c>
      <c r="Q5" s="171" t="s">
        <v>4853</v>
      </c>
      <c r="R5" s="171" t="s">
        <v>4848</v>
      </c>
      <c r="S5" s="100">
        <v>0</v>
      </c>
      <c r="T5" s="100">
        <v>0</v>
      </c>
      <c r="U5" s="100">
        <v>0</v>
      </c>
      <c r="V5" s="100">
        <v>1</v>
      </c>
      <c r="W5" s="100">
        <v>50</v>
      </c>
      <c r="X5" s="100">
        <v>50</v>
      </c>
      <c r="Y5" s="100">
        <v>0</v>
      </c>
      <c r="Z5" s="100">
        <v>0</v>
      </c>
      <c r="AA5" s="100">
        <v>0.12</v>
      </c>
      <c r="AB5" s="100">
        <v>5.83</v>
      </c>
      <c r="AC5" s="171"/>
      <c r="AD5" s="171"/>
      <c r="AE5" s="171"/>
      <c r="AF5" s="171" t="s">
        <v>4869</v>
      </c>
      <c r="AG5" s="171" t="s">
        <v>4868</v>
      </c>
      <c r="AH5" s="171" t="s">
        <v>4868</v>
      </c>
      <c r="AI5" s="171" t="s">
        <v>4850</v>
      </c>
    </row>
    <row r="6" spans="1:35">
      <c r="A6" s="100">
        <v>537450</v>
      </c>
      <c r="B6" s="171"/>
      <c r="C6" s="100">
        <v>1</v>
      </c>
      <c r="D6" s="100">
        <v>0</v>
      </c>
      <c r="E6" s="100">
        <v>102</v>
      </c>
      <c r="F6" s="171"/>
      <c r="G6" s="171" t="s">
        <v>4864</v>
      </c>
      <c r="H6" s="171"/>
      <c r="I6" s="171" t="s">
        <v>4871</v>
      </c>
      <c r="J6" s="171"/>
      <c r="K6" s="171">
        <v>100</v>
      </c>
      <c r="L6" s="171">
        <v>101</v>
      </c>
      <c r="M6" s="171">
        <v>10101</v>
      </c>
      <c r="N6" s="171">
        <v>10104</v>
      </c>
      <c r="O6" s="171" t="s">
        <v>2206</v>
      </c>
      <c r="P6" s="171" t="s">
        <v>530</v>
      </c>
      <c r="Q6" s="171" t="s">
        <v>4853</v>
      </c>
      <c r="R6" s="171" t="s">
        <v>4848</v>
      </c>
      <c r="S6" s="100">
        <v>10373</v>
      </c>
      <c r="T6" s="100">
        <v>0</v>
      </c>
      <c r="U6" s="100">
        <v>0</v>
      </c>
      <c r="V6" s="100">
        <v>1</v>
      </c>
      <c r="W6" s="100">
        <v>30</v>
      </c>
      <c r="X6" s="100">
        <v>30</v>
      </c>
      <c r="Y6" s="100">
        <v>0</v>
      </c>
      <c r="Z6" s="100">
        <v>0</v>
      </c>
      <c r="AA6" s="100">
        <v>0</v>
      </c>
      <c r="AB6" s="100">
        <v>0.05</v>
      </c>
      <c r="AC6" s="171"/>
      <c r="AD6" s="171"/>
      <c r="AE6" s="171"/>
      <c r="AF6" s="171" t="s">
        <v>4852</v>
      </c>
      <c r="AG6" s="171" t="s">
        <v>4871</v>
      </c>
      <c r="AH6" s="171" t="s">
        <v>4871</v>
      </c>
      <c r="AI6" s="171" t="s">
        <v>4859</v>
      </c>
    </row>
    <row r="7" spans="1:35">
      <c r="A7" s="100">
        <v>537460</v>
      </c>
      <c r="B7" s="171"/>
      <c r="C7" s="100">
        <v>1</v>
      </c>
      <c r="D7" s="100">
        <v>0</v>
      </c>
      <c r="E7" s="100">
        <v>102</v>
      </c>
      <c r="F7" s="171"/>
      <c r="G7" s="171" t="s">
        <v>4864</v>
      </c>
      <c r="H7" s="171"/>
      <c r="I7" s="171" t="s">
        <v>4871</v>
      </c>
      <c r="J7" s="171"/>
      <c r="K7" s="171">
        <v>100</v>
      </c>
      <c r="L7" s="171">
        <v>101</v>
      </c>
      <c r="M7" s="171">
        <v>10101</v>
      </c>
      <c r="N7" s="171">
        <v>10104</v>
      </c>
      <c r="O7" s="171" t="s">
        <v>2202</v>
      </c>
      <c r="P7" s="171" t="s">
        <v>532</v>
      </c>
      <c r="Q7" s="171" t="s">
        <v>4853</v>
      </c>
      <c r="R7" s="171" t="s">
        <v>4848</v>
      </c>
      <c r="S7" s="100">
        <v>10413</v>
      </c>
      <c r="T7" s="100">
        <v>0</v>
      </c>
      <c r="U7" s="100">
        <v>0</v>
      </c>
      <c r="V7" s="100">
        <v>1</v>
      </c>
      <c r="W7" s="100">
        <v>60</v>
      </c>
      <c r="X7" s="100">
        <v>60</v>
      </c>
      <c r="Y7" s="100">
        <v>0</v>
      </c>
      <c r="Z7" s="100">
        <v>0</v>
      </c>
      <c r="AA7" s="100">
        <v>0.01</v>
      </c>
      <c r="AB7" s="100">
        <v>0.5</v>
      </c>
      <c r="AC7" s="171"/>
      <c r="AD7" s="171"/>
      <c r="AE7" s="171"/>
      <c r="AF7" s="171" t="s">
        <v>4852</v>
      </c>
      <c r="AG7" s="171" t="s">
        <v>4871</v>
      </c>
      <c r="AH7" s="171" t="s">
        <v>4871</v>
      </c>
      <c r="AI7" s="171" t="s">
        <v>4859</v>
      </c>
    </row>
    <row r="8" spans="1:35">
      <c r="A8" s="100">
        <v>537461</v>
      </c>
      <c r="B8" s="171"/>
      <c r="C8" s="100">
        <v>1</v>
      </c>
      <c r="D8" s="100">
        <v>0</v>
      </c>
      <c r="E8" s="100">
        <v>102</v>
      </c>
      <c r="F8" s="171"/>
      <c r="G8" s="171" t="s">
        <v>4867</v>
      </c>
      <c r="H8" s="171"/>
      <c r="I8" s="171" t="s">
        <v>4871</v>
      </c>
      <c r="J8" s="171"/>
      <c r="K8" s="171">
        <v>100</v>
      </c>
      <c r="L8" s="171">
        <v>101</v>
      </c>
      <c r="M8" s="171">
        <v>10101</v>
      </c>
      <c r="N8" s="171">
        <v>10104</v>
      </c>
      <c r="O8" s="171" t="s">
        <v>2204</v>
      </c>
      <c r="P8" s="171" t="s">
        <v>533</v>
      </c>
      <c r="Q8" s="171" t="s">
        <v>4853</v>
      </c>
      <c r="R8" s="171" t="s">
        <v>4848</v>
      </c>
      <c r="S8" s="100">
        <v>10417</v>
      </c>
      <c r="T8" s="100">
        <v>0</v>
      </c>
      <c r="U8" s="100">
        <v>0</v>
      </c>
      <c r="V8" s="100">
        <v>1</v>
      </c>
      <c r="W8" s="100">
        <v>30</v>
      </c>
      <c r="X8" s="100">
        <v>30</v>
      </c>
      <c r="Y8" s="100">
        <v>0</v>
      </c>
      <c r="Z8" s="100">
        <v>0</v>
      </c>
      <c r="AA8" s="100">
        <v>0.01</v>
      </c>
      <c r="AB8" s="100">
        <v>0.25</v>
      </c>
      <c r="AC8" s="171"/>
      <c r="AD8" s="171"/>
      <c r="AE8" s="171"/>
      <c r="AF8" s="171" t="s">
        <v>4852</v>
      </c>
      <c r="AG8" s="171" t="s">
        <v>4871</v>
      </c>
      <c r="AH8" s="171" t="s">
        <v>4871</v>
      </c>
      <c r="AI8" s="171" t="s">
        <v>4859</v>
      </c>
    </row>
    <row r="9" spans="1:35">
      <c r="A9" s="100">
        <v>537660</v>
      </c>
      <c r="B9" s="171"/>
      <c r="C9" s="100">
        <v>1</v>
      </c>
      <c r="D9" s="100">
        <v>0</v>
      </c>
      <c r="E9" s="100">
        <v>1025</v>
      </c>
      <c r="F9" s="171"/>
      <c r="G9" s="171" t="s">
        <v>5272</v>
      </c>
      <c r="H9" s="171"/>
      <c r="I9" s="171" t="s">
        <v>4872</v>
      </c>
      <c r="J9" s="171"/>
      <c r="K9" s="171">
        <v>100</v>
      </c>
      <c r="L9" s="171">
        <v>101</v>
      </c>
      <c r="M9" s="171">
        <v>10101</v>
      </c>
      <c r="N9" s="171">
        <v>10104</v>
      </c>
      <c r="O9" s="171" t="s">
        <v>4450</v>
      </c>
      <c r="P9" s="171" t="s">
        <v>4803</v>
      </c>
      <c r="Q9" s="171" t="s">
        <v>4853</v>
      </c>
      <c r="R9" s="171" t="s">
        <v>4848</v>
      </c>
      <c r="S9" s="100">
        <v>13798</v>
      </c>
      <c r="T9" s="100">
        <v>0</v>
      </c>
      <c r="U9" s="100">
        <v>0</v>
      </c>
      <c r="V9" s="100">
        <v>1</v>
      </c>
      <c r="W9" s="100">
        <v>70</v>
      </c>
      <c r="X9" s="100">
        <v>70</v>
      </c>
      <c r="Y9" s="100">
        <v>0</v>
      </c>
      <c r="Z9" s="100">
        <v>0</v>
      </c>
      <c r="AA9" s="100">
        <v>0.01</v>
      </c>
      <c r="AB9" s="100">
        <v>0.57999999999999996</v>
      </c>
      <c r="AC9" s="171"/>
      <c r="AD9" s="171"/>
      <c r="AE9" s="171"/>
      <c r="AF9" s="171" t="s">
        <v>4858</v>
      </c>
      <c r="AG9" s="171" t="s">
        <v>4872</v>
      </c>
      <c r="AH9" s="171" t="s">
        <v>4872</v>
      </c>
      <c r="AI9" s="171" t="s">
        <v>4850</v>
      </c>
    </row>
    <row r="10" spans="1:35">
      <c r="A10" s="100">
        <v>537661</v>
      </c>
      <c r="B10" s="171"/>
      <c r="C10" s="100">
        <v>1</v>
      </c>
      <c r="D10" s="100">
        <v>0</v>
      </c>
      <c r="E10" s="100">
        <v>102</v>
      </c>
      <c r="F10" s="171"/>
      <c r="G10" s="171" t="s">
        <v>5272</v>
      </c>
      <c r="H10" s="171"/>
      <c r="I10" s="171" t="s">
        <v>4872</v>
      </c>
      <c r="J10" s="171"/>
      <c r="K10" s="171">
        <v>100</v>
      </c>
      <c r="L10" s="171">
        <v>101</v>
      </c>
      <c r="M10" s="171">
        <v>10101</v>
      </c>
      <c r="N10" s="171">
        <v>10104</v>
      </c>
      <c r="O10" s="171" t="s">
        <v>4449</v>
      </c>
      <c r="P10" s="171" t="s">
        <v>4805</v>
      </c>
      <c r="Q10" s="171" t="s">
        <v>4853</v>
      </c>
      <c r="R10" s="171" t="s">
        <v>4848</v>
      </c>
      <c r="S10" s="100">
        <v>13796</v>
      </c>
      <c r="T10" s="100">
        <v>0</v>
      </c>
      <c r="U10" s="100">
        <v>0</v>
      </c>
      <c r="V10" s="100">
        <v>1</v>
      </c>
      <c r="W10" s="100">
        <v>70</v>
      </c>
      <c r="X10" s="100">
        <v>70</v>
      </c>
      <c r="Y10" s="100">
        <v>0</v>
      </c>
      <c r="Z10" s="100">
        <v>0</v>
      </c>
      <c r="AA10" s="100">
        <v>0.01</v>
      </c>
      <c r="AB10" s="100">
        <v>0.57999999999999996</v>
      </c>
      <c r="AC10" s="171"/>
      <c r="AD10" s="171"/>
      <c r="AE10" s="171"/>
      <c r="AF10" s="171" t="s">
        <v>4858</v>
      </c>
      <c r="AG10" s="171" t="s">
        <v>4872</v>
      </c>
      <c r="AH10" s="171" t="s">
        <v>4872</v>
      </c>
      <c r="AI10" s="171" t="s">
        <v>4850</v>
      </c>
    </row>
    <row r="11" spans="1:35">
      <c r="A11" s="100">
        <v>537723</v>
      </c>
      <c r="B11" s="171"/>
      <c r="C11" s="100">
        <v>1</v>
      </c>
      <c r="D11" s="100">
        <v>0</v>
      </c>
      <c r="E11" s="100">
        <v>101</v>
      </c>
      <c r="F11" s="171"/>
      <c r="G11" s="171" t="s">
        <v>5272</v>
      </c>
      <c r="H11" s="171"/>
      <c r="I11" s="171" t="s">
        <v>4874</v>
      </c>
      <c r="J11" s="171"/>
      <c r="K11" s="171">
        <v>100</v>
      </c>
      <c r="L11" s="171">
        <v>101</v>
      </c>
      <c r="M11" s="171">
        <v>10101</v>
      </c>
      <c r="N11" s="171">
        <v>10104</v>
      </c>
      <c r="O11" s="171" t="s">
        <v>2203</v>
      </c>
      <c r="P11" s="171" t="s">
        <v>4810</v>
      </c>
      <c r="Q11" s="171" t="s">
        <v>4853</v>
      </c>
      <c r="R11" s="171" t="s">
        <v>4848</v>
      </c>
      <c r="S11" s="100">
        <v>10415</v>
      </c>
      <c r="T11" s="100">
        <v>0</v>
      </c>
      <c r="U11" s="100">
        <v>0</v>
      </c>
      <c r="V11" s="100">
        <v>1</v>
      </c>
      <c r="W11" s="100">
        <v>20</v>
      </c>
      <c r="X11" s="100">
        <v>20</v>
      </c>
      <c r="Y11" s="100">
        <v>0</v>
      </c>
      <c r="Z11" s="100">
        <v>0</v>
      </c>
      <c r="AA11" s="100">
        <v>0.01</v>
      </c>
      <c r="AB11" s="100">
        <v>0.17</v>
      </c>
      <c r="AC11" s="171"/>
      <c r="AD11" s="171"/>
      <c r="AE11" s="171"/>
      <c r="AF11" s="171" t="s">
        <v>4852</v>
      </c>
      <c r="AG11" s="171" t="s">
        <v>4874</v>
      </c>
      <c r="AH11" s="171" t="s">
        <v>4874</v>
      </c>
      <c r="AI11" s="171" t="s">
        <v>4859</v>
      </c>
    </row>
    <row r="12" spans="1:35">
      <c r="A12" s="100">
        <v>539774</v>
      </c>
      <c r="B12" s="171"/>
      <c r="C12" s="100">
        <v>1</v>
      </c>
      <c r="D12" s="100">
        <v>0</v>
      </c>
      <c r="E12" s="100">
        <v>0</v>
      </c>
      <c r="F12" s="171"/>
      <c r="G12" s="171"/>
      <c r="H12" s="171"/>
      <c r="I12" s="171" t="s">
        <v>5052</v>
      </c>
      <c r="J12" s="171"/>
      <c r="K12" s="171">
        <v>100</v>
      </c>
      <c r="L12" s="171">
        <v>101</v>
      </c>
      <c r="M12" s="171">
        <v>10101</v>
      </c>
      <c r="N12" s="171">
        <v>11402</v>
      </c>
      <c r="O12" s="171" t="s">
        <v>874</v>
      </c>
      <c r="P12" s="171" t="s">
        <v>5038</v>
      </c>
      <c r="Q12" s="171" t="s">
        <v>4855</v>
      </c>
      <c r="R12" s="171" t="s">
        <v>4848</v>
      </c>
      <c r="S12" s="100">
        <v>13330</v>
      </c>
      <c r="T12" s="100">
        <v>0</v>
      </c>
      <c r="U12" s="100">
        <v>0</v>
      </c>
      <c r="V12" s="100">
        <v>1</v>
      </c>
      <c r="W12" s="100">
        <v>8</v>
      </c>
      <c r="X12" s="100">
        <v>0</v>
      </c>
      <c r="Y12" s="100">
        <v>8</v>
      </c>
      <c r="Z12" s="100">
        <v>0</v>
      </c>
      <c r="AA12" s="100">
        <v>0.13</v>
      </c>
      <c r="AB12" s="100">
        <v>1.07</v>
      </c>
      <c r="AC12" s="171"/>
      <c r="AD12" s="171"/>
      <c r="AE12" s="171"/>
      <c r="AF12" s="171" t="s">
        <v>4869</v>
      </c>
      <c r="AG12" s="171" t="s">
        <v>5052</v>
      </c>
      <c r="AH12" s="171" t="s">
        <v>5052</v>
      </c>
      <c r="AI12" s="171" t="s">
        <v>4863</v>
      </c>
    </row>
    <row r="13" spans="1:35">
      <c r="A13" s="100">
        <v>539780</v>
      </c>
      <c r="B13" s="171"/>
      <c r="C13" s="100">
        <v>1</v>
      </c>
      <c r="D13" s="100">
        <v>0</v>
      </c>
      <c r="E13" s="100">
        <v>11</v>
      </c>
      <c r="F13" s="171"/>
      <c r="G13" s="171" t="s">
        <v>5755</v>
      </c>
      <c r="H13" s="171"/>
      <c r="I13" s="171" t="s">
        <v>5052</v>
      </c>
      <c r="J13" s="171"/>
      <c r="K13" s="171">
        <v>100</v>
      </c>
      <c r="L13" s="171">
        <v>101</v>
      </c>
      <c r="M13" s="171">
        <v>10101</v>
      </c>
      <c r="N13" s="171">
        <v>10104</v>
      </c>
      <c r="O13" s="171" t="s">
        <v>660</v>
      </c>
      <c r="P13" s="171" t="s">
        <v>5044</v>
      </c>
      <c r="Q13" s="171" t="s">
        <v>4853</v>
      </c>
      <c r="R13" s="171" t="s">
        <v>4848</v>
      </c>
      <c r="S13" s="100">
        <v>8621</v>
      </c>
      <c r="T13" s="100">
        <v>0</v>
      </c>
      <c r="U13" s="100">
        <v>0</v>
      </c>
      <c r="V13" s="100">
        <v>1</v>
      </c>
      <c r="W13" s="100">
        <v>8</v>
      </c>
      <c r="X13" s="100">
        <v>8</v>
      </c>
      <c r="Y13" s="100">
        <v>0</v>
      </c>
      <c r="Z13" s="100">
        <v>0</v>
      </c>
      <c r="AA13" s="100">
        <v>0.23</v>
      </c>
      <c r="AB13" s="100">
        <v>1.87</v>
      </c>
      <c r="AC13" s="171"/>
      <c r="AD13" s="171"/>
      <c r="AE13" s="171"/>
      <c r="AF13" s="171" t="s">
        <v>4869</v>
      </c>
      <c r="AG13" s="171" t="s">
        <v>5052</v>
      </c>
      <c r="AH13" s="171" t="s">
        <v>5052</v>
      </c>
      <c r="AI13" s="171" t="s">
        <v>4859</v>
      </c>
    </row>
    <row r="14" spans="1:35">
      <c r="A14" s="100">
        <v>540607</v>
      </c>
      <c r="B14" s="171"/>
      <c r="C14" s="100">
        <v>1</v>
      </c>
      <c r="D14" s="100">
        <v>0</v>
      </c>
      <c r="E14" s="100">
        <v>114</v>
      </c>
      <c r="F14" s="171"/>
      <c r="G14" s="171" t="s">
        <v>5271</v>
      </c>
      <c r="H14" s="171"/>
      <c r="I14" s="171" t="s">
        <v>5227</v>
      </c>
      <c r="J14" s="171"/>
      <c r="K14" s="171">
        <v>100</v>
      </c>
      <c r="L14" s="171">
        <v>101</v>
      </c>
      <c r="M14" s="171">
        <v>10101</v>
      </c>
      <c r="N14" s="171">
        <v>10104</v>
      </c>
      <c r="O14" s="171" t="s">
        <v>2253</v>
      </c>
      <c r="P14" s="171" t="s">
        <v>4787</v>
      </c>
      <c r="Q14" s="171" t="s">
        <v>4853</v>
      </c>
      <c r="R14" s="171" t="s">
        <v>4848</v>
      </c>
      <c r="S14" s="100">
        <v>11288</v>
      </c>
      <c r="T14" s="100">
        <v>0</v>
      </c>
      <c r="U14" s="100">
        <v>0</v>
      </c>
      <c r="V14" s="100">
        <v>1</v>
      </c>
      <c r="W14" s="100">
        <v>36</v>
      </c>
      <c r="X14" s="100">
        <v>36</v>
      </c>
      <c r="Y14" s="100">
        <v>0</v>
      </c>
      <c r="Z14" s="100">
        <v>0</v>
      </c>
      <c r="AA14" s="100">
        <v>0.03</v>
      </c>
      <c r="AB14" s="100">
        <v>0.9</v>
      </c>
      <c r="AC14" s="171"/>
      <c r="AD14" s="171"/>
      <c r="AE14" s="171"/>
      <c r="AF14" s="171" t="s">
        <v>4866</v>
      </c>
      <c r="AG14" s="171" t="s">
        <v>5227</v>
      </c>
      <c r="AH14" s="171" t="s">
        <v>5227</v>
      </c>
      <c r="AI14" s="171" t="s">
        <v>4850</v>
      </c>
    </row>
    <row r="15" spans="1:35">
      <c r="A15" s="100">
        <v>545319</v>
      </c>
      <c r="B15" s="171"/>
      <c r="C15" s="100">
        <v>1</v>
      </c>
      <c r="D15" s="100">
        <v>0</v>
      </c>
      <c r="E15" s="100">
        <v>2</v>
      </c>
      <c r="F15" s="171"/>
      <c r="G15" s="171" t="s">
        <v>5339</v>
      </c>
      <c r="H15" s="171"/>
      <c r="I15" s="171" t="s">
        <v>5272</v>
      </c>
      <c r="J15" s="171"/>
      <c r="K15" s="171">
        <v>100</v>
      </c>
      <c r="L15" s="171">
        <v>101</v>
      </c>
      <c r="M15" s="171">
        <v>10101</v>
      </c>
      <c r="N15" s="171">
        <v>22001</v>
      </c>
      <c r="O15" s="171" t="s">
        <v>4213</v>
      </c>
      <c r="P15" s="171" t="s">
        <v>5263</v>
      </c>
      <c r="Q15" s="171" t="s">
        <v>4853</v>
      </c>
      <c r="R15" s="171" t="s">
        <v>4848</v>
      </c>
      <c r="S15" s="100">
        <v>5329</v>
      </c>
      <c r="T15" s="100">
        <v>0</v>
      </c>
      <c r="U15" s="100">
        <v>0</v>
      </c>
      <c r="V15" s="100">
        <v>1</v>
      </c>
      <c r="W15" s="100">
        <v>30</v>
      </c>
      <c r="X15" s="100">
        <v>30</v>
      </c>
      <c r="Y15" s="100">
        <v>0</v>
      </c>
      <c r="Z15" s="100">
        <v>0</v>
      </c>
      <c r="AA15" s="100">
        <v>7.0000000000000007E-2</v>
      </c>
      <c r="AB15" s="100">
        <v>2</v>
      </c>
      <c r="AC15" s="171"/>
      <c r="AD15" s="171"/>
      <c r="AE15" s="171"/>
      <c r="AF15" s="171" t="s">
        <v>4849</v>
      </c>
      <c r="AG15" s="171" t="s">
        <v>5272</v>
      </c>
      <c r="AH15" s="171" t="s">
        <v>5272</v>
      </c>
      <c r="AI15" s="171" t="s">
        <v>4850</v>
      </c>
    </row>
    <row r="16" spans="1:35">
      <c r="A16" s="100">
        <v>545322</v>
      </c>
      <c r="B16" s="171"/>
      <c r="C16" s="100">
        <v>1</v>
      </c>
      <c r="D16" s="100">
        <v>0</v>
      </c>
      <c r="E16" s="100">
        <v>2</v>
      </c>
      <c r="F16" s="171"/>
      <c r="G16" s="171" t="s">
        <v>5339</v>
      </c>
      <c r="H16" s="171"/>
      <c r="I16" s="171" t="s">
        <v>5272</v>
      </c>
      <c r="J16" s="171"/>
      <c r="K16" s="171">
        <v>100</v>
      </c>
      <c r="L16" s="171">
        <v>101</v>
      </c>
      <c r="M16" s="171">
        <v>10101</v>
      </c>
      <c r="N16" s="171">
        <v>10104</v>
      </c>
      <c r="O16" s="171" t="s">
        <v>4327</v>
      </c>
      <c r="P16" s="171" t="s">
        <v>5261</v>
      </c>
      <c r="Q16" s="171" t="s">
        <v>4853</v>
      </c>
      <c r="R16" s="171" t="s">
        <v>4848</v>
      </c>
      <c r="S16" s="100">
        <v>5302</v>
      </c>
      <c r="T16" s="100">
        <v>0</v>
      </c>
      <c r="U16" s="100">
        <v>0</v>
      </c>
      <c r="V16" s="100">
        <v>1</v>
      </c>
      <c r="W16" s="100">
        <v>40</v>
      </c>
      <c r="X16" s="100">
        <v>40</v>
      </c>
      <c r="Y16" s="100">
        <v>0</v>
      </c>
      <c r="Z16" s="100">
        <v>0</v>
      </c>
      <c r="AA16" s="100">
        <v>7.0000000000000007E-2</v>
      </c>
      <c r="AB16" s="100">
        <v>2.67</v>
      </c>
      <c r="AC16" s="171"/>
      <c r="AD16" s="171"/>
      <c r="AE16" s="171"/>
      <c r="AF16" s="171" t="s">
        <v>4849</v>
      </c>
      <c r="AG16" s="171" t="s">
        <v>5272</v>
      </c>
      <c r="AH16" s="171" t="s">
        <v>5272</v>
      </c>
      <c r="AI16" s="171" t="s">
        <v>4850</v>
      </c>
    </row>
    <row r="17" spans="1:35">
      <c r="A17" s="100">
        <v>548768</v>
      </c>
      <c r="B17" s="171"/>
      <c r="C17" s="100">
        <v>1</v>
      </c>
      <c r="D17" s="100">
        <v>0</v>
      </c>
      <c r="E17" s="100">
        <v>12</v>
      </c>
      <c r="F17" s="171"/>
      <c r="G17" s="171" t="s">
        <v>5756</v>
      </c>
      <c r="H17" s="171"/>
      <c r="I17" s="171" t="s">
        <v>5340</v>
      </c>
      <c r="J17" s="171"/>
      <c r="K17" s="171">
        <v>100</v>
      </c>
      <c r="L17" s="171">
        <v>101</v>
      </c>
      <c r="M17" s="171">
        <v>10101</v>
      </c>
      <c r="N17" s="171">
        <v>10104</v>
      </c>
      <c r="O17" s="171" t="s">
        <v>817</v>
      </c>
      <c r="P17" s="171" t="s">
        <v>514</v>
      </c>
      <c r="Q17" s="171" t="s">
        <v>4847</v>
      </c>
      <c r="R17" s="171" t="s">
        <v>4848</v>
      </c>
      <c r="S17" s="100">
        <v>13908</v>
      </c>
      <c r="T17" s="100">
        <v>0</v>
      </c>
      <c r="U17" s="100">
        <v>0</v>
      </c>
      <c r="V17" s="100">
        <v>1</v>
      </c>
      <c r="W17" s="100">
        <v>20</v>
      </c>
      <c r="X17" s="100">
        <v>20</v>
      </c>
      <c r="Y17" s="100">
        <v>0</v>
      </c>
      <c r="Z17" s="100">
        <v>0</v>
      </c>
      <c r="AA17" s="100">
        <v>0.08</v>
      </c>
      <c r="AB17" s="100">
        <v>1.67</v>
      </c>
      <c r="AC17" s="171"/>
      <c r="AD17" s="171"/>
      <c r="AE17" s="171"/>
      <c r="AF17" s="171" t="s">
        <v>4862</v>
      </c>
      <c r="AG17" s="171" t="s">
        <v>5340</v>
      </c>
      <c r="AH17" s="171" t="s">
        <v>5340</v>
      </c>
      <c r="AI17" s="171" t="s">
        <v>4850</v>
      </c>
    </row>
    <row r="18" spans="1:35">
      <c r="A18" s="100">
        <v>552397</v>
      </c>
      <c r="B18" s="171"/>
      <c r="C18" s="100">
        <v>1</v>
      </c>
      <c r="D18" s="100">
        <v>0</v>
      </c>
      <c r="E18" s="100">
        <v>114</v>
      </c>
      <c r="F18" s="171"/>
      <c r="G18" s="171" t="s">
        <v>6157</v>
      </c>
      <c r="H18" s="171"/>
      <c r="I18" s="171" t="s">
        <v>5757</v>
      </c>
      <c r="J18" s="171"/>
      <c r="K18" s="171">
        <v>100</v>
      </c>
      <c r="L18" s="171">
        <v>101</v>
      </c>
      <c r="M18" s="171">
        <v>10101</v>
      </c>
      <c r="N18" s="171">
        <v>10104</v>
      </c>
      <c r="O18" s="171" t="s">
        <v>4273</v>
      </c>
      <c r="P18" s="171" t="s">
        <v>5651</v>
      </c>
      <c r="Q18" s="171" t="s">
        <v>4853</v>
      </c>
      <c r="R18" s="171" t="s">
        <v>4848</v>
      </c>
      <c r="S18" s="100">
        <v>5181</v>
      </c>
      <c r="T18" s="100">
        <v>0</v>
      </c>
      <c r="U18" s="100">
        <v>0</v>
      </c>
      <c r="V18" s="100">
        <v>1</v>
      </c>
      <c r="W18" s="100">
        <v>60</v>
      </c>
      <c r="X18" s="100">
        <v>60</v>
      </c>
      <c r="Y18" s="100">
        <v>0</v>
      </c>
      <c r="Z18" s="100">
        <v>0</v>
      </c>
      <c r="AA18" s="100">
        <v>0.03</v>
      </c>
      <c r="AB18" s="100">
        <v>1.5</v>
      </c>
      <c r="AC18" s="171"/>
      <c r="AD18" s="171"/>
      <c r="AE18" s="171"/>
      <c r="AF18" s="171" t="s">
        <v>4858</v>
      </c>
      <c r="AG18" s="171" t="s">
        <v>5757</v>
      </c>
      <c r="AH18" s="171" t="s">
        <v>5757</v>
      </c>
      <c r="AI18" s="171" t="s">
        <v>4850</v>
      </c>
    </row>
    <row r="19" spans="1:35">
      <c r="A19" s="100">
        <v>552949</v>
      </c>
      <c r="B19" s="171"/>
      <c r="C19" s="100">
        <v>1</v>
      </c>
      <c r="D19" s="100">
        <v>0</v>
      </c>
      <c r="E19" s="100">
        <v>0</v>
      </c>
      <c r="F19" s="171"/>
      <c r="G19" s="171"/>
      <c r="H19" s="171"/>
      <c r="I19" s="171" t="s">
        <v>5758</v>
      </c>
      <c r="J19" s="171"/>
      <c r="K19" s="171">
        <v>100</v>
      </c>
      <c r="L19" s="171">
        <v>101</v>
      </c>
      <c r="M19" s="171">
        <v>10101</v>
      </c>
      <c r="N19" s="171">
        <v>10104</v>
      </c>
      <c r="O19" s="171" t="s">
        <v>4294</v>
      </c>
      <c r="P19" s="171" t="s">
        <v>5667</v>
      </c>
      <c r="Q19" s="171" t="s">
        <v>4855</v>
      </c>
      <c r="R19" s="171" t="s">
        <v>4848</v>
      </c>
      <c r="S19" s="100">
        <v>7855</v>
      </c>
      <c r="T19" s="100">
        <v>0</v>
      </c>
      <c r="U19" s="100">
        <v>0</v>
      </c>
      <c r="V19" s="100">
        <v>1</v>
      </c>
      <c r="W19" s="100">
        <v>20</v>
      </c>
      <c r="X19" s="100">
        <v>0</v>
      </c>
      <c r="Y19" s="100">
        <v>20</v>
      </c>
      <c r="Z19" s="100">
        <v>0</v>
      </c>
      <c r="AA19" s="100">
        <v>0.01</v>
      </c>
      <c r="AB19" s="100">
        <v>0.17</v>
      </c>
      <c r="AC19" s="171"/>
      <c r="AD19" s="171"/>
      <c r="AE19" s="171"/>
      <c r="AF19" s="171" t="s">
        <v>4849</v>
      </c>
      <c r="AG19" s="171" t="s">
        <v>5758</v>
      </c>
      <c r="AH19" s="171" t="s">
        <v>5758</v>
      </c>
      <c r="AI19" s="171" t="s">
        <v>4850</v>
      </c>
    </row>
    <row r="20" spans="1:35">
      <c r="A20" s="100">
        <v>553072</v>
      </c>
      <c r="B20" s="171"/>
      <c r="C20" s="100">
        <v>1</v>
      </c>
      <c r="D20" s="100">
        <v>0</v>
      </c>
      <c r="E20" s="100">
        <v>114</v>
      </c>
      <c r="F20" s="171"/>
      <c r="G20" s="171" t="s">
        <v>6158</v>
      </c>
      <c r="H20" s="171"/>
      <c r="I20" s="171" t="s">
        <v>5759</v>
      </c>
      <c r="J20" s="171"/>
      <c r="K20" s="171">
        <v>100</v>
      </c>
      <c r="L20" s="171">
        <v>101</v>
      </c>
      <c r="M20" s="171">
        <v>10101</v>
      </c>
      <c r="N20" s="171">
        <v>10104</v>
      </c>
      <c r="O20" s="171" t="s">
        <v>4311</v>
      </c>
      <c r="P20" s="171" t="s">
        <v>5690</v>
      </c>
      <c r="Q20" s="171" t="s">
        <v>4853</v>
      </c>
      <c r="R20" s="171" t="s">
        <v>4848</v>
      </c>
      <c r="S20" s="100">
        <v>2938</v>
      </c>
      <c r="T20" s="100">
        <v>0</v>
      </c>
      <c r="U20" s="100">
        <v>0</v>
      </c>
      <c r="V20" s="100">
        <v>1</v>
      </c>
      <c r="W20" s="100">
        <v>60</v>
      </c>
      <c r="X20" s="100">
        <v>60</v>
      </c>
      <c r="Y20" s="100">
        <v>0</v>
      </c>
      <c r="Z20" s="100">
        <v>0</v>
      </c>
      <c r="AA20" s="100">
        <v>0</v>
      </c>
      <c r="AB20" s="100">
        <v>0.05</v>
      </c>
      <c r="AC20" s="171"/>
      <c r="AD20" s="171"/>
      <c r="AE20" s="171"/>
      <c r="AF20" s="171" t="s">
        <v>4870</v>
      </c>
      <c r="AG20" s="171" t="s">
        <v>5759</v>
      </c>
      <c r="AH20" s="171" t="s">
        <v>5759</v>
      </c>
      <c r="AI20" s="171" t="s">
        <v>4850</v>
      </c>
    </row>
    <row r="21" spans="1:35">
      <c r="A21" s="100">
        <v>555305</v>
      </c>
      <c r="B21" s="171"/>
      <c r="C21" s="100">
        <v>1</v>
      </c>
      <c r="D21" s="100">
        <v>0</v>
      </c>
      <c r="E21" s="100">
        <v>101</v>
      </c>
      <c r="F21" s="171"/>
      <c r="G21" s="171" t="s">
        <v>6159</v>
      </c>
      <c r="H21" s="171"/>
      <c r="I21" s="171" t="s">
        <v>5760</v>
      </c>
      <c r="J21" s="171"/>
      <c r="K21" s="171">
        <v>100</v>
      </c>
      <c r="L21" s="171">
        <v>101</v>
      </c>
      <c r="M21" s="171">
        <v>10101</v>
      </c>
      <c r="N21" s="171">
        <v>10104</v>
      </c>
      <c r="O21" s="171" t="s">
        <v>4154</v>
      </c>
      <c r="P21" s="171" t="s">
        <v>5696</v>
      </c>
      <c r="Q21" s="171" t="s">
        <v>4853</v>
      </c>
      <c r="R21" s="171" t="s">
        <v>4848</v>
      </c>
      <c r="S21" s="100">
        <v>5278</v>
      </c>
      <c r="T21" s="100">
        <v>0</v>
      </c>
      <c r="U21" s="100">
        <v>0</v>
      </c>
      <c r="V21" s="100">
        <v>1</v>
      </c>
      <c r="W21" s="100">
        <v>40</v>
      </c>
      <c r="X21" s="100">
        <v>40</v>
      </c>
      <c r="Y21" s="100">
        <v>0</v>
      </c>
      <c r="Z21" s="100">
        <v>0</v>
      </c>
      <c r="AA21" s="100">
        <v>0.06</v>
      </c>
      <c r="AB21" s="100">
        <v>2.33</v>
      </c>
      <c r="AC21" s="171"/>
      <c r="AD21" s="171"/>
      <c r="AE21" s="171"/>
      <c r="AF21" s="171" t="s">
        <v>4858</v>
      </c>
      <c r="AG21" s="171" t="s">
        <v>5760</v>
      </c>
      <c r="AH21" s="171" t="s">
        <v>5760</v>
      </c>
      <c r="AI21" s="171" t="s">
        <v>4850</v>
      </c>
    </row>
    <row r="22" spans="1:35">
      <c r="A22" s="100">
        <v>555308</v>
      </c>
      <c r="B22" s="171"/>
      <c r="C22" s="100">
        <v>1</v>
      </c>
      <c r="D22" s="100">
        <v>0</v>
      </c>
      <c r="E22" s="100">
        <v>101</v>
      </c>
      <c r="F22" s="171"/>
      <c r="G22" s="171" t="s">
        <v>6159</v>
      </c>
      <c r="H22" s="171"/>
      <c r="I22" s="171" t="s">
        <v>5760</v>
      </c>
      <c r="J22" s="171"/>
      <c r="K22" s="171">
        <v>100</v>
      </c>
      <c r="L22" s="171">
        <v>101</v>
      </c>
      <c r="M22" s="171">
        <v>10101</v>
      </c>
      <c r="N22" s="171">
        <v>10104</v>
      </c>
      <c r="O22" s="171" t="s">
        <v>4154</v>
      </c>
      <c r="P22" s="171" t="s">
        <v>5696</v>
      </c>
      <c r="Q22" s="171" t="s">
        <v>4853</v>
      </c>
      <c r="R22" s="171" t="s">
        <v>4848</v>
      </c>
      <c r="S22" s="100">
        <v>5277</v>
      </c>
      <c r="T22" s="100">
        <v>0</v>
      </c>
      <c r="U22" s="100">
        <v>0</v>
      </c>
      <c r="V22" s="100">
        <v>1</v>
      </c>
      <c r="W22" s="100">
        <v>40</v>
      </c>
      <c r="X22" s="100">
        <v>40</v>
      </c>
      <c r="Y22" s="100">
        <v>0</v>
      </c>
      <c r="Z22" s="100">
        <v>0</v>
      </c>
      <c r="AA22" s="100">
        <v>0.06</v>
      </c>
      <c r="AB22" s="100">
        <v>2.33</v>
      </c>
      <c r="AC22" s="171"/>
      <c r="AD22" s="171"/>
      <c r="AE22" s="171"/>
      <c r="AF22" s="171" t="s">
        <v>4858</v>
      </c>
      <c r="AG22" s="171" t="s">
        <v>5760</v>
      </c>
      <c r="AH22" s="171" t="s">
        <v>5760</v>
      </c>
      <c r="AI22" s="171" t="s">
        <v>4850</v>
      </c>
    </row>
    <row r="23" spans="1:35">
      <c r="A23" s="100">
        <v>555315</v>
      </c>
      <c r="B23" s="171"/>
      <c r="C23" s="100">
        <v>1</v>
      </c>
      <c r="D23" s="100">
        <v>0</v>
      </c>
      <c r="E23" s="100">
        <v>0</v>
      </c>
      <c r="F23" s="171"/>
      <c r="G23" s="171"/>
      <c r="H23" s="171"/>
      <c r="I23" s="171" t="s">
        <v>5760</v>
      </c>
      <c r="J23" s="171"/>
      <c r="K23" s="171">
        <v>100</v>
      </c>
      <c r="L23" s="171">
        <v>101</v>
      </c>
      <c r="M23" s="171">
        <v>10101</v>
      </c>
      <c r="N23" s="171">
        <v>10104</v>
      </c>
      <c r="O23" s="171" t="s">
        <v>4318</v>
      </c>
      <c r="P23" s="171" t="s">
        <v>5704</v>
      </c>
      <c r="Q23" s="171"/>
      <c r="R23" s="171" t="s">
        <v>4848</v>
      </c>
      <c r="S23" s="100">
        <v>14364</v>
      </c>
      <c r="T23" s="100">
        <v>0</v>
      </c>
      <c r="U23" s="100">
        <v>0</v>
      </c>
      <c r="V23" s="100">
        <v>1</v>
      </c>
      <c r="W23" s="100">
        <v>40</v>
      </c>
      <c r="X23" s="100">
        <v>0</v>
      </c>
      <c r="Y23" s="100">
        <v>40</v>
      </c>
      <c r="Z23" s="100">
        <v>0</v>
      </c>
      <c r="AA23" s="100">
        <v>0.01</v>
      </c>
      <c r="AB23" s="100">
        <v>0.33</v>
      </c>
      <c r="AC23" s="171"/>
      <c r="AD23" s="171"/>
      <c r="AE23" s="171"/>
      <c r="AF23" s="171" t="s">
        <v>4849</v>
      </c>
      <c r="AG23" s="171" t="s">
        <v>5760</v>
      </c>
      <c r="AH23" s="171" t="s">
        <v>5760</v>
      </c>
      <c r="AI23" s="171" t="s">
        <v>4850</v>
      </c>
    </row>
    <row r="24" spans="1:35">
      <c r="A24" s="100">
        <v>555317</v>
      </c>
      <c r="B24" s="171"/>
      <c r="C24" s="100">
        <v>1</v>
      </c>
      <c r="D24" s="100">
        <v>0</v>
      </c>
      <c r="E24" s="100">
        <v>101</v>
      </c>
      <c r="F24" s="171"/>
      <c r="G24" s="171" t="s">
        <v>6160</v>
      </c>
      <c r="H24" s="171"/>
      <c r="I24" s="171" t="s">
        <v>5760</v>
      </c>
      <c r="J24" s="171"/>
      <c r="K24" s="171">
        <v>100</v>
      </c>
      <c r="L24" s="171">
        <v>101</v>
      </c>
      <c r="M24" s="171">
        <v>10101</v>
      </c>
      <c r="N24" s="171">
        <v>10104</v>
      </c>
      <c r="O24" s="171" t="s">
        <v>4165</v>
      </c>
      <c r="P24" s="171" t="s">
        <v>5220</v>
      </c>
      <c r="Q24" s="171" t="s">
        <v>4853</v>
      </c>
      <c r="R24" s="171" t="s">
        <v>4848</v>
      </c>
      <c r="S24" s="100">
        <v>14355</v>
      </c>
      <c r="T24" s="100">
        <v>0</v>
      </c>
      <c r="U24" s="100">
        <v>0</v>
      </c>
      <c r="V24" s="100">
        <v>1</v>
      </c>
      <c r="W24" s="100">
        <v>40</v>
      </c>
      <c r="X24" s="100">
        <v>40</v>
      </c>
      <c r="Y24" s="100">
        <v>0</v>
      </c>
      <c r="Z24" s="100">
        <v>0</v>
      </c>
      <c r="AA24" s="100">
        <v>0.04</v>
      </c>
      <c r="AB24" s="100">
        <v>1.67</v>
      </c>
      <c r="AC24" s="171"/>
      <c r="AD24" s="171"/>
      <c r="AE24" s="171"/>
      <c r="AF24" s="171" t="s">
        <v>4849</v>
      </c>
      <c r="AG24" s="171" t="s">
        <v>5760</v>
      </c>
      <c r="AH24" s="171" t="s">
        <v>5760</v>
      </c>
      <c r="AI24" s="171" t="s">
        <v>4850</v>
      </c>
    </row>
    <row r="25" spans="1:35">
      <c r="A25" s="100">
        <v>555319</v>
      </c>
      <c r="B25" s="171"/>
      <c r="C25" s="100">
        <v>1</v>
      </c>
      <c r="D25" s="100">
        <v>0</v>
      </c>
      <c r="E25" s="100">
        <v>101</v>
      </c>
      <c r="F25" s="171"/>
      <c r="G25" s="171" t="s">
        <v>5407</v>
      </c>
      <c r="H25" s="171"/>
      <c r="I25" s="171" t="s">
        <v>5760</v>
      </c>
      <c r="J25" s="171"/>
      <c r="K25" s="171">
        <v>100</v>
      </c>
      <c r="L25" s="171">
        <v>101</v>
      </c>
      <c r="M25" s="171">
        <v>10101</v>
      </c>
      <c r="N25" s="171">
        <v>11402</v>
      </c>
      <c r="O25" s="171" t="s">
        <v>4320</v>
      </c>
      <c r="P25" s="171" t="s">
        <v>5222</v>
      </c>
      <c r="Q25" s="171" t="s">
        <v>4853</v>
      </c>
      <c r="R25" s="171" t="s">
        <v>4848</v>
      </c>
      <c r="S25" s="100">
        <v>5225</v>
      </c>
      <c r="T25" s="100">
        <v>0</v>
      </c>
      <c r="U25" s="100">
        <v>0</v>
      </c>
      <c r="V25" s="100">
        <v>1</v>
      </c>
      <c r="W25" s="100">
        <v>60</v>
      </c>
      <c r="X25" s="100">
        <v>60</v>
      </c>
      <c r="Y25" s="100">
        <v>0</v>
      </c>
      <c r="Z25" s="100">
        <v>0</v>
      </c>
      <c r="AA25" s="100">
        <v>0.08</v>
      </c>
      <c r="AB25" s="100">
        <v>5</v>
      </c>
      <c r="AC25" s="171"/>
      <c r="AD25" s="171"/>
      <c r="AE25" s="171"/>
      <c r="AF25" s="171" t="s">
        <v>4849</v>
      </c>
      <c r="AG25" s="171" t="s">
        <v>5760</v>
      </c>
      <c r="AH25" s="171" t="s">
        <v>5760</v>
      </c>
      <c r="AI25" s="171" t="s">
        <v>4850</v>
      </c>
    </row>
    <row r="26" spans="1:35">
      <c r="A26" s="100">
        <v>564010</v>
      </c>
      <c r="B26" s="171"/>
      <c r="C26" s="100">
        <v>1</v>
      </c>
      <c r="D26" s="100">
        <v>0</v>
      </c>
      <c r="E26" s="100">
        <v>101</v>
      </c>
      <c r="F26" s="171"/>
      <c r="G26" s="171" t="s">
        <v>5410</v>
      </c>
      <c r="H26" s="171"/>
      <c r="I26" s="171" t="s">
        <v>5761</v>
      </c>
      <c r="J26" s="171"/>
      <c r="K26" s="171">
        <v>100</v>
      </c>
      <c r="L26" s="171">
        <v>101</v>
      </c>
      <c r="M26" s="171">
        <v>10101</v>
      </c>
      <c r="N26" s="171">
        <v>10104</v>
      </c>
      <c r="O26" s="171" t="s">
        <v>4657</v>
      </c>
      <c r="P26" s="171" t="s">
        <v>5728</v>
      </c>
      <c r="Q26" s="171" t="s">
        <v>4847</v>
      </c>
      <c r="R26" s="171" t="s">
        <v>4848</v>
      </c>
      <c r="S26" s="100">
        <v>5335</v>
      </c>
      <c r="T26" s="100">
        <v>0</v>
      </c>
      <c r="U26" s="100">
        <v>0</v>
      </c>
      <c r="V26" s="100">
        <v>1</v>
      </c>
      <c r="W26" s="100">
        <v>30</v>
      </c>
      <c r="X26" s="100">
        <v>30</v>
      </c>
      <c r="Y26" s="100">
        <v>0</v>
      </c>
      <c r="Z26" s="100">
        <v>0</v>
      </c>
      <c r="AA26" s="100">
        <v>0.06</v>
      </c>
      <c r="AB26" s="100">
        <v>1.75</v>
      </c>
      <c r="AC26" s="171"/>
      <c r="AD26" s="171"/>
      <c r="AE26" s="171"/>
      <c r="AF26" s="171" t="s">
        <v>4849</v>
      </c>
      <c r="AG26" s="171" t="s">
        <v>5761</v>
      </c>
      <c r="AH26" s="171" t="s">
        <v>5761</v>
      </c>
      <c r="AI26" s="171" t="s">
        <v>4850</v>
      </c>
    </row>
    <row r="27" spans="1:35">
      <c r="A27" s="100">
        <v>564012</v>
      </c>
      <c r="B27" s="171"/>
      <c r="C27" s="100">
        <v>1</v>
      </c>
      <c r="D27" s="100">
        <v>0</v>
      </c>
      <c r="E27" s="100">
        <v>0</v>
      </c>
      <c r="F27" s="171"/>
      <c r="G27" s="171"/>
      <c r="H27" s="171"/>
      <c r="I27" s="171" t="s">
        <v>5761</v>
      </c>
      <c r="J27" s="171"/>
      <c r="K27" s="171">
        <v>100</v>
      </c>
      <c r="L27" s="171">
        <v>101</v>
      </c>
      <c r="M27" s="171">
        <v>10101</v>
      </c>
      <c r="N27" s="171">
        <v>10104</v>
      </c>
      <c r="O27" s="171" t="s">
        <v>4209</v>
      </c>
      <c r="P27" s="171" t="s">
        <v>524</v>
      </c>
      <c r="Q27" s="171" t="s">
        <v>4855</v>
      </c>
      <c r="R27" s="171" t="s">
        <v>4848</v>
      </c>
      <c r="S27" s="100">
        <v>5217</v>
      </c>
      <c r="T27" s="100">
        <v>0</v>
      </c>
      <c r="U27" s="100">
        <v>0</v>
      </c>
      <c r="V27" s="100">
        <v>1</v>
      </c>
      <c r="W27" s="100">
        <v>30</v>
      </c>
      <c r="X27" s="100">
        <v>0</v>
      </c>
      <c r="Y27" s="100">
        <v>30</v>
      </c>
      <c r="Z27" s="100">
        <v>0</v>
      </c>
      <c r="AA27" s="100">
        <v>0.01</v>
      </c>
      <c r="AB27" s="100">
        <v>0.25</v>
      </c>
      <c r="AC27" s="171"/>
      <c r="AD27" s="171"/>
      <c r="AE27" s="171"/>
      <c r="AF27" s="171" t="s">
        <v>4849</v>
      </c>
      <c r="AG27" s="171" t="s">
        <v>5761</v>
      </c>
      <c r="AH27" s="171" t="s">
        <v>5761</v>
      </c>
      <c r="AI27" s="171" t="s">
        <v>4850</v>
      </c>
    </row>
    <row r="28" spans="1:35">
      <c r="A28" s="100">
        <v>564014</v>
      </c>
      <c r="B28" s="171"/>
      <c r="C28" s="100">
        <v>1</v>
      </c>
      <c r="D28" s="100">
        <v>0</v>
      </c>
      <c r="E28" s="100">
        <v>0</v>
      </c>
      <c r="F28" s="171"/>
      <c r="G28" s="171"/>
      <c r="H28" s="171"/>
      <c r="I28" s="171" t="s">
        <v>5761</v>
      </c>
      <c r="J28" s="171"/>
      <c r="K28" s="171">
        <v>100</v>
      </c>
      <c r="L28" s="171">
        <v>101</v>
      </c>
      <c r="M28" s="171">
        <v>10101</v>
      </c>
      <c r="N28" s="171">
        <v>10104</v>
      </c>
      <c r="O28" s="171" t="s">
        <v>4327</v>
      </c>
      <c r="P28" s="171" t="s">
        <v>5261</v>
      </c>
      <c r="Q28" s="171" t="s">
        <v>4855</v>
      </c>
      <c r="R28" s="171" t="s">
        <v>4848</v>
      </c>
      <c r="S28" s="100">
        <v>5301</v>
      </c>
      <c r="T28" s="100">
        <v>0</v>
      </c>
      <c r="U28" s="100">
        <v>0</v>
      </c>
      <c r="V28" s="100">
        <v>1</v>
      </c>
      <c r="W28" s="100">
        <v>40</v>
      </c>
      <c r="X28" s="100">
        <v>0</v>
      </c>
      <c r="Y28" s="100">
        <v>40</v>
      </c>
      <c r="Z28" s="100">
        <v>0</v>
      </c>
      <c r="AA28" s="100">
        <v>7.0000000000000007E-2</v>
      </c>
      <c r="AB28" s="100">
        <v>2.67</v>
      </c>
      <c r="AC28" s="171"/>
      <c r="AD28" s="171"/>
      <c r="AE28" s="171"/>
      <c r="AF28" s="171" t="s">
        <v>4849</v>
      </c>
      <c r="AG28" s="171" t="s">
        <v>5761</v>
      </c>
      <c r="AH28" s="171" t="s">
        <v>5761</v>
      </c>
      <c r="AI28" s="171" t="s">
        <v>4850</v>
      </c>
    </row>
    <row r="29" spans="1:35">
      <c r="A29" s="100">
        <v>564017</v>
      </c>
      <c r="B29" s="171"/>
      <c r="C29" s="100">
        <v>1</v>
      </c>
      <c r="D29" s="100">
        <v>0</v>
      </c>
      <c r="E29" s="100">
        <v>101</v>
      </c>
      <c r="F29" s="171"/>
      <c r="G29" s="171" t="s">
        <v>6160</v>
      </c>
      <c r="H29" s="171"/>
      <c r="I29" s="171" t="s">
        <v>5761</v>
      </c>
      <c r="J29" s="171"/>
      <c r="K29" s="171">
        <v>100</v>
      </c>
      <c r="L29" s="171">
        <v>101</v>
      </c>
      <c r="M29" s="171">
        <v>10101</v>
      </c>
      <c r="N29" s="171">
        <v>10104</v>
      </c>
      <c r="O29" s="171" t="s">
        <v>4317</v>
      </c>
      <c r="P29" s="171" t="s">
        <v>5221</v>
      </c>
      <c r="Q29" s="171" t="s">
        <v>4853</v>
      </c>
      <c r="R29" s="171" t="s">
        <v>4848</v>
      </c>
      <c r="S29" s="100">
        <v>14362</v>
      </c>
      <c r="T29" s="100">
        <v>0</v>
      </c>
      <c r="U29" s="100">
        <v>0</v>
      </c>
      <c r="V29" s="100">
        <v>1</v>
      </c>
      <c r="W29" s="100">
        <v>40</v>
      </c>
      <c r="X29" s="100">
        <v>40</v>
      </c>
      <c r="Y29" s="100">
        <v>0</v>
      </c>
      <c r="Z29" s="100">
        <v>0</v>
      </c>
      <c r="AA29" s="100">
        <v>0</v>
      </c>
      <c r="AB29" s="100">
        <v>0.03</v>
      </c>
      <c r="AC29" s="171"/>
      <c r="AD29" s="171"/>
      <c r="AE29" s="171"/>
      <c r="AF29" s="171" t="s">
        <v>4849</v>
      </c>
      <c r="AG29" s="171" t="s">
        <v>5761</v>
      </c>
      <c r="AH29" s="171" t="s">
        <v>5761</v>
      </c>
      <c r="AI29" s="171" t="s">
        <v>4859</v>
      </c>
    </row>
    <row r="30" spans="1:35">
      <c r="A30" s="100">
        <v>564026</v>
      </c>
      <c r="B30" s="171"/>
      <c r="C30" s="100">
        <v>1</v>
      </c>
      <c r="D30" s="100">
        <v>0</v>
      </c>
      <c r="E30" s="100">
        <v>101</v>
      </c>
      <c r="F30" s="171"/>
      <c r="G30" s="171" t="s">
        <v>6157</v>
      </c>
      <c r="H30" s="171"/>
      <c r="I30" s="171" t="s">
        <v>5405</v>
      </c>
      <c r="J30" s="171"/>
      <c r="K30" s="171">
        <v>100</v>
      </c>
      <c r="L30" s="171">
        <v>101</v>
      </c>
      <c r="M30" s="171">
        <v>10101</v>
      </c>
      <c r="N30" s="171">
        <v>10104</v>
      </c>
      <c r="O30" s="171" t="s">
        <v>864</v>
      </c>
      <c r="P30" s="171" t="s">
        <v>5739</v>
      </c>
      <c r="Q30" s="171" t="s">
        <v>5343</v>
      </c>
      <c r="R30" s="171" t="s">
        <v>4848</v>
      </c>
      <c r="S30" s="100">
        <v>13910</v>
      </c>
      <c r="T30" s="100">
        <v>0</v>
      </c>
      <c r="U30" s="100">
        <v>0</v>
      </c>
      <c r="V30" s="100">
        <v>1</v>
      </c>
      <c r="W30" s="100">
        <v>20</v>
      </c>
      <c r="X30" s="100">
        <v>20</v>
      </c>
      <c r="Y30" s="100">
        <v>0</v>
      </c>
      <c r="Z30" s="100">
        <v>0</v>
      </c>
      <c r="AA30" s="100">
        <v>0.05</v>
      </c>
      <c r="AB30" s="100">
        <v>1</v>
      </c>
      <c r="AC30" s="171"/>
      <c r="AD30" s="171"/>
      <c r="AE30" s="171"/>
      <c r="AF30" s="171" t="s">
        <v>4852</v>
      </c>
      <c r="AG30" s="171" t="s">
        <v>5405</v>
      </c>
      <c r="AH30" s="171" t="s">
        <v>5405</v>
      </c>
      <c r="AI30" s="171" t="s">
        <v>4850</v>
      </c>
    </row>
    <row r="31" spans="1:35">
      <c r="A31" s="100">
        <v>564027</v>
      </c>
      <c r="B31" s="171"/>
      <c r="C31" s="100">
        <v>1</v>
      </c>
      <c r="D31" s="100">
        <v>0</v>
      </c>
      <c r="E31" s="100">
        <v>101</v>
      </c>
      <c r="F31" s="171"/>
      <c r="G31" s="171" t="s">
        <v>6160</v>
      </c>
      <c r="H31" s="171"/>
      <c r="I31" s="171" t="s">
        <v>5405</v>
      </c>
      <c r="J31" s="171"/>
      <c r="K31" s="171">
        <v>100</v>
      </c>
      <c r="L31" s="171">
        <v>101</v>
      </c>
      <c r="M31" s="171">
        <v>10101</v>
      </c>
      <c r="N31" s="171">
        <v>10104</v>
      </c>
      <c r="O31" s="171" t="s">
        <v>864</v>
      </c>
      <c r="P31" s="171" t="s">
        <v>5739</v>
      </c>
      <c r="Q31" s="171" t="s">
        <v>4853</v>
      </c>
      <c r="R31" s="171" t="s">
        <v>4848</v>
      </c>
      <c r="S31" s="100">
        <v>13911</v>
      </c>
      <c r="T31" s="100">
        <v>0</v>
      </c>
      <c r="U31" s="100">
        <v>0</v>
      </c>
      <c r="V31" s="100">
        <v>1</v>
      </c>
      <c r="W31" s="100">
        <v>20</v>
      </c>
      <c r="X31" s="100">
        <v>20</v>
      </c>
      <c r="Y31" s="100">
        <v>0</v>
      </c>
      <c r="Z31" s="100">
        <v>0</v>
      </c>
      <c r="AA31" s="100">
        <v>0.05</v>
      </c>
      <c r="AB31" s="100">
        <v>1</v>
      </c>
      <c r="AC31" s="171"/>
      <c r="AD31" s="171"/>
      <c r="AE31" s="171"/>
      <c r="AF31" s="171" t="s">
        <v>4852</v>
      </c>
      <c r="AG31" s="171" t="s">
        <v>5405</v>
      </c>
      <c r="AH31" s="171" t="s">
        <v>5405</v>
      </c>
      <c r="AI31" s="171" t="s">
        <v>4850</v>
      </c>
    </row>
    <row r="32" spans="1:35">
      <c r="A32" s="100">
        <v>564028</v>
      </c>
      <c r="B32" s="171"/>
      <c r="C32" s="100">
        <v>1</v>
      </c>
      <c r="D32" s="100">
        <v>0</v>
      </c>
      <c r="E32" s="100">
        <v>101</v>
      </c>
      <c r="F32" s="171"/>
      <c r="G32" s="171" t="s">
        <v>6160</v>
      </c>
      <c r="H32" s="171"/>
      <c r="I32" s="171" t="s">
        <v>5405</v>
      </c>
      <c r="J32" s="171"/>
      <c r="K32" s="171">
        <v>100</v>
      </c>
      <c r="L32" s="171">
        <v>101</v>
      </c>
      <c r="M32" s="171">
        <v>10101</v>
      </c>
      <c r="N32" s="171">
        <v>10104</v>
      </c>
      <c r="O32" s="171" t="s">
        <v>817</v>
      </c>
      <c r="P32" s="171" t="s">
        <v>514</v>
      </c>
      <c r="Q32" s="171" t="s">
        <v>4853</v>
      </c>
      <c r="R32" s="171" t="s">
        <v>4848</v>
      </c>
      <c r="S32" s="100">
        <v>13909</v>
      </c>
      <c r="T32" s="100">
        <v>0</v>
      </c>
      <c r="U32" s="100">
        <v>0</v>
      </c>
      <c r="V32" s="100">
        <v>1</v>
      </c>
      <c r="W32" s="100">
        <v>20</v>
      </c>
      <c r="X32" s="100">
        <v>20</v>
      </c>
      <c r="Y32" s="100">
        <v>0</v>
      </c>
      <c r="Z32" s="100">
        <v>0</v>
      </c>
      <c r="AA32" s="100">
        <v>0.08</v>
      </c>
      <c r="AB32" s="100">
        <v>1.67</v>
      </c>
      <c r="AC32" s="171"/>
      <c r="AD32" s="171"/>
      <c r="AE32" s="171"/>
      <c r="AF32" s="171" t="s">
        <v>4852</v>
      </c>
      <c r="AG32" s="171" t="s">
        <v>5405</v>
      </c>
      <c r="AH32" s="171" t="s">
        <v>5405</v>
      </c>
      <c r="AI32" s="171" t="s">
        <v>4850</v>
      </c>
    </row>
    <row r="33" spans="1:35">
      <c r="A33" s="100">
        <v>566000</v>
      </c>
      <c r="B33" s="171"/>
      <c r="C33" s="100">
        <v>1</v>
      </c>
      <c r="D33" s="100">
        <v>0</v>
      </c>
      <c r="E33" s="100">
        <v>101</v>
      </c>
      <c r="F33" s="171"/>
      <c r="G33" s="171" t="s">
        <v>5410</v>
      </c>
      <c r="H33" s="171"/>
      <c r="I33" s="171" t="s">
        <v>5405</v>
      </c>
      <c r="J33" s="171"/>
      <c r="K33" s="171">
        <v>100</v>
      </c>
      <c r="L33" s="171">
        <v>101</v>
      </c>
      <c r="M33" s="171">
        <v>10101</v>
      </c>
      <c r="N33" s="171">
        <v>10104</v>
      </c>
      <c r="O33" s="171" t="s">
        <v>4657</v>
      </c>
      <c r="P33" s="171" t="s">
        <v>5728</v>
      </c>
      <c r="Q33" s="171" t="s">
        <v>4853</v>
      </c>
      <c r="R33" s="171" t="s">
        <v>4848</v>
      </c>
      <c r="S33" s="100">
        <v>5336</v>
      </c>
      <c r="T33" s="100">
        <v>0</v>
      </c>
      <c r="U33" s="100">
        <v>0</v>
      </c>
      <c r="V33" s="100">
        <v>1</v>
      </c>
      <c r="W33" s="100">
        <v>30</v>
      </c>
      <c r="X33" s="100">
        <v>30</v>
      </c>
      <c r="Y33" s="100">
        <v>0</v>
      </c>
      <c r="Z33" s="100">
        <v>0</v>
      </c>
      <c r="AA33" s="100">
        <v>0.06</v>
      </c>
      <c r="AB33" s="100">
        <v>1.75</v>
      </c>
      <c r="AC33" s="171"/>
      <c r="AD33" s="171"/>
      <c r="AE33" s="171"/>
      <c r="AF33" s="171" t="s">
        <v>4858</v>
      </c>
      <c r="AG33" s="171" t="s">
        <v>5405</v>
      </c>
      <c r="AH33" s="171" t="s">
        <v>5405</v>
      </c>
      <c r="AI33" s="171" t="s">
        <v>4850</v>
      </c>
    </row>
    <row r="34" spans="1:35">
      <c r="A34" s="100">
        <v>569103</v>
      </c>
      <c r="B34" s="171"/>
      <c r="C34" s="100">
        <v>1</v>
      </c>
      <c r="D34" s="100">
        <v>0</v>
      </c>
      <c r="E34" s="100">
        <v>0</v>
      </c>
      <c r="F34" s="171"/>
      <c r="G34" s="171"/>
      <c r="H34" s="171"/>
      <c r="I34" s="171" t="s">
        <v>5762</v>
      </c>
      <c r="J34" s="171"/>
      <c r="K34" s="171">
        <v>100</v>
      </c>
      <c r="L34" s="171">
        <v>101</v>
      </c>
      <c r="M34" s="171">
        <v>10101</v>
      </c>
      <c r="N34" s="171">
        <v>10104</v>
      </c>
      <c r="O34" s="171" t="s">
        <v>4033</v>
      </c>
      <c r="P34" s="171" t="s">
        <v>5750</v>
      </c>
      <c r="Q34" s="171" t="s">
        <v>4855</v>
      </c>
      <c r="R34" s="171" t="s">
        <v>4848</v>
      </c>
      <c r="S34" s="100">
        <v>13340</v>
      </c>
      <c r="T34" s="100">
        <v>0</v>
      </c>
      <c r="U34" s="100">
        <v>0</v>
      </c>
      <c r="V34" s="100">
        <v>1</v>
      </c>
      <c r="W34" s="100">
        <v>300</v>
      </c>
      <c r="X34" s="100">
        <v>0</v>
      </c>
      <c r="Y34" s="100">
        <v>300</v>
      </c>
      <c r="Z34" s="100">
        <v>0</v>
      </c>
      <c r="AA34" s="100">
        <v>0.04</v>
      </c>
      <c r="AB34" s="100">
        <v>12.5</v>
      </c>
      <c r="AC34" s="171"/>
      <c r="AD34" s="171"/>
      <c r="AE34" s="171"/>
      <c r="AF34" s="171" t="s">
        <v>4852</v>
      </c>
      <c r="AG34" s="171" t="s">
        <v>5762</v>
      </c>
      <c r="AH34" s="171" t="s">
        <v>5762</v>
      </c>
      <c r="AI34" s="171" t="s">
        <v>4850</v>
      </c>
    </row>
    <row r="35" spans="1:35">
      <c r="A35" s="100">
        <v>569104</v>
      </c>
      <c r="B35" s="171"/>
      <c r="C35" s="100">
        <v>1</v>
      </c>
      <c r="D35" s="100">
        <v>0</v>
      </c>
      <c r="E35" s="100">
        <v>101</v>
      </c>
      <c r="F35" s="171"/>
      <c r="G35" s="171" t="s">
        <v>6160</v>
      </c>
      <c r="H35" s="171"/>
      <c r="I35" s="171" t="s">
        <v>5762</v>
      </c>
      <c r="J35" s="171"/>
      <c r="K35" s="171">
        <v>100</v>
      </c>
      <c r="L35" s="171">
        <v>101</v>
      </c>
      <c r="M35" s="171">
        <v>10101</v>
      </c>
      <c r="N35" s="171">
        <v>10104</v>
      </c>
      <c r="O35" s="171" t="s">
        <v>4033</v>
      </c>
      <c r="P35" s="171" t="s">
        <v>5750</v>
      </c>
      <c r="Q35" s="171" t="s">
        <v>4875</v>
      </c>
      <c r="R35" s="171" t="s">
        <v>4848</v>
      </c>
      <c r="S35" s="100">
        <v>13663</v>
      </c>
      <c r="T35" s="100">
        <v>0</v>
      </c>
      <c r="U35" s="100">
        <v>0</v>
      </c>
      <c r="V35" s="100">
        <v>1</v>
      </c>
      <c r="W35" s="100">
        <v>530</v>
      </c>
      <c r="X35" s="100">
        <v>0</v>
      </c>
      <c r="Y35" s="100">
        <v>530</v>
      </c>
      <c r="Z35" s="100">
        <v>0</v>
      </c>
      <c r="AA35" s="100">
        <v>0.04</v>
      </c>
      <c r="AB35" s="100">
        <v>22.08</v>
      </c>
      <c r="AC35" s="171"/>
      <c r="AD35" s="171"/>
      <c r="AE35" s="171"/>
      <c r="AF35" s="171" t="s">
        <v>4852</v>
      </c>
      <c r="AG35" s="171" t="s">
        <v>5762</v>
      </c>
      <c r="AH35" s="171" t="s">
        <v>5762</v>
      </c>
      <c r="AI35" s="171" t="s">
        <v>4850</v>
      </c>
    </row>
    <row r="36" spans="1:35">
      <c r="A36" s="100">
        <v>569105</v>
      </c>
      <c r="B36" s="171"/>
      <c r="C36" s="100">
        <v>1</v>
      </c>
      <c r="D36" s="100">
        <v>0</v>
      </c>
      <c r="E36" s="100">
        <v>0</v>
      </c>
      <c r="F36" s="171"/>
      <c r="G36" s="171"/>
      <c r="H36" s="171"/>
      <c r="I36" s="171" t="s">
        <v>5762</v>
      </c>
      <c r="J36" s="171"/>
      <c r="K36" s="171">
        <v>100</v>
      </c>
      <c r="L36" s="171">
        <v>101</v>
      </c>
      <c r="M36" s="171">
        <v>10101</v>
      </c>
      <c r="N36" s="171">
        <v>10104</v>
      </c>
      <c r="O36" s="171" t="s">
        <v>4033</v>
      </c>
      <c r="P36" s="171" t="s">
        <v>5750</v>
      </c>
      <c r="Q36" s="171" t="s">
        <v>4855</v>
      </c>
      <c r="R36" s="171" t="s">
        <v>4848</v>
      </c>
      <c r="S36" s="100">
        <v>13922</v>
      </c>
      <c r="T36" s="100">
        <v>0</v>
      </c>
      <c r="U36" s="100">
        <v>0</v>
      </c>
      <c r="V36" s="100">
        <v>1</v>
      </c>
      <c r="W36" s="100">
        <v>530</v>
      </c>
      <c r="X36" s="100">
        <v>0</v>
      </c>
      <c r="Y36" s="100">
        <v>530</v>
      </c>
      <c r="Z36" s="100">
        <v>0</v>
      </c>
      <c r="AA36" s="100">
        <v>0.04</v>
      </c>
      <c r="AB36" s="100">
        <v>22.08</v>
      </c>
      <c r="AC36" s="171"/>
      <c r="AD36" s="171"/>
      <c r="AE36" s="171"/>
      <c r="AF36" s="171" t="s">
        <v>4852</v>
      </c>
      <c r="AG36" s="171" t="s">
        <v>5762</v>
      </c>
      <c r="AH36" s="171" t="s">
        <v>5762</v>
      </c>
      <c r="AI36" s="171" t="s">
        <v>4850</v>
      </c>
    </row>
    <row r="37" spans="1:35">
      <c r="A37" s="100">
        <v>569226</v>
      </c>
      <c r="B37" s="171"/>
      <c r="C37" s="100">
        <v>1</v>
      </c>
      <c r="D37" s="100">
        <v>0</v>
      </c>
      <c r="E37" s="100">
        <v>0</v>
      </c>
      <c r="F37" s="171"/>
      <c r="G37" s="171"/>
      <c r="H37" s="171"/>
      <c r="I37" s="171" t="s">
        <v>5762</v>
      </c>
      <c r="J37" s="171"/>
      <c r="K37" s="171">
        <v>100</v>
      </c>
      <c r="L37" s="171">
        <v>101</v>
      </c>
      <c r="M37" s="171">
        <v>10101</v>
      </c>
      <c r="N37" s="171">
        <v>10104</v>
      </c>
      <c r="O37" s="171" t="s">
        <v>4317</v>
      </c>
      <c r="P37" s="171" t="s">
        <v>5221</v>
      </c>
      <c r="Q37" s="171" t="s">
        <v>4855</v>
      </c>
      <c r="R37" s="171" t="s">
        <v>4848</v>
      </c>
      <c r="S37" s="100">
        <v>5173</v>
      </c>
      <c r="T37" s="100">
        <v>0</v>
      </c>
      <c r="U37" s="100">
        <v>0</v>
      </c>
      <c r="V37" s="100">
        <v>1</v>
      </c>
      <c r="W37" s="100">
        <v>50</v>
      </c>
      <c r="X37" s="100">
        <v>0</v>
      </c>
      <c r="Y37" s="100">
        <v>50</v>
      </c>
      <c r="Z37" s="100">
        <v>0</v>
      </c>
      <c r="AA37" s="100">
        <v>0</v>
      </c>
      <c r="AB37" s="100">
        <v>0.04</v>
      </c>
      <c r="AC37" s="171"/>
      <c r="AD37" s="171"/>
      <c r="AE37" s="171"/>
      <c r="AF37" s="171" t="s">
        <v>4849</v>
      </c>
      <c r="AG37" s="171" t="s">
        <v>5762</v>
      </c>
      <c r="AH37" s="171" t="s">
        <v>5762</v>
      </c>
      <c r="AI37" s="171" t="s">
        <v>4859</v>
      </c>
    </row>
    <row r="38" spans="1:35">
      <c r="A38" s="100">
        <v>569243</v>
      </c>
      <c r="B38" s="171"/>
      <c r="C38" s="100">
        <v>1</v>
      </c>
      <c r="D38" s="100">
        <v>0</v>
      </c>
      <c r="E38" s="100">
        <v>0</v>
      </c>
      <c r="F38" s="171"/>
      <c r="G38" s="171"/>
      <c r="H38" s="171"/>
      <c r="I38" s="171" t="s">
        <v>5406</v>
      </c>
      <c r="J38" s="171"/>
      <c r="K38" s="171">
        <v>100</v>
      </c>
      <c r="L38" s="171">
        <v>101</v>
      </c>
      <c r="M38" s="171">
        <v>10101</v>
      </c>
      <c r="N38" s="171">
        <v>10104</v>
      </c>
      <c r="O38" s="171" t="s">
        <v>2205</v>
      </c>
      <c r="P38" s="171" t="s">
        <v>5801</v>
      </c>
      <c r="Q38" s="171" t="s">
        <v>4855</v>
      </c>
      <c r="R38" s="171" t="s">
        <v>4848</v>
      </c>
      <c r="S38" s="100">
        <v>11465</v>
      </c>
      <c r="T38" s="100">
        <v>0</v>
      </c>
      <c r="U38" s="100">
        <v>0</v>
      </c>
      <c r="V38" s="100">
        <v>1</v>
      </c>
      <c r="W38" s="100">
        <v>20</v>
      </c>
      <c r="X38" s="100">
        <v>0</v>
      </c>
      <c r="Y38" s="100">
        <v>20</v>
      </c>
      <c r="Z38" s="100">
        <v>0</v>
      </c>
      <c r="AA38" s="100">
        <v>0.01</v>
      </c>
      <c r="AB38" s="100">
        <v>0.17</v>
      </c>
      <c r="AC38" s="171"/>
      <c r="AD38" s="171"/>
      <c r="AE38" s="171"/>
      <c r="AF38" s="171" t="s">
        <v>4852</v>
      </c>
      <c r="AG38" s="171" t="s">
        <v>5406</v>
      </c>
      <c r="AH38" s="171" t="s">
        <v>5406</v>
      </c>
      <c r="AI38" s="171" t="s">
        <v>4859</v>
      </c>
    </row>
    <row r="39" spans="1:35">
      <c r="A39" s="100">
        <v>569244</v>
      </c>
      <c r="B39" s="171"/>
      <c r="C39" s="100">
        <v>1</v>
      </c>
      <c r="D39" s="100">
        <v>0</v>
      </c>
      <c r="E39" s="100">
        <v>0</v>
      </c>
      <c r="F39" s="171"/>
      <c r="G39" s="171"/>
      <c r="H39" s="171"/>
      <c r="I39" s="171" t="s">
        <v>5406</v>
      </c>
      <c r="J39" s="171"/>
      <c r="K39" s="171">
        <v>100</v>
      </c>
      <c r="L39" s="171">
        <v>101</v>
      </c>
      <c r="M39" s="171">
        <v>10101</v>
      </c>
      <c r="N39" s="171">
        <v>10104</v>
      </c>
      <c r="O39" s="171" t="s">
        <v>2206</v>
      </c>
      <c r="P39" s="171" t="s">
        <v>530</v>
      </c>
      <c r="Q39" s="171" t="s">
        <v>4855</v>
      </c>
      <c r="R39" s="171" t="s">
        <v>4848</v>
      </c>
      <c r="S39" s="100">
        <v>10372</v>
      </c>
      <c r="T39" s="100">
        <v>0</v>
      </c>
      <c r="U39" s="100">
        <v>0</v>
      </c>
      <c r="V39" s="100">
        <v>1</v>
      </c>
      <c r="W39" s="100">
        <v>30</v>
      </c>
      <c r="X39" s="100">
        <v>0</v>
      </c>
      <c r="Y39" s="100">
        <v>30</v>
      </c>
      <c r="Z39" s="100">
        <v>0</v>
      </c>
      <c r="AA39" s="100">
        <v>0</v>
      </c>
      <c r="AB39" s="100">
        <v>0.05</v>
      </c>
      <c r="AC39" s="171"/>
      <c r="AD39" s="171"/>
      <c r="AE39" s="171"/>
      <c r="AF39" s="171" t="s">
        <v>4852</v>
      </c>
      <c r="AG39" s="171" t="s">
        <v>5406</v>
      </c>
      <c r="AH39" s="171" t="s">
        <v>5406</v>
      </c>
      <c r="AI39" s="171" t="s">
        <v>4859</v>
      </c>
    </row>
    <row r="40" spans="1:35">
      <c r="A40" s="100">
        <v>569250</v>
      </c>
      <c r="B40" s="171"/>
      <c r="C40" s="100">
        <v>1</v>
      </c>
      <c r="D40" s="100">
        <v>0</v>
      </c>
      <c r="E40" s="100">
        <v>0</v>
      </c>
      <c r="F40" s="171"/>
      <c r="G40" s="171"/>
      <c r="H40" s="171"/>
      <c r="I40" s="171" t="s">
        <v>5406</v>
      </c>
      <c r="J40" s="171"/>
      <c r="K40" s="171">
        <v>100</v>
      </c>
      <c r="L40" s="171">
        <v>101</v>
      </c>
      <c r="M40" s="171">
        <v>10101</v>
      </c>
      <c r="N40" s="171">
        <v>10104</v>
      </c>
      <c r="O40" s="171" t="s">
        <v>2204</v>
      </c>
      <c r="P40" s="171" t="s">
        <v>533</v>
      </c>
      <c r="Q40" s="171" t="s">
        <v>4855</v>
      </c>
      <c r="R40" s="171" t="s">
        <v>4848</v>
      </c>
      <c r="S40" s="100">
        <v>10416</v>
      </c>
      <c r="T40" s="100">
        <v>0</v>
      </c>
      <c r="U40" s="100">
        <v>0</v>
      </c>
      <c r="V40" s="100">
        <v>1</v>
      </c>
      <c r="W40" s="100">
        <v>30</v>
      </c>
      <c r="X40" s="100">
        <v>0</v>
      </c>
      <c r="Y40" s="100">
        <v>30</v>
      </c>
      <c r="Z40" s="100">
        <v>0</v>
      </c>
      <c r="AA40" s="100">
        <v>0.01</v>
      </c>
      <c r="AB40" s="100">
        <v>0.25</v>
      </c>
      <c r="AC40" s="171"/>
      <c r="AD40" s="171"/>
      <c r="AE40" s="171"/>
      <c r="AF40" s="171" t="s">
        <v>4852</v>
      </c>
      <c r="AG40" s="171" t="s">
        <v>5406</v>
      </c>
      <c r="AH40" s="171" t="s">
        <v>5406</v>
      </c>
      <c r="AI40" s="171" t="s">
        <v>4859</v>
      </c>
    </row>
    <row r="41" spans="1:35">
      <c r="A41" s="100">
        <v>569266</v>
      </c>
      <c r="B41" s="171"/>
      <c r="C41" s="100">
        <v>1</v>
      </c>
      <c r="D41" s="100">
        <v>0</v>
      </c>
      <c r="E41" s="100">
        <v>0</v>
      </c>
      <c r="F41" s="171"/>
      <c r="G41" s="171"/>
      <c r="H41" s="171"/>
      <c r="I41" s="171" t="s">
        <v>6161</v>
      </c>
      <c r="J41" s="171"/>
      <c r="K41" s="171">
        <v>100</v>
      </c>
      <c r="L41" s="171">
        <v>101</v>
      </c>
      <c r="M41" s="171">
        <v>10101</v>
      </c>
      <c r="N41" s="171">
        <v>10104</v>
      </c>
      <c r="O41" s="171" t="s">
        <v>849</v>
      </c>
      <c r="P41" s="171" t="s">
        <v>5974</v>
      </c>
      <c r="Q41" s="171" t="s">
        <v>4855</v>
      </c>
      <c r="R41" s="171" t="s">
        <v>4848</v>
      </c>
      <c r="S41" s="100">
        <v>8536</v>
      </c>
      <c r="T41" s="100">
        <v>0</v>
      </c>
      <c r="U41" s="100">
        <v>0</v>
      </c>
      <c r="V41" s="100">
        <v>1</v>
      </c>
      <c r="W41" s="100">
        <v>50</v>
      </c>
      <c r="X41" s="100">
        <v>0</v>
      </c>
      <c r="Y41" s="100">
        <v>50</v>
      </c>
      <c r="Z41" s="100">
        <v>0</v>
      </c>
      <c r="AA41" s="100">
        <v>0.01</v>
      </c>
      <c r="AB41" s="100">
        <v>0.42</v>
      </c>
      <c r="AC41" s="171"/>
      <c r="AD41" s="171"/>
      <c r="AE41" s="171"/>
      <c r="AF41" s="171" t="s">
        <v>4852</v>
      </c>
      <c r="AG41" s="171" t="s">
        <v>6161</v>
      </c>
      <c r="AH41" s="171" t="s">
        <v>6161</v>
      </c>
      <c r="AI41" s="171" t="s">
        <v>4850</v>
      </c>
    </row>
    <row r="42" spans="1:35">
      <c r="A42" s="100">
        <v>569267</v>
      </c>
      <c r="B42" s="171"/>
      <c r="C42" s="100">
        <v>1</v>
      </c>
      <c r="D42" s="100">
        <v>0</v>
      </c>
      <c r="E42" s="100">
        <v>0</v>
      </c>
      <c r="F42" s="171"/>
      <c r="G42" s="171"/>
      <c r="H42" s="171"/>
      <c r="I42" s="171" t="s">
        <v>6161</v>
      </c>
      <c r="J42" s="171"/>
      <c r="K42" s="171">
        <v>100</v>
      </c>
      <c r="L42" s="171">
        <v>101</v>
      </c>
      <c r="M42" s="171">
        <v>10101</v>
      </c>
      <c r="N42" s="171">
        <v>10104</v>
      </c>
      <c r="O42" s="171" t="s">
        <v>830</v>
      </c>
      <c r="P42" s="171" t="s">
        <v>5976</v>
      </c>
      <c r="Q42" s="171" t="s">
        <v>4855</v>
      </c>
      <c r="R42" s="171" t="s">
        <v>4848</v>
      </c>
      <c r="S42" s="100">
        <v>8529</v>
      </c>
      <c r="T42" s="100">
        <v>0</v>
      </c>
      <c r="U42" s="100">
        <v>0</v>
      </c>
      <c r="V42" s="100">
        <v>1</v>
      </c>
      <c r="W42" s="100">
        <v>50</v>
      </c>
      <c r="X42" s="100">
        <v>0</v>
      </c>
      <c r="Y42" s="100">
        <v>50</v>
      </c>
      <c r="Z42" s="100">
        <v>0</v>
      </c>
      <c r="AA42" s="100">
        <v>0.03</v>
      </c>
      <c r="AB42" s="100">
        <v>1.25</v>
      </c>
      <c r="AC42" s="171"/>
      <c r="AD42" s="171"/>
      <c r="AE42" s="171"/>
      <c r="AF42" s="171" t="s">
        <v>4852</v>
      </c>
      <c r="AG42" s="171" t="s">
        <v>6161</v>
      </c>
      <c r="AH42" s="171" t="s">
        <v>6161</v>
      </c>
      <c r="AI42" s="171" t="s">
        <v>4850</v>
      </c>
    </row>
    <row r="43" spans="1:35">
      <c r="A43" s="100">
        <v>569636</v>
      </c>
      <c r="B43" s="171"/>
      <c r="C43" s="100">
        <v>1</v>
      </c>
      <c r="D43" s="100">
        <v>0</v>
      </c>
      <c r="E43" s="100">
        <v>101</v>
      </c>
      <c r="F43" s="171"/>
      <c r="G43" s="171" t="s">
        <v>6162</v>
      </c>
      <c r="H43" s="171"/>
      <c r="I43" s="171" t="s">
        <v>6158</v>
      </c>
      <c r="J43" s="171"/>
      <c r="K43" s="171">
        <v>100</v>
      </c>
      <c r="L43" s="171">
        <v>101</v>
      </c>
      <c r="M43" s="171">
        <v>10101</v>
      </c>
      <c r="N43" s="171">
        <v>11402</v>
      </c>
      <c r="O43" s="171" t="s">
        <v>810</v>
      </c>
      <c r="P43" s="171" t="s">
        <v>5925</v>
      </c>
      <c r="Q43" s="171" t="s">
        <v>4853</v>
      </c>
      <c r="R43" s="171" t="s">
        <v>4848</v>
      </c>
      <c r="S43" s="100">
        <v>9146</v>
      </c>
      <c r="T43" s="100">
        <v>0</v>
      </c>
      <c r="U43" s="100">
        <v>0</v>
      </c>
      <c r="V43" s="100">
        <v>1</v>
      </c>
      <c r="W43" s="100">
        <v>20</v>
      </c>
      <c r="X43" s="100">
        <v>20</v>
      </c>
      <c r="Y43" s="100">
        <v>0</v>
      </c>
      <c r="Z43" s="100">
        <v>0</v>
      </c>
      <c r="AA43" s="100">
        <v>0.05</v>
      </c>
      <c r="AB43" s="100">
        <v>1</v>
      </c>
      <c r="AC43" s="171"/>
      <c r="AD43" s="171"/>
      <c r="AE43" s="171"/>
      <c r="AF43" s="171" t="s">
        <v>4852</v>
      </c>
      <c r="AG43" s="171" t="s">
        <v>6158</v>
      </c>
      <c r="AH43" s="171" t="s">
        <v>6158</v>
      </c>
      <c r="AI43" s="171" t="s">
        <v>4859</v>
      </c>
    </row>
    <row r="44" spans="1:35">
      <c r="A44" s="100">
        <v>569646</v>
      </c>
      <c r="B44" s="171"/>
      <c r="C44" s="100">
        <v>1</v>
      </c>
      <c r="D44" s="100">
        <v>0</v>
      </c>
      <c r="E44" s="100">
        <v>0</v>
      </c>
      <c r="F44" s="171"/>
      <c r="G44" s="171"/>
      <c r="H44" s="171"/>
      <c r="I44" s="171" t="s">
        <v>6163</v>
      </c>
      <c r="J44" s="171"/>
      <c r="K44" s="171">
        <v>100</v>
      </c>
      <c r="L44" s="171">
        <v>101</v>
      </c>
      <c r="M44" s="171">
        <v>10101</v>
      </c>
      <c r="N44" s="171">
        <v>10104</v>
      </c>
      <c r="O44" s="171" t="s">
        <v>4271</v>
      </c>
      <c r="P44" s="171" t="s">
        <v>6005</v>
      </c>
      <c r="Q44" s="171" t="s">
        <v>4855</v>
      </c>
      <c r="R44" s="171" t="s">
        <v>4848</v>
      </c>
      <c r="S44" s="100">
        <v>6871</v>
      </c>
      <c r="T44" s="100">
        <v>0</v>
      </c>
      <c r="U44" s="100">
        <v>0</v>
      </c>
      <c r="V44" s="100">
        <v>1</v>
      </c>
      <c r="W44" s="100">
        <v>50</v>
      </c>
      <c r="X44" s="100">
        <v>0</v>
      </c>
      <c r="Y44" s="100">
        <v>50</v>
      </c>
      <c r="Z44" s="100">
        <v>0</v>
      </c>
      <c r="AA44" s="100">
        <v>0.01</v>
      </c>
      <c r="AB44" s="100">
        <v>0.42</v>
      </c>
      <c r="AC44" s="171"/>
      <c r="AD44" s="171"/>
      <c r="AE44" s="171"/>
      <c r="AF44" s="171" t="s">
        <v>4849</v>
      </c>
      <c r="AG44" s="171" t="s">
        <v>6163</v>
      </c>
      <c r="AH44" s="171" t="s">
        <v>6163</v>
      </c>
      <c r="AI44" s="171" t="s">
        <v>4850</v>
      </c>
    </row>
    <row r="45" spans="1:35">
      <c r="A45" s="100">
        <v>569661</v>
      </c>
      <c r="B45" s="171"/>
      <c r="C45" s="100">
        <v>1</v>
      </c>
      <c r="D45" s="100">
        <v>0</v>
      </c>
      <c r="E45" s="100">
        <v>0</v>
      </c>
      <c r="F45" s="171"/>
      <c r="G45" s="171"/>
      <c r="H45" s="171"/>
      <c r="I45" s="171" t="s">
        <v>6163</v>
      </c>
      <c r="J45" s="171"/>
      <c r="K45" s="171">
        <v>100</v>
      </c>
      <c r="L45" s="171">
        <v>101</v>
      </c>
      <c r="M45" s="171">
        <v>10101</v>
      </c>
      <c r="N45" s="171">
        <v>11402</v>
      </c>
      <c r="O45" s="171" t="s">
        <v>3982</v>
      </c>
      <c r="P45" s="171" t="s">
        <v>6016</v>
      </c>
      <c r="Q45" s="171" t="s">
        <v>4855</v>
      </c>
      <c r="R45" s="171" t="s">
        <v>4848</v>
      </c>
      <c r="S45" s="100">
        <v>6809</v>
      </c>
      <c r="T45" s="100">
        <v>0</v>
      </c>
      <c r="U45" s="100">
        <v>0</v>
      </c>
      <c r="V45" s="100">
        <v>1</v>
      </c>
      <c r="W45" s="100">
        <v>40</v>
      </c>
      <c r="X45" s="100">
        <v>0</v>
      </c>
      <c r="Y45" s="100">
        <v>40</v>
      </c>
      <c r="Z45" s="100">
        <v>0</v>
      </c>
      <c r="AA45" s="100">
        <v>0</v>
      </c>
      <c r="AB45" s="100">
        <v>0.03</v>
      </c>
      <c r="AC45" s="171"/>
      <c r="AD45" s="171"/>
      <c r="AE45" s="171"/>
      <c r="AF45" s="171" t="s">
        <v>4849</v>
      </c>
      <c r="AG45" s="171" t="s">
        <v>6163</v>
      </c>
      <c r="AH45" s="171" t="s">
        <v>6163</v>
      </c>
      <c r="AI45" s="171" t="s">
        <v>4859</v>
      </c>
    </row>
    <row r="46" spans="1:35">
      <c r="A46" s="100">
        <v>572383</v>
      </c>
      <c r="B46" s="171"/>
      <c r="C46" s="100">
        <v>1</v>
      </c>
      <c r="D46" s="100">
        <v>0</v>
      </c>
      <c r="E46" s="100">
        <v>101</v>
      </c>
      <c r="F46" s="171"/>
      <c r="G46" s="171" t="s">
        <v>6160</v>
      </c>
      <c r="H46" s="171"/>
      <c r="I46" s="171" t="s">
        <v>6162</v>
      </c>
      <c r="J46" s="171"/>
      <c r="K46" s="171">
        <v>100</v>
      </c>
      <c r="L46" s="171">
        <v>101</v>
      </c>
      <c r="M46" s="171">
        <v>10101</v>
      </c>
      <c r="N46" s="171">
        <v>10104</v>
      </c>
      <c r="O46" s="171" t="s">
        <v>2242</v>
      </c>
      <c r="P46" s="171" t="s">
        <v>5938</v>
      </c>
      <c r="Q46" s="171" t="s">
        <v>4853</v>
      </c>
      <c r="R46" s="171" t="s">
        <v>4848</v>
      </c>
      <c r="S46" s="100">
        <v>11963</v>
      </c>
      <c r="T46" s="100">
        <v>0</v>
      </c>
      <c r="U46" s="100">
        <v>0</v>
      </c>
      <c r="V46" s="100">
        <v>1</v>
      </c>
      <c r="W46" s="100">
        <v>40</v>
      </c>
      <c r="X46" s="100">
        <v>40</v>
      </c>
      <c r="Y46" s="100">
        <v>0</v>
      </c>
      <c r="Z46" s="100">
        <v>0</v>
      </c>
      <c r="AA46" s="100">
        <v>0.02</v>
      </c>
      <c r="AB46" s="100">
        <v>0.67</v>
      </c>
      <c r="AC46" s="171"/>
      <c r="AD46" s="171"/>
      <c r="AE46" s="171"/>
      <c r="AF46" s="171" t="s">
        <v>4886</v>
      </c>
      <c r="AG46" s="171" t="s">
        <v>6162</v>
      </c>
      <c r="AH46" s="171" t="s">
        <v>6162</v>
      </c>
      <c r="AI46" s="171" t="s">
        <v>4850</v>
      </c>
    </row>
    <row r="47" spans="1:35">
      <c r="A47" s="100">
        <v>572864</v>
      </c>
      <c r="B47" s="171"/>
      <c r="C47" s="100">
        <v>1</v>
      </c>
      <c r="D47" s="100">
        <v>0</v>
      </c>
      <c r="E47" s="100">
        <v>0</v>
      </c>
      <c r="F47" s="171"/>
      <c r="G47" s="171"/>
      <c r="H47" s="171"/>
      <c r="I47" s="171" t="s">
        <v>6162</v>
      </c>
      <c r="J47" s="171"/>
      <c r="K47" s="171">
        <v>100</v>
      </c>
      <c r="L47" s="171">
        <v>101</v>
      </c>
      <c r="M47" s="171">
        <v>10101</v>
      </c>
      <c r="N47" s="171">
        <v>10102</v>
      </c>
      <c r="O47" s="171" t="s">
        <v>4270</v>
      </c>
      <c r="P47" s="171" t="s">
        <v>6048</v>
      </c>
      <c r="Q47" s="171" t="s">
        <v>4855</v>
      </c>
      <c r="R47" s="171" t="s">
        <v>4848</v>
      </c>
      <c r="S47" s="100">
        <v>11522</v>
      </c>
      <c r="T47" s="100">
        <v>0</v>
      </c>
      <c r="U47" s="100">
        <v>0</v>
      </c>
      <c r="V47" s="100">
        <v>1</v>
      </c>
      <c r="W47" s="100">
        <v>20</v>
      </c>
      <c r="X47" s="100">
        <v>0</v>
      </c>
      <c r="Y47" s="100">
        <v>20</v>
      </c>
      <c r="Z47" s="100">
        <v>0</v>
      </c>
      <c r="AA47" s="100">
        <v>0.01</v>
      </c>
      <c r="AB47" s="100">
        <v>0.17</v>
      </c>
      <c r="AC47" s="171"/>
      <c r="AD47" s="171"/>
      <c r="AE47" s="171"/>
      <c r="AF47" s="171" t="s">
        <v>4849</v>
      </c>
      <c r="AG47" s="171" t="s">
        <v>6162</v>
      </c>
      <c r="AH47" s="171" t="s">
        <v>6162</v>
      </c>
      <c r="AI47" s="171" t="s">
        <v>4850</v>
      </c>
    </row>
    <row r="48" spans="1:35">
      <c r="A48" s="100">
        <v>572875</v>
      </c>
      <c r="B48" s="171"/>
      <c r="C48" s="100">
        <v>1</v>
      </c>
      <c r="D48" s="100">
        <v>0</v>
      </c>
      <c r="E48" s="100">
        <v>0</v>
      </c>
      <c r="F48" s="171"/>
      <c r="G48" s="171"/>
      <c r="H48" s="171"/>
      <c r="I48" s="171" t="s">
        <v>6162</v>
      </c>
      <c r="J48" s="171"/>
      <c r="K48" s="171">
        <v>100</v>
      </c>
      <c r="L48" s="171">
        <v>101</v>
      </c>
      <c r="M48" s="171">
        <v>10101</v>
      </c>
      <c r="N48" s="171">
        <v>11402</v>
      </c>
      <c r="O48" s="171" t="s">
        <v>4177</v>
      </c>
      <c r="P48" s="171" t="s">
        <v>6057</v>
      </c>
      <c r="Q48" s="171" t="s">
        <v>4855</v>
      </c>
      <c r="R48" s="171" t="s">
        <v>4848</v>
      </c>
      <c r="S48" s="100">
        <v>6868</v>
      </c>
      <c r="T48" s="100">
        <v>0</v>
      </c>
      <c r="U48" s="100">
        <v>0</v>
      </c>
      <c r="V48" s="100">
        <v>1</v>
      </c>
      <c r="W48" s="100">
        <v>70</v>
      </c>
      <c r="X48" s="100">
        <v>0</v>
      </c>
      <c r="Y48" s="100">
        <v>70</v>
      </c>
      <c r="Z48" s="100">
        <v>0</v>
      </c>
      <c r="AA48" s="100">
        <v>0.03</v>
      </c>
      <c r="AB48" s="100">
        <v>1.75</v>
      </c>
      <c r="AC48" s="171"/>
      <c r="AD48" s="171"/>
      <c r="AE48" s="171"/>
      <c r="AF48" s="171" t="s">
        <v>4849</v>
      </c>
      <c r="AG48" s="171" t="s">
        <v>6162</v>
      </c>
      <c r="AH48" s="171" t="s">
        <v>6162</v>
      </c>
      <c r="AI48" s="171" t="s">
        <v>4850</v>
      </c>
    </row>
    <row r="49" spans="1:35">
      <c r="A49" s="100">
        <v>572876</v>
      </c>
      <c r="B49" s="171"/>
      <c r="C49" s="100">
        <v>1</v>
      </c>
      <c r="D49" s="100">
        <v>0</v>
      </c>
      <c r="E49" s="100">
        <v>0</v>
      </c>
      <c r="F49" s="171"/>
      <c r="G49" s="171"/>
      <c r="H49" s="171"/>
      <c r="I49" s="171" t="s">
        <v>6162</v>
      </c>
      <c r="J49" s="171"/>
      <c r="K49" s="171">
        <v>100</v>
      </c>
      <c r="L49" s="171">
        <v>101</v>
      </c>
      <c r="M49" s="171">
        <v>10101</v>
      </c>
      <c r="N49" s="171">
        <v>10104</v>
      </c>
      <c r="O49" s="171" t="s">
        <v>4469</v>
      </c>
      <c r="P49" s="171" t="s">
        <v>6059</v>
      </c>
      <c r="Q49" s="171" t="s">
        <v>4855</v>
      </c>
      <c r="R49" s="171" t="s">
        <v>4848</v>
      </c>
      <c r="S49" s="100">
        <v>6873</v>
      </c>
      <c r="T49" s="100">
        <v>0</v>
      </c>
      <c r="U49" s="100">
        <v>0</v>
      </c>
      <c r="V49" s="100">
        <v>1</v>
      </c>
      <c r="W49" s="100">
        <v>70</v>
      </c>
      <c r="X49" s="100">
        <v>0</v>
      </c>
      <c r="Y49" s="100">
        <v>70</v>
      </c>
      <c r="Z49" s="100">
        <v>0</v>
      </c>
      <c r="AA49" s="100">
        <v>0.03</v>
      </c>
      <c r="AB49" s="100">
        <v>1.75</v>
      </c>
      <c r="AC49" s="171"/>
      <c r="AD49" s="171"/>
      <c r="AE49" s="171"/>
      <c r="AF49" s="171" t="s">
        <v>4849</v>
      </c>
      <c r="AG49" s="171" t="s">
        <v>6162</v>
      </c>
      <c r="AH49" s="171" t="s">
        <v>6162</v>
      </c>
      <c r="AI49" s="171" t="s">
        <v>4850</v>
      </c>
    </row>
    <row r="50" spans="1:35">
      <c r="A50" s="100">
        <v>573890</v>
      </c>
      <c r="B50" s="171"/>
      <c r="C50" s="100">
        <v>1</v>
      </c>
      <c r="D50" s="100">
        <v>0</v>
      </c>
      <c r="E50" s="100">
        <v>0</v>
      </c>
      <c r="F50" s="171"/>
      <c r="G50" s="171"/>
      <c r="H50" s="171"/>
      <c r="I50" s="171" t="s">
        <v>6159</v>
      </c>
      <c r="J50" s="171"/>
      <c r="K50" s="171">
        <v>100</v>
      </c>
      <c r="L50" s="171">
        <v>101</v>
      </c>
      <c r="M50" s="171">
        <v>10101</v>
      </c>
      <c r="N50" s="171">
        <v>10104</v>
      </c>
      <c r="O50" s="171" t="s">
        <v>4271</v>
      </c>
      <c r="P50" s="171" t="s">
        <v>6005</v>
      </c>
      <c r="Q50" s="171" t="s">
        <v>4855</v>
      </c>
      <c r="R50" s="171" t="s">
        <v>4848</v>
      </c>
      <c r="S50" s="100">
        <v>6870</v>
      </c>
      <c r="T50" s="100">
        <v>0</v>
      </c>
      <c r="U50" s="100">
        <v>0</v>
      </c>
      <c r="V50" s="100">
        <v>1</v>
      </c>
      <c r="W50" s="100">
        <v>50</v>
      </c>
      <c r="X50" s="100">
        <v>0</v>
      </c>
      <c r="Y50" s="100">
        <v>50</v>
      </c>
      <c r="Z50" s="100">
        <v>0</v>
      </c>
      <c r="AA50" s="100">
        <v>0.01</v>
      </c>
      <c r="AB50" s="100">
        <v>0.42</v>
      </c>
      <c r="AC50" s="171"/>
      <c r="AD50" s="171"/>
      <c r="AE50" s="171"/>
      <c r="AF50" s="171" t="s">
        <v>4849</v>
      </c>
      <c r="AG50" s="171" t="s">
        <v>6159</v>
      </c>
      <c r="AH50" s="171" t="s">
        <v>6159</v>
      </c>
      <c r="AI50" s="171" t="s">
        <v>4850</v>
      </c>
    </row>
    <row r="51" spans="1:35">
      <c r="A51" s="100">
        <v>574043</v>
      </c>
      <c r="B51" s="171"/>
      <c r="C51" s="100">
        <v>1</v>
      </c>
      <c r="D51" s="100">
        <v>0</v>
      </c>
      <c r="E51" s="100">
        <v>0</v>
      </c>
      <c r="F51" s="171"/>
      <c r="G51" s="171"/>
      <c r="H51" s="171"/>
      <c r="I51" s="171" t="s">
        <v>6157</v>
      </c>
      <c r="J51" s="171"/>
      <c r="K51" s="171">
        <v>100</v>
      </c>
      <c r="L51" s="171">
        <v>101</v>
      </c>
      <c r="M51" s="171">
        <v>10101</v>
      </c>
      <c r="N51" s="171">
        <v>10104</v>
      </c>
      <c r="O51" s="171" t="s">
        <v>2242</v>
      </c>
      <c r="P51" s="171" t="s">
        <v>5938</v>
      </c>
      <c r="Q51" s="171" t="s">
        <v>4855</v>
      </c>
      <c r="R51" s="171" t="s">
        <v>4848</v>
      </c>
      <c r="S51" s="100">
        <v>11964</v>
      </c>
      <c r="T51" s="100">
        <v>0</v>
      </c>
      <c r="U51" s="100">
        <v>0</v>
      </c>
      <c r="V51" s="100">
        <v>1</v>
      </c>
      <c r="W51" s="100">
        <v>40</v>
      </c>
      <c r="X51" s="100">
        <v>0</v>
      </c>
      <c r="Y51" s="100">
        <v>40</v>
      </c>
      <c r="Z51" s="100">
        <v>0</v>
      </c>
      <c r="AA51" s="100">
        <v>0.02</v>
      </c>
      <c r="AB51" s="100">
        <v>0.67</v>
      </c>
      <c r="AC51" s="171"/>
      <c r="AD51" s="171"/>
      <c r="AE51" s="171"/>
      <c r="AF51" s="171" t="s">
        <v>4886</v>
      </c>
      <c r="AG51" s="171" t="s">
        <v>6157</v>
      </c>
      <c r="AH51" s="171" t="s">
        <v>6157</v>
      </c>
      <c r="AI51" s="171" t="s">
        <v>4850</v>
      </c>
    </row>
    <row r="52" spans="1:35">
      <c r="A52" s="100">
        <v>518120</v>
      </c>
      <c r="B52" s="171"/>
      <c r="C52" s="100">
        <v>1</v>
      </c>
      <c r="D52" s="100">
        <v>0</v>
      </c>
      <c r="E52" s="100">
        <v>102</v>
      </c>
      <c r="F52" s="171"/>
      <c r="G52" s="171" t="s">
        <v>4878</v>
      </c>
      <c r="H52" s="171"/>
      <c r="I52" s="171" t="s">
        <v>4861</v>
      </c>
      <c r="J52" s="171"/>
      <c r="K52" s="171">
        <v>100</v>
      </c>
      <c r="L52" s="171">
        <v>101</v>
      </c>
      <c r="M52" s="171">
        <v>10102</v>
      </c>
      <c r="N52" s="171">
        <v>10104</v>
      </c>
      <c r="O52" s="171" t="s">
        <v>4337</v>
      </c>
      <c r="P52" s="171" t="s">
        <v>534</v>
      </c>
      <c r="Q52" s="171" t="s">
        <v>4853</v>
      </c>
      <c r="R52" s="171" t="s">
        <v>4848</v>
      </c>
      <c r="S52" s="100">
        <v>13711</v>
      </c>
      <c r="T52" s="100">
        <v>0</v>
      </c>
      <c r="U52" s="100">
        <v>0</v>
      </c>
      <c r="V52" s="100">
        <v>1</v>
      </c>
      <c r="W52" s="100">
        <v>50</v>
      </c>
      <c r="X52" s="100">
        <v>50</v>
      </c>
      <c r="Y52" s="100">
        <v>0</v>
      </c>
      <c r="Z52" s="100">
        <v>0</v>
      </c>
      <c r="AA52" s="100">
        <v>0.13</v>
      </c>
      <c r="AB52" s="100">
        <v>6.67</v>
      </c>
      <c r="AC52" s="171"/>
      <c r="AD52" s="171"/>
      <c r="AE52" s="171"/>
      <c r="AF52" s="171" t="s">
        <v>4862</v>
      </c>
      <c r="AG52" s="171" t="s">
        <v>4861</v>
      </c>
      <c r="AH52" s="171" t="s">
        <v>4861</v>
      </c>
      <c r="AI52" s="171" t="s">
        <v>4877</v>
      </c>
    </row>
    <row r="53" spans="1:35">
      <c r="A53" s="100">
        <v>569635</v>
      </c>
      <c r="B53" s="171"/>
      <c r="C53" s="100">
        <v>1</v>
      </c>
      <c r="D53" s="100">
        <v>0</v>
      </c>
      <c r="E53" s="100">
        <v>0</v>
      </c>
      <c r="F53" s="171"/>
      <c r="G53" s="171"/>
      <c r="H53" s="171"/>
      <c r="I53" s="171" t="s">
        <v>6158</v>
      </c>
      <c r="J53" s="171"/>
      <c r="K53" s="171">
        <v>100</v>
      </c>
      <c r="L53" s="171">
        <v>101</v>
      </c>
      <c r="M53" s="171">
        <v>10102</v>
      </c>
      <c r="N53" s="171">
        <v>10103</v>
      </c>
      <c r="O53" s="171" t="s">
        <v>2216</v>
      </c>
      <c r="P53" s="171" t="s">
        <v>4814</v>
      </c>
      <c r="Q53" s="171"/>
      <c r="R53" s="171" t="s">
        <v>4848</v>
      </c>
      <c r="S53" s="100">
        <v>11310</v>
      </c>
      <c r="T53" s="100">
        <v>0</v>
      </c>
      <c r="U53" s="100">
        <v>0</v>
      </c>
      <c r="V53" s="100">
        <v>1</v>
      </c>
      <c r="W53" s="100">
        <v>16</v>
      </c>
      <c r="X53" s="100">
        <v>0</v>
      </c>
      <c r="Y53" s="100">
        <v>16</v>
      </c>
      <c r="Z53" s="100">
        <v>0</v>
      </c>
      <c r="AA53" s="100">
        <v>0.17</v>
      </c>
      <c r="AB53" s="100">
        <v>2.67</v>
      </c>
      <c r="AC53" s="171"/>
      <c r="AD53" s="171"/>
      <c r="AE53" s="171"/>
      <c r="AF53" s="171" t="s">
        <v>4866</v>
      </c>
      <c r="AG53" s="171" t="s">
        <v>6158</v>
      </c>
      <c r="AH53" s="171" t="s">
        <v>6158</v>
      </c>
      <c r="AI53" s="171" t="s">
        <v>4877</v>
      </c>
    </row>
    <row r="54" spans="1:35">
      <c r="A54" s="100">
        <v>539665</v>
      </c>
      <c r="B54" s="171"/>
      <c r="C54" s="100">
        <v>1</v>
      </c>
      <c r="D54" s="100">
        <v>0</v>
      </c>
      <c r="E54" s="100">
        <v>0</v>
      </c>
      <c r="F54" s="171"/>
      <c r="G54" s="171"/>
      <c r="H54" s="171"/>
      <c r="I54" s="171" t="s">
        <v>5051</v>
      </c>
      <c r="J54" s="171"/>
      <c r="K54" s="171">
        <v>100</v>
      </c>
      <c r="L54" s="171">
        <v>101</v>
      </c>
      <c r="M54" s="171">
        <v>10103</v>
      </c>
      <c r="N54" s="171">
        <v>10104</v>
      </c>
      <c r="O54" s="171" t="s">
        <v>635</v>
      </c>
      <c r="P54" s="171" t="s">
        <v>5007</v>
      </c>
      <c r="Q54" s="171" t="s">
        <v>4855</v>
      </c>
      <c r="R54" s="171" t="s">
        <v>4848</v>
      </c>
      <c r="S54" s="100">
        <v>10853</v>
      </c>
      <c r="T54" s="100">
        <v>0</v>
      </c>
      <c r="U54" s="100">
        <v>0</v>
      </c>
      <c r="V54" s="100">
        <v>1</v>
      </c>
      <c r="W54" s="100">
        <v>4</v>
      </c>
      <c r="X54" s="100">
        <v>0</v>
      </c>
      <c r="Y54" s="100">
        <v>4</v>
      </c>
      <c r="Z54" s="100">
        <v>0</v>
      </c>
      <c r="AA54" s="100">
        <v>0.93</v>
      </c>
      <c r="AB54" s="100">
        <v>3.73</v>
      </c>
      <c r="AC54" s="171"/>
      <c r="AD54" s="171"/>
      <c r="AE54" s="171"/>
      <c r="AF54" s="171" t="s">
        <v>4869</v>
      </c>
      <c r="AG54" s="171" t="s">
        <v>5051</v>
      </c>
      <c r="AH54" s="171" t="s">
        <v>5051</v>
      </c>
      <c r="AI54" s="171" t="s">
        <v>5054</v>
      </c>
    </row>
    <row r="55" spans="1:35">
      <c r="A55" s="100">
        <v>539671</v>
      </c>
      <c r="B55" s="171"/>
      <c r="C55" s="100">
        <v>1</v>
      </c>
      <c r="D55" s="100">
        <v>0</v>
      </c>
      <c r="E55" s="100">
        <v>0</v>
      </c>
      <c r="F55" s="171"/>
      <c r="G55" s="171"/>
      <c r="H55" s="171"/>
      <c r="I55" s="171" t="s">
        <v>5051</v>
      </c>
      <c r="J55" s="171"/>
      <c r="K55" s="171">
        <v>100</v>
      </c>
      <c r="L55" s="171">
        <v>101</v>
      </c>
      <c r="M55" s="171">
        <v>10103</v>
      </c>
      <c r="N55" s="171">
        <v>10104</v>
      </c>
      <c r="O55" s="171" t="s">
        <v>641</v>
      </c>
      <c r="P55" s="171" t="s">
        <v>5014</v>
      </c>
      <c r="Q55" s="171" t="s">
        <v>4855</v>
      </c>
      <c r="R55" s="171" t="s">
        <v>4848</v>
      </c>
      <c r="S55" s="100">
        <v>1655</v>
      </c>
      <c r="T55" s="100">
        <v>0</v>
      </c>
      <c r="U55" s="100">
        <v>0</v>
      </c>
      <c r="V55" s="100">
        <v>1</v>
      </c>
      <c r="W55" s="100">
        <v>4</v>
      </c>
      <c r="X55" s="100">
        <v>0</v>
      </c>
      <c r="Y55" s="100">
        <v>4</v>
      </c>
      <c r="Z55" s="100">
        <v>0</v>
      </c>
      <c r="AA55" s="100">
        <v>1.5</v>
      </c>
      <c r="AB55" s="100">
        <v>6</v>
      </c>
      <c r="AC55" s="171"/>
      <c r="AD55" s="171"/>
      <c r="AE55" s="171"/>
      <c r="AF55" s="171" t="s">
        <v>4869</v>
      </c>
      <c r="AG55" s="171" t="s">
        <v>5051</v>
      </c>
      <c r="AH55" s="171" t="s">
        <v>5051</v>
      </c>
      <c r="AI55" s="171" t="s">
        <v>5054</v>
      </c>
    </row>
    <row r="56" spans="1:35">
      <c r="A56" s="100">
        <v>539673</v>
      </c>
      <c r="B56" s="171"/>
      <c r="C56" s="100">
        <v>1</v>
      </c>
      <c r="D56" s="100">
        <v>0</v>
      </c>
      <c r="E56" s="100">
        <v>0</v>
      </c>
      <c r="F56" s="171"/>
      <c r="G56" s="171"/>
      <c r="H56" s="171"/>
      <c r="I56" s="171" t="s">
        <v>5051</v>
      </c>
      <c r="J56" s="171"/>
      <c r="K56" s="171">
        <v>100</v>
      </c>
      <c r="L56" s="171">
        <v>101</v>
      </c>
      <c r="M56" s="171">
        <v>10103</v>
      </c>
      <c r="N56" s="171">
        <v>10104</v>
      </c>
      <c r="O56" s="171" t="s">
        <v>639</v>
      </c>
      <c r="P56" s="171" t="s">
        <v>5018</v>
      </c>
      <c r="Q56" s="171" t="s">
        <v>4855</v>
      </c>
      <c r="R56" s="171" t="s">
        <v>4848</v>
      </c>
      <c r="S56" s="100">
        <v>5140</v>
      </c>
      <c r="T56" s="100">
        <v>0</v>
      </c>
      <c r="U56" s="100">
        <v>0</v>
      </c>
      <c r="V56" s="100">
        <v>1</v>
      </c>
      <c r="W56" s="100">
        <v>4</v>
      </c>
      <c r="X56" s="100">
        <v>0</v>
      </c>
      <c r="Y56" s="100">
        <v>4</v>
      </c>
      <c r="Z56" s="100">
        <v>0</v>
      </c>
      <c r="AA56" s="100">
        <v>1.5</v>
      </c>
      <c r="AB56" s="100">
        <v>6</v>
      </c>
      <c r="AC56" s="171"/>
      <c r="AD56" s="171"/>
      <c r="AE56" s="171"/>
      <c r="AF56" s="171" t="s">
        <v>4869</v>
      </c>
      <c r="AG56" s="171" t="s">
        <v>5051</v>
      </c>
      <c r="AH56" s="171" t="s">
        <v>5051</v>
      </c>
      <c r="AI56" s="171" t="s">
        <v>5054</v>
      </c>
    </row>
    <row r="57" spans="1:35">
      <c r="A57" s="100">
        <v>539674</v>
      </c>
      <c r="B57" s="171"/>
      <c r="C57" s="100">
        <v>1</v>
      </c>
      <c r="D57" s="100">
        <v>0</v>
      </c>
      <c r="E57" s="100">
        <v>0</v>
      </c>
      <c r="F57" s="171"/>
      <c r="G57" s="171"/>
      <c r="H57" s="171"/>
      <c r="I57" s="171" t="s">
        <v>5051</v>
      </c>
      <c r="J57" s="171"/>
      <c r="K57" s="171">
        <v>100</v>
      </c>
      <c r="L57" s="171">
        <v>101</v>
      </c>
      <c r="M57" s="171">
        <v>10103</v>
      </c>
      <c r="N57" s="171">
        <v>11403</v>
      </c>
      <c r="O57" s="171" t="s">
        <v>638</v>
      </c>
      <c r="P57" s="171" t="s">
        <v>5020</v>
      </c>
      <c r="Q57" s="171" t="s">
        <v>4855</v>
      </c>
      <c r="R57" s="171" t="s">
        <v>4848</v>
      </c>
      <c r="S57" s="100">
        <v>5150</v>
      </c>
      <c r="T57" s="100">
        <v>0</v>
      </c>
      <c r="U57" s="100">
        <v>0</v>
      </c>
      <c r="V57" s="100">
        <v>1</v>
      </c>
      <c r="W57" s="100">
        <v>4</v>
      </c>
      <c r="X57" s="100">
        <v>0</v>
      </c>
      <c r="Y57" s="100">
        <v>4</v>
      </c>
      <c r="Z57" s="100">
        <v>0</v>
      </c>
      <c r="AA57" s="100">
        <v>2.38</v>
      </c>
      <c r="AB57" s="100">
        <v>9.5299999999999994</v>
      </c>
      <c r="AC57" s="171"/>
      <c r="AD57" s="171"/>
      <c r="AE57" s="171"/>
      <c r="AF57" s="171" t="s">
        <v>4869</v>
      </c>
      <c r="AG57" s="171" t="s">
        <v>5051</v>
      </c>
      <c r="AH57" s="171" t="s">
        <v>5051</v>
      </c>
      <c r="AI57" s="171" t="s">
        <v>5055</v>
      </c>
    </row>
    <row r="58" spans="1:35">
      <c r="A58" s="100">
        <v>539675</v>
      </c>
      <c r="B58" s="171"/>
      <c r="C58" s="100">
        <v>1</v>
      </c>
      <c r="D58" s="100">
        <v>0</v>
      </c>
      <c r="E58" s="100">
        <v>0</v>
      </c>
      <c r="F58" s="171"/>
      <c r="G58" s="171"/>
      <c r="H58" s="171"/>
      <c r="I58" s="171" t="s">
        <v>5051</v>
      </c>
      <c r="J58" s="171"/>
      <c r="K58" s="171">
        <v>100</v>
      </c>
      <c r="L58" s="171">
        <v>101</v>
      </c>
      <c r="M58" s="171">
        <v>10103</v>
      </c>
      <c r="N58" s="171">
        <v>10104</v>
      </c>
      <c r="O58" s="171" t="s">
        <v>636</v>
      </c>
      <c r="P58" s="171" t="s">
        <v>5022</v>
      </c>
      <c r="Q58" s="171" t="s">
        <v>4855</v>
      </c>
      <c r="R58" s="171" t="s">
        <v>4848</v>
      </c>
      <c r="S58" s="100">
        <v>10856</v>
      </c>
      <c r="T58" s="100">
        <v>0</v>
      </c>
      <c r="U58" s="100">
        <v>0</v>
      </c>
      <c r="V58" s="100">
        <v>1</v>
      </c>
      <c r="W58" s="100">
        <v>4</v>
      </c>
      <c r="X58" s="100">
        <v>0</v>
      </c>
      <c r="Y58" s="100">
        <v>4</v>
      </c>
      <c r="Z58" s="100">
        <v>0</v>
      </c>
      <c r="AA58" s="100">
        <v>2</v>
      </c>
      <c r="AB58" s="100">
        <v>8</v>
      </c>
      <c r="AC58" s="171"/>
      <c r="AD58" s="171"/>
      <c r="AE58" s="171"/>
      <c r="AF58" s="171" t="s">
        <v>4869</v>
      </c>
      <c r="AG58" s="171" t="s">
        <v>5051</v>
      </c>
      <c r="AH58" s="171" t="s">
        <v>5051</v>
      </c>
      <c r="AI58" s="171" t="s">
        <v>5054</v>
      </c>
    </row>
    <row r="59" spans="1:35">
      <c r="A59" s="100">
        <v>539677</v>
      </c>
      <c r="B59" s="171"/>
      <c r="C59" s="100">
        <v>1</v>
      </c>
      <c r="D59" s="100">
        <v>0</v>
      </c>
      <c r="E59" s="100">
        <v>0</v>
      </c>
      <c r="F59" s="171"/>
      <c r="G59" s="171"/>
      <c r="H59" s="171"/>
      <c r="I59" s="171" t="s">
        <v>5051</v>
      </c>
      <c r="J59" s="171"/>
      <c r="K59" s="171">
        <v>100</v>
      </c>
      <c r="L59" s="171">
        <v>101</v>
      </c>
      <c r="M59" s="171">
        <v>10103</v>
      </c>
      <c r="N59" s="171">
        <v>10104</v>
      </c>
      <c r="O59" s="171" t="s">
        <v>632</v>
      </c>
      <c r="P59" s="171" t="s">
        <v>5026</v>
      </c>
      <c r="Q59" s="171" t="s">
        <v>4855</v>
      </c>
      <c r="R59" s="171" t="s">
        <v>4848</v>
      </c>
      <c r="S59" s="100">
        <v>4695</v>
      </c>
      <c r="T59" s="100">
        <v>0</v>
      </c>
      <c r="U59" s="100">
        <v>0</v>
      </c>
      <c r="V59" s="100">
        <v>1</v>
      </c>
      <c r="W59" s="100">
        <v>4</v>
      </c>
      <c r="X59" s="100">
        <v>0</v>
      </c>
      <c r="Y59" s="100">
        <v>4</v>
      </c>
      <c r="Z59" s="100">
        <v>0</v>
      </c>
      <c r="AA59" s="100">
        <v>1.08</v>
      </c>
      <c r="AB59" s="100">
        <v>4.33</v>
      </c>
      <c r="AC59" s="171"/>
      <c r="AD59" s="171"/>
      <c r="AE59" s="171"/>
      <c r="AF59" s="171" t="s">
        <v>4869</v>
      </c>
      <c r="AG59" s="171" t="s">
        <v>5051</v>
      </c>
      <c r="AH59" s="171" t="s">
        <v>5051</v>
      </c>
      <c r="AI59" s="171" t="s">
        <v>5054</v>
      </c>
    </row>
    <row r="60" spans="1:35">
      <c r="A60" s="100">
        <v>539686</v>
      </c>
      <c r="B60" s="171"/>
      <c r="C60" s="100">
        <v>1</v>
      </c>
      <c r="D60" s="100">
        <v>0</v>
      </c>
      <c r="E60" s="100">
        <v>0</v>
      </c>
      <c r="F60" s="171"/>
      <c r="G60" s="171"/>
      <c r="H60" s="171"/>
      <c r="I60" s="171" t="s">
        <v>5051</v>
      </c>
      <c r="J60" s="171"/>
      <c r="K60" s="171">
        <v>100</v>
      </c>
      <c r="L60" s="171">
        <v>101</v>
      </c>
      <c r="M60" s="171">
        <v>10103</v>
      </c>
      <c r="N60" s="171">
        <v>10104</v>
      </c>
      <c r="O60" s="171" t="s">
        <v>813</v>
      </c>
      <c r="P60" s="171" t="s">
        <v>5034</v>
      </c>
      <c r="Q60" s="171" t="s">
        <v>4855</v>
      </c>
      <c r="R60" s="171" t="s">
        <v>4848</v>
      </c>
      <c r="S60" s="100">
        <v>4692</v>
      </c>
      <c r="T60" s="100">
        <v>0</v>
      </c>
      <c r="U60" s="100">
        <v>0</v>
      </c>
      <c r="V60" s="100">
        <v>1</v>
      </c>
      <c r="W60" s="100">
        <v>4</v>
      </c>
      <c r="X60" s="100">
        <v>0</v>
      </c>
      <c r="Y60" s="100">
        <v>4</v>
      </c>
      <c r="Z60" s="100">
        <v>0</v>
      </c>
      <c r="AA60" s="100">
        <v>1.1299999999999999</v>
      </c>
      <c r="AB60" s="100">
        <v>4.53</v>
      </c>
      <c r="AC60" s="171"/>
      <c r="AD60" s="171"/>
      <c r="AE60" s="171"/>
      <c r="AF60" s="171" t="s">
        <v>4869</v>
      </c>
      <c r="AG60" s="171" t="s">
        <v>5051</v>
      </c>
      <c r="AH60" s="171" t="s">
        <v>5051</v>
      </c>
      <c r="AI60" s="171" t="s">
        <v>5055</v>
      </c>
    </row>
    <row r="61" spans="1:35">
      <c r="A61" s="100">
        <v>539777</v>
      </c>
      <c r="B61" s="171"/>
      <c r="C61" s="100">
        <v>1</v>
      </c>
      <c r="D61" s="100">
        <v>0</v>
      </c>
      <c r="E61" s="100">
        <v>0</v>
      </c>
      <c r="F61" s="171"/>
      <c r="G61" s="171"/>
      <c r="H61" s="171"/>
      <c r="I61" s="171" t="s">
        <v>5052</v>
      </c>
      <c r="J61" s="171"/>
      <c r="K61" s="171">
        <v>100</v>
      </c>
      <c r="L61" s="171">
        <v>101</v>
      </c>
      <c r="M61" s="171">
        <v>10103</v>
      </c>
      <c r="N61" s="171">
        <v>10104</v>
      </c>
      <c r="O61" s="171" t="s">
        <v>820</v>
      </c>
      <c r="P61" s="171" t="s">
        <v>5040</v>
      </c>
      <c r="Q61" s="171" t="s">
        <v>4855</v>
      </c>
      <c r="R61" s="171" t="s">
        <v>4848</v>
      </c>
      <c r="S61" s="100">
        <v>10877</v>
      </c>
      <c r="T61" s="100">
        <v>0</v>
      </c>
      <c r="U61" s="100">
        <v>0</v>
      </c>
      <c r="V61" s="100">
        <v>1</v>
      </c>
      <c r="W61" s="100">
        <v>4</v>
      </c>
      <c r="X61" s="100">
        <v>0</v>
      </c>
      <c r="Y61" s="100">
        <v>4</v>
      </c>
      <c r="Z61" s="100">
        <v>0</v>
      </c>
      <c r="AA61" s="100">
        <v>0.53</v>
      </c>
      <c r="AB61" s="100">
        <v>2.13</v>
      </c>
      <c r="AC61" s="171"/>
      <c r="AD61" s="171"/>
      <c r="AE61" s="171"/>
      <c r="AF61" s="171" t="s">
        <v>4869</v>
      </c>
      <c r="AG61" s="171" t="s">
        <v>5052</v>
      </c>
      <c r="AH61" s="171" t="s">
        <v>5052</v>
      </c>
      <c r="AI61" s="171" t="s">
        <v>5054</v>
      </c>
    </row>
    <row r="62" spans="1:35">
      <c r="A62" s="100">
        <v>539781</v>
      </c>
      <c r="B62" s="171"/>
      <c r="C62" s="100">
        <v>1</v>
      </c>
      <c r="D62" s="100">
        <v>0</v>
      </c>
      <c r="E62" s="100">
        <v>0</v>
      </c>
      <c r="F62" s="171"/>
      <c r="G62" s="171"/>
      <c r="H62" s="171"/>
      <c r="I62" s="171" t="s">
        <v>5052</v>
      </c>
      <c r="J62" s="171"/>
      <c r="K62" s="171">
        <v>100</v>
      </c>
      <c r="L62" s="171">
        <v>101</v>
      </c>
      <c r="M62" s="171">
        <v>10103</v>
      </c>
      <c r="N62" s="171">
        <v>10104</v>
      </c>
      <c r="O62" s="171" t="s">
        <v>634</v>
      </c>
      <c r="P62" s="171" t="s">
        <v>5046</v>
      </c>
      <c r="Q62" s="171" t="s">
        <v>4855</v>
      </c>
      <c r="R62" s="171" t="s">
        <v>4848</v>
      </c>
      <c r="S62" s="100">
        <v>10864</v>
      </c>
      <c r="T62" s="100">
        <v>0</v>
      </c>
      <c r="U62" s="100">
        <v>0</v>
      </c>
      <c r="V62" s="100">
        <v>1</v>
      </c>
      <c r="W62" s="100">
        <v>4</v>
      </c>
      <c r="X62" s="100">
        <v>0</v>
      </c>
      <c r="Y62" s="100">
        <v>4</v>
      </c>
      <c r="Z62" s="100">
        <v>0</v>
      </c>
      <c r="AA62" s="100">
        <v>1.25</v>
      </c>
      <c r="AB62" s="100">
        <v>5</v>
      </c>
      <c r="AC62" s="171"/>
      <c r="AD62" s="171"/>
      <c r="AE62" s="171"/>
      <c r="AF62" s="171" t="s">
        <v>4869</v>
      </c>
      <c r="AG62" s="171" t="s">
        <v>5052</v>
      </c>
      <c r="AH62" s="171" t="s">
        <v>5052</v>
      </c>
      <c r="AI62" s="171" t="s">
        <v>5054</v>
      </c>
    </row>
    <row r="63" spans="1:35">
      <c r="A63" s="100">
        <v>574046</v>
      </c>
      <c r="B63" s="171"/>
      <c r="C63" s="100">
        <v>1</v>
      </c>
      <c r="D63" s="100">
        <v>0</v>
      </c>
      <c r="E63" s="100">
        <v>114</v>
      </c>
      <c r="F63" s="171"/>
      <c r="G63" s="171" t="s">
        <v>6160</v>
      </c>
      <c r="H63" s="171"/>
      <c r="I63" s="171" t="s">
        <v>6157</v>
      </c>
      <c r="J63" s="171"/>
      <c r="K63" s="171">
        <v>100</v>
      </c>
      <c r="L63" s="171">
        <v>101</v>
      </c>
      <c r="M63" s="171">
        <v>10104</v>
      </c>
      <c r="N63" s="171">
        <v>22001</v>
      </c>
      <c r="O63" s="171" t="s">
        <v>4147</v>
      </c>
      <c r="P63" s="171" t="s">
        <v>5958</v>
      </c>
      <c r="Q63" s="171" t="s">
        <v>4853</v>
      </c>
      <c r="R63" s="171" t="s">
        <v>4848</v>
      </c>
      <c r="S63" s="100">
        <v>6945</v>
      </c>
      <c r="T63" s="100">
        <v>0</v>
      </c>
      <c r="U63" s="100">
        <v>0</v>
      </c>
      <c r="V63" s="100">
        <v>1</v>
      </c>
      <c r="W63" s="100">
        <v>100</v>
      </c>
      <c r="X63" s="100">
        <v>100</v>
      </c>
      <c r="Y63" s="100">
        <v>0</v>
      </c>
      <c r="Z63" s="100">
        <v>0</v>
      </c>
      <c r="AA63" s="100">
        <v>0</v>
      </c>
      <c r="AB63" s="100">
        <v>0.08</v>
      </c>
      <c r="AC63" s="171"/>
      <c r="AD63" s="171"/>
      <c r="AE63" s="171"/>
      <c r="AF63" s="171" t="s">
        <v>4849</v>
      </c>
      <c r="AG63" s="171" t="s">
        <v>6157</v>
      </c>
      <c r="AH63" s="171" t="s">
        <v>6157</v>
      </c>
      <c r="AI63" s="171" t="s">
        <v>5342</v>
      </c>
    </row>
    <row r="64" spans="1:35">
      <c r="A64" s="100">
        <v>518535</v>
      </c>
      <c r="B64" s="171"/>
      <c r="C64" s="100">
        <v>1</v>
      </c>
      <c r="D64" s="100">
        <v>0</v>
      </c>
      <c r="E64" s="100">
        <v>105</v>
      </c>
      <c r="F64" s="171"/>
      <c r="G64" s="171" t="s">
        <v>4880</v>
      </c>
      <c r="H64" s="171"/>
      <c r="I64" s="171" t="s">
        <v>4881</v>
      </c>
      <c r="J64" s="171"/>
      <c r="K64" s="171">
        <v>100</v>
      </c>
      <c r="L64" s="171">
        <v>101</v>
      </c>
      <c r="M64" s="171">
        <v>10105</v>
      </c>
      <c r="N64" s="171">
        <v>10104</v>
      </c>
      <c r="O64" s="171" t="s">
        <v>2468</v>
      </c>
      <c r="P64" s="171" t="s">
        <v>522</v>
      </c>
      <c r="Q64" s="171" t="s">
        <v>4853</v>
      </c>
      <c r="R64" s="171" t="s">
        <v>4848</v>
      </c>
      <c r="S64" s="100">
        <v>14664</v>
      </c>
      <c r="T64" s="100">
        <v>0</v>
      </c>
      <c r="U64" s="100">
        <v>0</v>
      </c>
      <c r="V64" s="100">
        <v>1</v>
      </c>
      <c r="W64" s="100">
        <v>70</v>
      </c>
      <c r="X64" s="100">
        <v>70</v>
      </c>
      <c r="Y64" s="100">
        <v>0</v>
      </c>
      <c r="Z64" s="100">
        <v>0</v>
      </c>
      <c r="AA64" s="100">
        <v>0.08</v>
      </c>
      <c r="AB64" s="100">
        <v>5.83</v>
      </c>
      <c r="AC64" s="171"/>
      <c r="AD64" s="171"/>
      <c r="AE64" s="171"/>
      <c r="AF64" s="171" t="s">
        <v>4852</v>
      </c>
      <c r="AG64" s="171" t="s">
        <v>4881</v>
      </c>
      <c r="AH64" s="171" t="s">
        <v>4881</v>
      </c>
      <c r="AI64" s="171" t="s">
        <v>4859</v>
      </c>
    </row>
    <row r="65" spans="1:35">
      <c r="A65" s="100">
        <v>513254</v>
      </c>
      <c r="B65" s="171"/>
      <c r="C65" s="100">
        <v>1</v>
      </c>
      <c r="D65" s="100">
        <v>0</v>
      </c>
      <c r="E65" s="100">
        <v>1</v>
      </c>
      <c r="F65" s="171"/>
      <c r="G65" s="171" t="s">
        <v>4882</v>
      </c>
      <c r="H65" s="171"/>
      <c r="I65" s="171" t="s">
        <v>4854</v>
      </c>
      <c r="J65" s="171"/>
      <c r="K65" s="171">
        <v>100</v>
      </c>
      <c r="L65" s="171">
        <v>102</v>
      </c>
      <c r="M65" s="171">
        <v>10202</v>
      </c>
      <c r="N65" s="171">
        <v>10205</v>
      </c>
      <c r="O65" s="171" t="s">
        <v>4263</v>
      </c>
      <c r="P65" s="171" t="s">
        <v>517</v>
      </c>
      <c r="Q65" s="171" t="s">
        <v>4853</v>
      </c>
      <c r="R65" s="171" t="s">
        <v>4848</v>
      </c>
      <c r="S65" s="100">
        <v>174</v>
      </c>
      <c r="T65" s="100">
        <v>0</v>
      </c>
      <c r="U65" s="100">
        <v>0</v>
      </c>
      <c r="V65" s="100">
        <v>1</v>
      </c>
      <c r="W65" s="100">
        <v>150</v>
      </c>
      <c r="X65" s="100">
        <v>150</v>
      </c>
      <c r="Y65" s="100">
        <v>0</v>
      </c>
      <c r="Z65" s="100">
        <v>0</v>
      </c>
      <c r="AA65" s="100">
        <v>0</v>
      </c>
      <c r="AB65" s="100">
        <v>0.25</v>
      </c>
      <c r="AC65" s="171"/>
      <c r="AD65" s="171"/>
      <c r="AE65" s="171"/>
      <c r="AF65" s="171" t="s">
        <v>4852</v>
      </c>
      <c r="AG65" s="171" t="s">
        <v>4854</v>
      </c>
      <c r="AH65" s="171" t="s">
        <v>4854</v>
      </c>
      <c r="AI65" s="171" t="s">
        <v>4859</v>
      </c>
    </row>
    <row r="66" spans="1:35">
      <c r="A66" s="100">
        <v>513577</v>
      </c>
      <c r="B66" s="171"/>
      <c r="C66" s="100">
        <v>1</v>
      </c>
      <c r="D66" s="100">
        <v>0</v>
      </c>
      <c r="E66" s="100">
        <v>1</v>
      </c>
      <c r="F66" s="171"/>
      <c r="G66" s="171" t="s">
        <v>4882</v>
      </c>
      <c r="H66" s="171"/>
      <c r="I66" s="171" t="s">
        <v>4884</v>
      </c>
      <c r="J66" s="171"/>
      <c r="K66" s="171">
        <v>100</v>
      </c>
      <c r="L66" s="171">
        <v>102</v>
      </c>
      <c r="M66" s="171">
        <v>10202</v>
      </c>
      <c r="N66" s="171">
        <v>10205</v>
      </c>
      <c r="O66" s="171" t="s">
        <v>673</v>
      </c>
      <c r="P66" s="171" t="s">
        <v>519</v>
      </c>
      <c r="Q66" s="171" t="s">
        <v>4853</v>
      </c>
      <c r="R66" s="171" t="s">
        <v>4848</v>
      </c>
      <c r="S66" s="100">
        <v>5257</v>
      </c>
      <c r="T66" s="100">
        <v>0</v>
      </c>
      <c r="U66" s="100">
        <v>0</v>
      </c>
      <c r="V66" s="100">
        <v>1</v>
      </c>
      <c r="W66" s="100">
        <v>20</v>
      </c>
      <c r="X66" s="100">
        <v>20</v>
      </c>
      <c r="Y66" s="100">
        <v>0</v>
      </c>
      <c r="Z66" s="100">
        <v>0</v>
      </c>
      <c r="AA66" s="100">
        <v>0.01</v>
      </c>
      <c r="AB66" s="100">
        <v>0.17</v>
      </c>
      <c r="AC66" s="171"/>
      <c r="AD66" s="171"/>
      <c r="AE66" s="171"/>
      <c r="AF66" s="171" t="s">
        <v>4885</v>
      </c>
      <c r="AG66" s="171" t="s">
        <v>4884</v>
      </c>
      <c r="AH66" s="171" t="s">
        <v>4884</v>
      </c>
      <c r="AI66" s="171" t="s">
        <v>4850</v>
      </c>
    </row>
    <row r="67" spans="1:35">
      <c r="A67" s="100">
        <v>514484</v>
      </c>
      <c r="B67" s="171"/>
      <c r="C67" s="100">
        <v>1</v>
      </c>
      <c r="D67" s="100">
        <v>0</v>
      </c>
      <c r="E67" s="100">
        <v>1730236195</v>
      </c>
      <c r="F67" s="171"/>
      <c r="G67" s="171" t="s">
        <v>4883</v>
      </c>
      <c r="H67" s="171"/>
      <c r="I67" s="171" t="s">
        <v>4879</v>
      </c>
      <c r="J67" s="171"/>
      <c r="K67" s="171">
        <v>100</v>
      </c>
      <c r="L67" s="171">
        <v>102</v>
      </c>
      <c r="M67" s="171">
        <v>10202</v>
      </c>
      <c r="N67" s="171">
        <v>10205</v>
      </c>
      <c r="O67" s="171" t="s">
        <v>875</v>
      </c>
      <c r="P67" s="171" t="s">
        <v>521</v>
      </c>
      <c r="Q67" s="171" t="s">
        <v>4851</v>
      </c>
      <c r="R67" s="171" t="s">
        <v>4848</v>
      </c>
      <c r="S67" s="100">
        <v>13331</v>
      </c>
      <c r="T67" s="100">
        <v>0</v>
      </c>
      <c r="U67" s="100">
        <v>0</v>
      </c>
      <c r="V67" s="100">
        <v>1</v>
      </c>
      <c r="W67" s="100">
        <v>30</v>
      </c>
      <c r="X67" s="100">
        <v>30</v>
      </c>
      <c r="Y67" s="100">
        <v>0</v>
      </c>
      <c r="Z67" s="100">
        <v>0</v>
      </c>
      <c r="AA67" s="100">
        <v>0.02</v>
      </c>
      <c r="AB67" s="100">
        <v>0.5</v>
      </c>
      <c r="AC67" s="171"/>
      <c r="AD67" s="171"/>
      <c r="AE67" s="171"/>
      <c r="AF67" s="171" t="s">
        <v>4852</v>
      </c>
      <c r="AG67" s="171" t="s">
        <v>4879</v>
      </c>
      <c r="AH67" s="171" t="s">
        <v>4879</v>
      </c>
      <c r="AI67" s="171" t="s">
        <v>4859</v>
      </c>
    </row>
    <row r="68" spans="1:35">
      <c r="A68" s="100">
        <v>517406</v>
      </c>
      <c r="B68" s="171"/>
      <c r="C68" s="100">
        <v>1</v>
      </c>
      <c r="D68" s="100">
        <v>0</v>
      </c>
      <c r="E68" s="100">
        <v>0</v>
      </c>
      <c r="F68" s="171"/>
      <c r="G68" s="171"/>
      <c r="H68" s="171"/>
      <c r="I68" s="171" t="s">
        <v>4887</v>
      </c>
      <c r="J68" s="171"/>
      <c r="K68" s="171">
        <v>100</v>
      </c>
      <c r="L68" s="171">
        <v>102</v>
      </c>
      <c r="M68" s="171">
        <v>10202</v>
      </c>
      <c r="N68" s="171">
        <v>22003</v>
      </c>
      <c r="O68" s="171" t="s">
        <v>4888</v>
      </c>
      <c r="P68" s="171" t="s">
        <v>554</v>
      </c>
      <c r="Q68" s="171" t="s">
        <v>4855</v>
      </c>
      <c r="R68" s="171" t="s">
        <v>4848</v>
      </c>
      <c r="S68" s="100">
        <v>5783</v>
      </c>
      <c r="T68" s="100">
        <v>0</v>
      </c>
      <c r="U68" s="100">
        <v>0</v>
      </c>
      <c r="V68" s="100">
        <v>1</v>
      </c>
      <c r="W68" s="100">
        <v>50</v>
      </c>
      <c r="X68" s="100">
        <v>0</v>
      </c>
      <c r="Y68" s="100">
        <v>50</v>
      </c>
      <c r="Z68" s="100">
        <v>0</v>
      </c>
      <c r="AA68" s="100">
        <v>0.02</v>
      </c>
      <c r="AB68" s="100">
        <v>0.83</v>
      </c>
      <c r="AC68" s="171"/>
      <c r="AD68" s="171"/>
      <c r="AE68" s="171"/>
      <c r="AF68" s="171" t="s">
        <v>4885</v>
      </c>
      <c r="AG68" s="171" t="s">
        <v>4887</v>
      </c>
      <c r="AH68" s="171" t="s">
        <v>4887</v>
      </c>
      <c r="AI68" s="171" t="s">
        <v>4859</v>
      </c>
    </row>
    <row r="69" spans="1:35">
      <c r="A69" s="100">
        <v>518148</v>
      </c>
      <c r="B69" s="171"/>
      <c r="C69" s="100">
        <v>1</v>
      </c>
      <c r="D69" s="100">
        <v>0</v>
      </c>
      <c r="E69" s="100">
        <v>1</v>
      </c>
      <c r="F69" s="171"/>
      <c r="G69" s="171" t="s">
        <v>5079</v>
      </c>
      <c r="H69" s="171"/>
      <c r="I69" s="171" t="s">
        <v>4861</v>
      </c>
      <c r="J69" s="171"/>
      <c r="K69" s="171">
        <v>100</v>
      </c>
      <c r="L69" s="171">
        <v>102</v>
      </c>
      <c r="M69" s="171">
        <v>10202</v>
      </c>
      <c r="N69" s="171">
        <v>10205</v>
      </c>
      <c r="O69" s="171" t="s">
        <v>837</v>
      </c>
      <c r="P69" s="171" t="s">
        <v>4798</v>
      </c>
      <c r="Q69" s="171" t="s">
        <v>4853</v>
      </c>
      <c r="R69" s="171" t="s">
        <v>4848</v>
      </c>
      <c r="S69" s="100">
        <v>9150</v>
      </c>
      <c r="T69" s="100">
        <v>0</v>
      </c>
      <c r="U69" s="100">
        <v>0</v>
      </c>
      <c r="V69" s="100">
        <v>1</v>
      </c>
      <c r="W69" s="100">
        <v>15</v>
      </c>
      <c r="X69" s="100">
        <v>15</v>
      </c>
      <c r="Y69" s="100">
        <v>0</v>
      </c>
      <c r="Z69" s="100">
        <v>0</v>
      </c>
      <c r="AA69" s="100">
        <v>0.02</v>
      </c>
      <c r="AB69" s="100">
        <v>0.25</v>
      </c>
      <c r="AC69" s="171"/>
      <c r="AD69" s="171"/>
      <c r="AE69" s="171"/>
      <c r="AF69" s="171" t="s">
        <v>4862</v>
      </c>
      <c r="AG69" s="171" t="s">
        <v>4861</v>
      </c>
      <c r="AH69" s="171" t="s">
        <v>4861</v>
      </c>
      <c r="AI69" s="171" t="s">
        <v>4859</v>
      </c>
    </row>
    <row r="70" spans="1:35">
      <c r="A70" s="100">
        <v>518149</v>
      </c>
      <c r="B70" s="171"/>
      <c r="C70" s="100">
        <v>1</v>
      </c>
      <c r="D70" s="100">
        <v>0</v>
      </c>
      <c r="E70" s="100">
        <v>1</v>
      </c>
      <c r="F70" s="171"/>
      <c r="G70" s="171" t="s">
        <v>4876</v>
      </c>
      <c r="H70" s="171"/>
      <c r="I70" s="171" t="s">
        <v>4861</v>
      </c>
      <c r="J70" s="171"/>
      <c r="K70" s="171">
        <v>100</v>
      </c>
      <c r="L70" s="171">
        <v>102</v>
      </c>
      <c r="M70" s="171">
        <v>10202</v>
      </c>
      <c r="N70" s="171">
        <v>10205</v>
      </c>
      <c r="O70" s="171" t="s">
        <v>699</v>
      </c>
      <c r="P70" s="171" t="s">
        <v>535</v>
      </c>
      <c r="Q70" s="171" t="s">
        <v>4853</v>
      </c>
      <c r="R70" s="171" t="s">
        <v>4848</v>
      </c>
      <c r="S70" s="100">
        <v>9601</v>
      </c>
      <c r="T70" s="100">
        <v>0</v>
      </c>
      <c r="U70" s="100">
        <v>0</v>
      </c>
      <c r="V70" s="100">
        <v>1</v>
      </c>
      <c r="W70" s="100">
        <v>50</v>
      </c>
      <c r="X70" s="100">
        <v>50</v>
      </c>
      <c r="Y70" s="100">
        <v>0</v>
      </c>
      <c r="Z70" s="100">
        <v>0</v>
      </c>
      <c r="AA70" s="100">
        <v>0.02</v>
      </c>
      <c r="AB70" s="100">
        <v>0.83</v>
      </c>
      <c r="AC70" s="171"/>
      <c r="AD70" s="171"/>
      <c r="AE70" s="171"/>
      <c r="AF70" s="171" t="s">
        <v>4862</v>
      </c>
      <c r="AG70" s="171" t="s">
        <v>4861</v>
      </c>
      <c r="AH70" s="171" t="s">
        <v>4861</v>
      </c>
      <c r="AI70" s="171" t="s">
        <v>4859</v>
      </c>
    </row>
    <row r="71" spans="1:35">
      <c r="A71" s="100">
        <v>518153</v>
      </c>
      <c r="B71" s="171"/>
      <c r="C71" s="100">
        <v>1</v>
      </c>
      <c r="D71" s="100">
        <v>0</v>
      </c>
      <c r="E71" s="100">
        <v>0</v>
      </c>
      <c r="F71" s="171"/>
      <c r="G71" s="171"/>
      <c r="H71" s="171"/>
      <c r="I71" s="171" t="s">
        <v>4861</v>
      </c>
      <c r="J71" s="171"/>
      <c r="K71" s="171">
        <v>100</v>
      </c>
      <c r="L71" s="171">
        <v>102</v>
      </c>
      <c r="M71" s="171">
        <v>10202</v>
      </c>
      <c r="N71" s="171">
        <v>10205</v>
      </c>
      <c r="O71" s="171" t="s">
        <v>4889</v>
      </c>
      <c r="P71" s="171" t="s">
        <v>4800</v>
      </c>
      <c r="Q71" s="171" t="s">
        <v>4855</v>
      </c>
      <c r="R71" s="171" t="s">
        <v>4848</v>
      </c>
      <c r="S71" s="100">
        <v>5841</v>
      </c>
      <c r="T71" s="100">
        <v>0</v>
      </c>
      <c r="U71" s="100">
        <v>0</v>
      </c>
      <c r="V71" s="100">
        <v>1</v>
      </c>
      <c r="W71" s="100">
        <v>80</v>
      </c>
      <c r="X71" s="100">
        <v>0</v>
      </c>
      <c r="Y71" s="100">
        <v>80</v>
      </c>
      <c r="Z71" s="100">
        <v>0</v>
      </c>
      <c r="AA71" s="100">
        <v>0.01</v>
      </c>
      <c r="AB71" s="100">
        <v>0.67</v>
      </c>
      <c r="AC71" s="171"/>
      <c r="AD71" s="171"/>
      <c r="AE71" s="171"/>
      <c r="AF71" s="171" t="s">
        <v>4862</v>
      </c>
      <c r="AG71" s="171" t="s">
        <v>4861</v>
      </c>
      <c r="AH71" s="171" t="s">
        <v>4861</v>
      </c>
      <c r="AI71" s="171" t="s">
        <v>4859</v>
      </c>
    </row>
    <row r="72" spans="1:35">
      <c r="A72" s="100">
        <v>537696</v>
      </c>
      <c r="B72" s="171"/>
      <c r="C72" s="100">
        <v>1</v>
      </c>
      <c r="D72" s="100">
        <v>0</v>
      </c>
      <c r="E72" s="100">
        <v>0</v>
      </c>
      <c r="F72" s="171"/>
      <c r="G72" s="171"/>
      <c r="H72" s="171"/>
      <c r="I72" s="171" t="s">
        <v>4873</v>
      </c>
      <c r="J72" s="171"/>
      <c r="K72" s="171">
        <v>100</v>
      </c>
      <c r="L72" s="171">
        <v>102</v>
      </c>
      <c r="M72" s="171">
        <v>10202</v>
      </c>
      <c r="N72" s="171">
        <v>22003</v>
      </c>
      <c r="O72" s="171" t="s">
        <v>4890</v>
      </c>
      <c r="P72" s="171" t="s">
        <v>4808</v>
      </c>
      <c r="Q72" s="171" t="s">
        <v>4855</v>
      </c>
      <c r="R72" s="171" t="s">
        <v>4848</v>
      </c>
      <c r="S72" s="100">
        <v>7806</v>
      </c>
      <c r="T72" s="100">
        <v>0</v>
      </c>
      <c r="U72" s="100">
        <v>0</v>
      </c>
      <c r="V72" s="100">
        <v>1</v>
      </c>
      <c r="W72" s="100">
        <v>250</v>
      </c>
      <c r="X72" s="100">
        <v>0</v>
      </c>
      <c r="Y72" s="100">
        <v>250</v>
      </c>
      <c r="Z72" s="100">
        <v>0</v>
      </c>
      <c r="AA72" s="100">
        <v>0.01</v>
      </c>
      <c r="AB72" s="100">
        <v>2.08</v>
      </c>
      <c r="AC72" s="171"/>
      <c r="AD72" s="171"/>
      <c r="AE72" s="171"/>
      <c r="AF72" s="171" t="s">
        <v>4870</v>
      </c>
      <c r="AG72" s="171" t="s">
        <v>4873</v>
      </c>
      <c r="AH72" s="171" t="s">
        <v>4873</v>
      </c>
      <c r="AI72" s="171" t="s">
        <v>4859</v>
      </c>
    </row>
    <row r="73" spans="1:35">
      <c r="A73" s="100">
        <v>539666</v>
      </c>
      <c r="B73" s="171"/>
      <c r="C73" s="100">
        <v>1</v>
      </c>
      <c r="D73" s="100">
        <v>0</v>
      </c>
      <c r="E73" s="100">
        <v>0</v>
      </c>
      <c r="F73" s="171"/>
      <c r="G73" s="171"/>
      <c r="H73" s="171"/>
      <c r="I73" s="171" t="s">
        <v>5051</v>
      </c>
      <c r="J73" s="171"/>
      <c r="K73" s="171">
        <v>100</v>
      </c>
      <c r="L73" s="171">
        <v>102</v>
      </c>
      <c r="M73" s="171">
        <v>10202</v>
      </c>
      <c r="N73" s="171">
        <v>22003</v>
      </c>
      <c r="O73" s="171" t="s">
        <v>4890</v>
      </c>
      <c r="P73" s="171" t="s">
        <v>4808</v>
      </c>
      <c r="Q73" s="171" t="s">
        <v>4855</v>
      </c>
      <c r="R73" s="171" t="s">
        <v>4848</v>
      </c>
      <c r="S73" s="100">
        <v>7805</v>
      </c>
      <c r="T73" s="100">
        <v>0</v>
      </c>
      <c r="U73" s="100">
        <v>0</v>
      </c>
      <c r="V73" s="100">
        <v>1</v>
      </c>
      <c r="W73" s="100">
        <v>250</v>
      </c>
      <c r="X73" s="100">
        <v>0</v>
      </c>
      <c r="Y73" s="100">
        <v>250</v>
      </c>
      <c r="Z73" s="100">
        <v>0</v>
      </c>
      <c r="AA73" s="100">
        <v>0.01</v>
      </c>
      <c r="AB73" s="100">
        <v>2.08</v>
      </c>
      <c r="AC73" s="171"/>
      <c r="AD73" s="171"/>
      <c r="AE73" s="171"/>
      <c r="AF73" s="171" t="s">
        <v>4849</v>
      </c>
      <c r="AG73" s="171" t="s">
        <v>5051</v>
      </c>
      <c r="AH73" s="171" t="s">
        <v>5051</v>
      </c>
      <c r="AI73" s="171" t="s">
        <v>4859</v>
      </c>
    </row>
    <row r="74" spans="1:35">
      <c r="A74" s="100">
        <v>539669</v>
      </c>
      <c r="B74" s="171"/>
      <c r="C74" s="100">
        <v>1</v>
      </c>
      <c r="D74" s="100">
        <v>0</v>
      </c>
      <c r="E74" s="100">
        <v>1</v>
      </c>
      <c r="F74" s="171"/>
      <c r="G74" s="171" t="s">
        <v>5344</v>
      </c>
      <c r="H74" s="171"/>
      <c r="I74" s="171" t="s">
        <v>5051</v>
      </c>
      <c r="J74" s="171"/>
      <c r="K74" s="171">
        <v>100</v>
      </c>
      <c r="L74" s="171">
        <v>102</v>
      </c>
      <c r="M74" s="171">
        <v>10202</v>
      </c>
      <c r="N74" s="171">
        <v>10205</v>
      </c>
      <c r="O74" s="171" t="s">
        <v>694</v>
      </c>
      <c r="P74" s="171" t="s">
        <v>5010</v>
      </c>
      <c r="Q74" s="171" t="s">
        <v>4853</v>
      </c>
      <c r="R74" s="171" t="s">
        <v>4848</v>
      </c>
      <c r="S74" s="100">
        <v>4705</v>
      </c>
      <c r="T74" s="100">
        <v>0</v>
      </c>
      <c r="U74" s="100">
        <v>0</v>
      </c>
      <c r="V74" s="100">
        <v>1</v>
      </c>
      <c r="W74" s="100">
        <v>4</v>
      </c>
      <c r="X74" s="100">
        <v>4</v>
      </c>
      <c r="Y74" s="100">
        <v>0</v>
      </c>
      <c r="Z74" s="100">
        <v>0</v>
      </c>
      <c r="AA74" s="100">
        <v>0.02</v>
      </c>
      <c r="AB74" s="100">
        <v>7.0000000000000007E-2</v>
      </c>
      <c r="AC74" s="171"/>
      <c r="AD74" s="171"/>
      <c r="AE74" s="171"/>
      <c r="AF74" s="171" t="s">
        <v>4869</v>
      </c>
      <c r="AG74" s="171" t="s">
        <v>5051</v>
      </c>
      <c r="AH74" s="171" t="s">
        <v>5051</v>
      </c>
      <c r="AI74" s="171" t="s">
        <v>4859</v>
      </c>
    </row>
    <row r="75" spans="1:35">
      <c r="A75" s="100">
        <v>544540</v>
      </c>
      <c r="B75" s="171"/>
      <c r="C75" s="100">
        <v>1</v>
      </c>
      <c r="D75" s="100">
        <v>0</v>
      </c>
      <c r="E75" s="100">
        <v>0</v>
      </c>
      <c r="F75" s="171"/>
      <c r="G75" s="171"/>
      <c r="H75" s="171"/>
      <c r="I75" s="171" t="s">
        <v>5230</v>
      </c>
      <c r="J75" s="171"/>
      <c r="K75" s="171">
        <v>100</v>
      </c>
      <c r="L75" s="171">
        <v>102</v>
      </c>
      <c r="M75" s="171">
        <v>10202</v>
      </c>
      <c r="N75" s="171">
        <v>10205</v>
      </c>
      <c r="O75" s="171" t="s">
        <v>2101</v>
      </c>
      <c r="P75" s="171" t="s">
        <v>5219</v>
      </c>
      <c r="Q75" s="171" t="s">
        <v>4855</v>
      </c>
      <c r="R75" s="171" t="s">
        <v>4848</v>
      </c>
      <c r="S75" s="100">
        <v>11391</v>
      </c>
      <c r="T75" s="100">
        <v>0</v>
      </c>
      <c r="U75" s="100">
        <v>0</v>
      </c>
      <c r="V75" s="100">
        <v>1</v>
      </c>
      <c r="W75" s="100">
        <v>96</v>
      </c>
      <c r="X75" s="100">
        <v>0</v>
      </c>
      <c r="Y75" s="100">
        <v>96</v>
      </c>
      <c r="Z75" s="100">
        <v>0</v>
      </c>
      <c r="AA75" s="100">
        <v>0.01</v>
      </c>
      <c r="AB75" s="100">
        <v>0.8</v>
      </c>
      <c r="AC75" s="171"/>
      <c r="AD75" s="171"/>
      <c r="AE75" s="171"/>
      <c r="AF75" s="171" t="s">
        <v>4866</v>
      </c>
      <c r="AG75" s="171" t="s">
        <v>5230</v>
      </c>
      <c r="AH75" s="171" t="s">
        <v>5230</v>
      </c>
      <c r="AI75" s="171" t="s">
        <v>4859</v>
      </c>
    </row>
    <row r="76" spans="1:35">
      <c r="A76" s="100">
        <v>546351</v>
      </c>
      <c r="B76" s="171"/>
      <c r="C76" s="100">
        <v>1</v>
      </c>
      <c r="D76" s="100">
        <v>0</v>
      </c>
      <c r="E76" s="100">
        <v>1</v>
      </c>
      <c r="F76" s="171"/>
      <c r="G76" s="171"/>
      <c r="H76" s="171"/>
      <c r="I76" s="171" t="s">
        <v>5339</v>
      </c>
      <c r="J76" s="171"/>
      <c r="K76" s="171">
        <v>100</v>
      </c>
      <c r="L76" s="171">
        <v>102</v>
      </c>
      <c r="M76" s="171">
        <v>10202</v>
      </c>
      <c r="N76" s="171">
        <v>22003</v>
      </c>
      <c r="O76" s="171" t="s">
        <v>4422</v>
      </c>
      <c r="P76" s="171" t="s">
        <v>5327</v>
      </c>
      <c r="Q76" s="171" t="s">
        <v>5347</v>
      </c>
      <c r="R76" s="171" t="s">
        <v>4848</v>
      </c>
      <c r="S76" s="100">
        <v>5606</v>
      </c>
      <c r="T76" s="100">
        <v>0</v>
      </c>
      <c r="U76" s="100">
        <v>0</v>
      </c>
      <c r="V76" s="100">
        <v>1</v>
      </c>
      <c r="W76" s="100">
        <v>50</v>
      </c>
      <c r="X76" s="100">
        <v>0</v>
      </c>
      <c r="Y76" s="100">
        <v>50</v>
      </c>
      <c r="Z76" s="100">
        <v>0</v>
      </c>
      <c r="AA76" s="100">
        <v>0.02</v>
      </c>
      <c r="AB76" s="100">
        <v>0.83</v>
      </c>
      <c r="AC76" s="171"/>
      <c r="AD76" s="171"/>
      <c r="AE76" s="171"/>
      <c r="AF76" s="171" t="s">
        <v>4858</v>
      </c>
      <c r="AG76" s="171" t="s">
        <v>5339</v>
      </c>
      <c r="AH76" s="171" t="s">
        <v>5339</v>
      </c>
      <c r="AI76" s="171" t="s">
        <v>4859</v>
      </c>
    </row>
    <row r="77" spans="1:35">
      <c r="A77" s="100">
        <v>546375</v>
      </c>
      <c r="B77" s="171"/>
      <c r="C77" s="100">
        <v>1</v>
      </c>
      <c r="D77" s="100">
        <v>0</v>
      </c>
      <c r="E77" s="100">
        <v>1</v>
      </c>
      <c r="F77" s="171"/>
      <c r="G77" s="171" t="s">
        <v>6160</v>
      </c>
      <c r="H77" s="171"/>
      <c r="I77" s="171" t="s">
        <v>5344</v>
      </c>
      <c r="J77" s="171"/>
      <c r="K77" s="171">
        <v>100</v>
      </c>
      <c r="L77" s="171">
        <v>102</v>
      </c>
      <c r="M77" s="171">
        <v>10202</v>
      </c>
      <c r="N77" s="171">
        <v>10205</v>
      </c>
      <c r="O77" s="171" t="s">
        <v>2629</v>
      </c>
      <c r="P77" s="171" t="s">
        <v>5328</v>
      </c>
      <c r="Q77" s="171" t="s">
        <v>4853</v>
      </c>
      <c r="R77" s="171" t="s">
        <v>4848</v>
      </c>
      <c r="S77" s="100">
        <v>11295</v>
      </c>
      <c r="T77" s="100">
        <v>0</v>
      </c>
      <c r="U77" s="100">
        <v>0</v>
      </c>
      <c r="V77" s="100">
        <v>1</v>
      </c>
      <c r="W77" s="100">
        <v>12</v>
      </c>
      <c r="X77" s="100">
        <v>12</v>
      </c>
      <c r="Y77" s="100">
        <v>0</v>
      </c>
      <c r="Z77" s="100">
        <v>0</v>
      </c>
      <c r="AA77" s="100">
        <v>0.01</v>
      </c>
      <c r="AB77" s="100">
        <v>0.1</v>
      </c>
      <c r="AC77" s="171"/>
      <c r="AD77" s="171"/>
      <c r="AE77" s="171"/>
      <c r="AF77" s="171" t="s">
        <v>4866</v>
      </c>
      <c r="AG77" s="171" t="s">
        <v>5344</v>
      </c>
      <c r="AH77" s="171" t="s">
        <v>5344</v>
      </c>
      <c r="AI77" s="171" t="s">
        <v>4859</v>
      </c>
    </row>
    <row r="78" spans="1:35">
      <c r="A78" s="100">
        <v>546503</v>
      </c>
      <c r="B78" s="171"/>
      <c r="C78" s="100">
        <v>1</v>
      </c>
      <c r="D78" s="100">
        <v>0</v>
      </c>
      <c r="E78" s="100">
        <v>0</v>
      </c>
      <c r="F78" s="171"/>
      <c r="G78" s="171"/>
      <c r="H78" s="171"/>
      <c r="I78" s="171" t="s">
        <v>5345</v>
      </c>
      <c r="J78" s="171"/>
      <c r="K78" s="171">
        <v>100</v>
      </c>
      <c r="L78" s="171">
        <v>102</v>
      </c>
      <c r="M78" s="171">
        <v>10202</v>
      </c>
      <c r="N78" s="171">
        <v>10205</v>
      </c>
      <c r="O78" s="171" t="s">
        <v>4292</v>
      </c>
      <c r="P78" s="171" t="s">
        <v>5334</v>
      </c>
      <c r="Q78" s="171" t="s">
        <v>4855</v>
      </c>
      <c r="R78" s="171" t="s">
        <v>4848</v>
      </c>
      <c r="S78" s="100">
        <v>1367</v>
      </c>
      <c r="T78" s="100">
        <v>0</v>
      </c>
      <c r="U78" s="100">
        <v>0</v>
      </c>
      <c r="V78" s="100">
        <v>1</v>
      </c>
      <c r="W78" s="100">
        <v>30</v>
      </c>
      <c r="X78" s="100">
        <v>0</v>
      </c>
      <c r="Y78" s="100">
        <v>30</v>
      </c>
      <c r="Z78" s="100">
        <v>0</v>
      </c>
      <c r="AA78" s="100">
        <v>0.01</v>
      </c>
      <c r="AB78" s="100">
        <v>0.25</v>
      </c>
      <c r="AC78" s="171"/>
      <c r="AD78" s="171"/>
      <c r="AE78" s="171"/>
      <c r="AF78" s="171" t="s">
        <v>4862</v>
      </c>
      <c r="AG78" s="171" t="s">
        <v>5345</v>
      </c>
      <c r="AH78" s="171" t="s">
        <v>5345</v>
      </c>
      <c r="AI78" s="171" t="s">
        <v>4859</v>
      </c>
    </row>
    <row r="79" spans="1:35">
      <c r="A79" s="100">
        <v>552948</v>
      </c>
      <c r="B79" s="171"/>
      <c r="C79" s="100">
        <v>1</v>
      </c>
      <c r="D79" s="100">
        <v>0</v>
      </c>
      <c r="E79" s="100">
        <v>0</v>
      </c>
      <c r="F79" s="171"/>
      <c r="G79" s="171"/>
      <c r="H79" s="171"/>
      <c r="I79" s="171" t="s">
        <v>5758</v>
      </c>
      <c r="J79" s="171"/>
      <c r="K79" s="171">
        <v>100</v>
      </c>
      <c r="L79" s="171">
        <v>102</v>
      </c>
      <c r="M79" s="171">
        <v>10202</v>
      </c>
      <c r="N79" s="171">
        <v>10203</v>
      </c>
      <c r="O79" s="171" t="s">
        <v>4313</v>
      </c>
      <c r="P79" s="171" t="s">
        <v>5665</v>
      </c>
      <c r="Q79" s="171" t="s">
        <v>4855</v>
      </c>
      <c r="R79" s="171" t="s">
        <v>4848</v>
      </c>
      <c r="S79" s="100">
        <v>2960</v>
      </c>
      <c r="T79" s="100">
        <v>0</v>
      </c>
      <c r="U79" s="100">
        <v>0</v>
      </c>
      <c r="V79" s="100">
        <v>1</v>
      </c>
      <c r="W79" s="100">
        <v>300</v>
      </c>
      <c r="X79" s="100">
        <v>0</v>
      </c>
      <c r="Y79" s="100">
        <v>300</v>
      </c>
      <c r="Z79" s="100">
        <v>0</v>
      </c>
      <c r="AA79" s="100">
        <v>0.01</v>
      </c>
      <c r="AB79" s="100">
        <v>2.5</v>
      </c>
      <c r="AC79" s="171"/>
      <c r="AD79" s="171"/>
      <c r="AE79" s="171"/>
      <c r="AF79" s="171" t="s">
        <v>4849</v>
      </c>
      <c r="AG79" s="171" t="s">
        <v>5758</v>
      </c>
      <c r="AH79" s="171" t="s">
        <v>5758</v>
      </c>
      <c r="AI79" s="171" t="s">
        <v>4850</v>
      </c>
    </row>
    <row r="80" spans="1:35">
      <c r="A80" s="100">
        <v>552950</v>
      </c>
      <c r="B80" s="171"/>
      <c r="C80" s="100">
        <v>1</v>
      </c>
      <c r="D80" s="100">
        <v>0</v>
      </c>
      <c r="E80" s="100">
        <v>0</v>
      </c>
      <c r="F80" s="171"/>
      <c r="G80" s="171"/>
      <c r="H80" s="171"/>
      <c r="I80" s="171" t="s">
        <v>5758</v>
      </c>
      <c r="J80" s="171"/>
      <c r="K80" s="171">
        <v>100</v>
      </c>
      <c r="L80" s="171">
        <v>102</v>
      </c>
      <c r="M80" s="171">
        <v>10202</v>
      </c>
      <c r="N80" s="171">
        <v>10205</v>
      </c>
      <c r="O80" s="171" t="s">
        <v>5766</v>
      </c>
      <c r="P80" s="171" t="s">
        <v>5669</v>
      </c>
      <c r="Q80" s="171" t="s">
        <v>4855</v>
      </c>
      <c r="R80" s="171" t="s">
        <v>4848</v>
      </c>
      <c r="S80" s="100">
        <v>2859</v>
      </c>
      <c r="T80" s="100">
        <v>0</v>
      </c>
      <c r="U80" s="100">
        <v>0</v>
      </c>
      <c r="V80" s="100">
        <v>1</v>
      </c>
      <c r="W80" s="100">
        <v>30</v>
      </c>
      <c r="X80" s="100">
        <v>0</v>
      </c>
      <c r="Y80" s="100">
        <v>30</v>
      </c>
      <c r="Z80" s="100">
        <v>0</v>
      </c>
      <c r="AA80" s="100">
        <v>0.01</v>
      </c>
      <c r="AB80" s="100">
        <v>0.25</v>
      </c>
      <c r="AC80" s="171"/>
      <c r="AD80" s="171"/>
      <c r="AE80" s="171"/>
      <c r="AF80" s="171" t="s">
        <v>4849</v>
      </c>
      <c r="AG80" s="171" t="s">
        <v>5758</v>
      </c>
      <c r="AH80" s="171" t="s">
        <v>5758</v>
      </c>
      <c r="AI80" s="171" t="s">
        <v>4850</v>
      </c>
    </row>
    <row r="81" spans="1:35">
      <c r="A81" s="100">
        <v>552951</v>
      </c>
      <c r="B81" s="171"/>
      <c r="C81" s="100">
        <v>1</v>
      </c>
      <c r="D81" s="100">
        <v>0</v>
      </c>
      <c r="E81" s="100">
        <v>0</v>
      </c>
      <c r="F81" s="171"/>
      <c r="G81" s="171"/>
      <c r="H81" s="171"/>
      <c r="I81" s="171" t="s">
        <v>5758</v>
      </c>
      <c r="J81" s="171"/>
      <c r="K81" s="171">
        <v>100</v>
      </c>
      <c r="L81" s="171">
        <v>102</v>
      </c>
      <c r="M81" s="171">
        <v>10202</v>
      </c>
      <c r="N81" s="171">
        <v>10205</v>
      </c>
      <c r="O81" s="171" t="s">
        <v>5767</v>
      </c>
      <c r="P81" s="171" t="s">
        <v>5671</v>
      </c>
      <c r="Q81" s="171" t="s">
        <v>4855</v>
      </c>
      <c r="R81" s="171" t="s">
        <v>4848</v>
      </c>
      <c r="S81" s="100">
        <v>2858</v>
      </c>
      <c r="T81" s="100">
        <v>0</v>
      </c>
      <c r="U81" s="100">
        <v>0</v>
      </c>
      <c r="V81" s="100">
        <v>1</v>
      </c>
      <c r="W81" s="100">
        <v>50</v>
      </c>
      <c r="X81" s="100">
        <v>0</v>
      </c>
      <c r="Y81" s="100">
        <v>50</v>
      </c>
      <c r="Z81" s="100">
        <v>0</v>
      </c>
      <c r="AA81" s="100">
        <v>0.01</v>
      </c>
      <c r="AB81" s="100">
        <v>0.42</v>
      </c>
      <c r="AC81" s="171"/>
      <c r="AD81" s="171"/>
      <c r="AE81" s="171"/>
      <c r="AF81" s="171" t="s">
        <v>4849</v>
      </c>
      <c r="AG81" s="171" t="s">
        <v>5758</v>
      </c>
      <c r="AH81" s="171" t="s">
        <v>5758</v>
      </c>
      <c r="AI81" s="171" t="s">
        <v>4863</v>
      </c>
    </row>
    <row r="82" spans="1:35">
      <c r="A82" s="100">
        <v>552958</v>
      </c>
      <c r="B82" s="171"/>
      <c r="C82" s="100">
        <v>1</v>
      </c>
      <c r="D82" s="100">
        <v>0</v>
      </c>
      <c r="E82" s="100">
        <v>0</v>
      </c>
      <c r="F82" s="171"/>
      <c r="G82" s="171"/>
      <c r="H82" s="171"/>
      <c r="I82" s="171" t="s">
        <v>5758</v>
      </c>
      <c r="J82" s="171"/>
      <c r="K82" s="171">
        <v>100</v>
      </c>
      <c r="L82" s="171">
        <v>102</v>
      </c>
      <c r="M82" s="171">
        <v>10202</v>
      </c>
      <c r="N82" s="171">
        <v>10205</v>
      </c>
      <c r="O82" s="171" t="s">
        <v>4296</v>
      </c>
      <c r="P82" s="171" t="s">
        <v>5676</v>
      </c>
      <c r="Q82" s="171" t="s">
        <v>4855</v>
      </c>
      <c r="R82" s="171" t="s">
        <v>4848</v>
      </c>
      <c r="S82" s="100">
        <v>2884</v>
      </c>
      <c r="T82" s="100">
        <v>0</v>
      </c>
      <c r="U82" s="100">
        <v>0</v>
      </c>
      <c r="V82" s="100">
        <v>1</v>
      </c>
      <c r="W82" s="100">
        <v>30</v>
      </c>
      <c r="X82" s="100">
        <v>0</v>
      </c>
      <c r="Y82" s="100">
        <v>30</v>
      </c>
      <c r="Z82" s="100">
        <v>0</v>
      </c>
      <c r="AA82" s="100">
        <v>0.02</v>
      </c>
      <c r="AB82" s="100">
        <v>0.5</v>
      </c>
      <c r="AC82" s="171"/>
      <c r="AD82" s="171"/>
      <c r="AE82" s="171"/>
      <c r="AF82" s="171" t="s">
        <v>4849</v>
      </c>
      <c r="AG82" s="171" t="s">
        <v>5758</v>
      </c>
      <c r="AH82" s="171" t="s">
        <v>5758</v>
      </c>
      <c r="AI82" s="171" t="s">
        <v>4859</v>
      </c>
    </row>
    <row r="83" spans="1:35">
      <c r="A83" s="100">
        <v>552959</v>
      </c>
      <c r="B83" s="171"/>
      <c r="C83" s="100">
        <v>1</v>
      </c>
      <c r="D83" s="100">
        <v>0</v>
      </c>
      <c r="E83" s="100">
        <v>0</v>
      </c>
      <c r="F83" s="171"/>
      <c r="G83" s="171"/>
      <c r="H83" s="171"/>
      <c r="I83" s="171" t="s">
        <v>5758</v>
      </c>
      <c r="J83" s="171"/>
      <c r="K83" s="171">
        <v>100</v>
      </c>
      <c r="L83" s="171">
        <v>102</v>
      </c>
      <c r="M83" s="171">
        <v>10202</v>
      </c>
      <c r="N83" s="171">
        <v>10205</v>
      </c>
      <c r="O83" s="171" t="s">
        <v>4297</v>
      </c>
      <c r="P83" s="171" t="s">
        <v>5678</v>
      </c>
      <c r="Q83" s="171" t="s">
        <v>4855</v>
      </c>
      <c r="R83" s="171" t="s">
        <v>4848</v>
      </c>
      <c r="S83" s="100">
        <v>2954</v>
      </c>
      <c r="T83" s="100">
        <v>0</v>
      </c>
      <c r="U83" s="100">
        <v>0</v>
      </c>
      <c r="V83" s="100">
        <v>1</v>
      </c>
      <c r="W83" s="100">
        <v>20</v>
      </c>
      <c r="X83" s="100">
        <v>0</v>
      </c>
      <c r="Y83" s="100">
        <v>20</v>
      </c>
      <c r="Z83" s="100">
        <v>0</v>
      </c>
      <c r="AA83" s="100">
        <v>0.02</v>
      </c>
      <c r="AB83" s="100">
        <v>0.33</v>
      </c>
      <c r="AC83" s="171"/>
      <c r="AD83" s="171"/>
      <c r="AE83" s="171"/>
      <c r="AF83" s="171" t="s">
        <v>4849</v>
      </c>
      <c r="AG83" s="171" t="s">
        <v>5758</v>
      </c>
      <c r="AH83" s="171" t="s">
        <v>5758</v>
      </c>
      <c r="AI83" s="171" t="s">
        <v>4859</v>
      </c>
    </row>
    <row r="84" spans="1:35">
      <c r="A84" s="100">
        <v>553062</v>
      </c>
      <c r="B84" s="171"/>
      <c r="C84" s="100">
        <v>1</v>
      </c>
      <c r="D84" s="100">
        <v>0</v>
      </c>
      <c r="E84" s="100">
        <v>0</v>
      </c>
      <c r="F84" s="171"/>
      <c r="G84" s="171"/>
      <c r="H84" s="171"/>
      <c r="I84" s="171" t="s">
        <v>5759</v>
      </c>
      <c r="J84" s="171"/>
      <c r="K84" s="171">
        <v>100</v>
      </c>
      <c r="L84" s="171">
        <v>102</v>
      </c>
      <c r="M84" s="171">
        <v>10202</v>
      </c>
      <c r="N84" s="171">
        <v>22003</v>
      </c>
      <c r="O84" s="171" t="s">
        <v>4893</v>
      </c>
      <c r="P84" s="171" t="s">
        <v>4806</v>
      </c>
      <c r="Q84" s="171" t="s">
        <v>4855</v>
      </c>
      <c r="R84" s="171" t="s">
        <v>4848</v>
      </c>
      <c r="S84" s="100">
        <v>5600</v>
      </c>
      <c r="T84" s="100">
        <v>0</v>
      </c>
      <c r="U84" s="100">
        <v>0</v>
      </c>
      <c r="V84" s="100">
        <v>1</v>
      </c>
      <c r="W84" s="100">
        <v>50</v>
      </c>
      <c r="X84" s="100">
        <v>0</v>
      </c>
      <c r="Y84" s="100">
        <v>50</v>
      </c>
      <c r="Z84" s="100">
        <v>0</v>
      </c>
      <c r="AA84" s="100">
        <v>0.03</v>
      </c>
      <c r="AB84" s="100">
        <v>1.67</v>
      </c>
      <c r="AC84" s="171"/>
      <c r="AD84" s="171"/>
      <c r="AE84" s="171"/>
      <c r="AF84" s="171" t="s">
        <v>4858</v>
      </c>
      <c r="AG84" s="171" t="s">
        <v>5759</v>
      </c>
      <c r="AH84" s="171" t="s">
        <v>5759</v>
      </c>
      <c r="AI84" s="171" t="s">
        <v>4859</v>
      </c>
    </row>
    <row r="85" spans="1:35">
      <c r="A85" s="100">
        <v>553079</v>
      </c>
      <c r="B85" s="171"/>
      <c r="C85" s="100">
        <v>1</v>
      </c>
      <c r="D85" s="100">
        <v>0</v>
      </c>
      <c r="E85" s="100">
        <v>0</v>
      </c>
      <c r="F85" s="171"/>
      <c r="G85" s="171"/>
      <c r="H85" s="171"/>
      <c r="I85" s="171" t="s">
        <v>5759</v>
      </c>
      <c r="J85" s="171"/>
      <c r="K85" s="171">
        <v>100</v>
      </c>
      <c r="L85" s="171">
        <v>102</v>
      </c>
      <c r="M85" s="171">
        <v>10202</v>
      </c>
      <c r="N85" s="171">
        <v>10205</v>
      </c>
      <c r="O85" s="171" t="s">
        <v>4267</v>
      </c>
      <c r="P85" s="171" t="s">
        <v>515</v>
      </c>
      <c r="Q85" s="171" t="s">
        <v>4855</v>
      </c>
      <c r="R85" s="171" t="s">
        <v>4848</v>
      </c>
      <c r="S85" s="100">
        <v>13143</v>
      </c>
      <c r="T85" s="100">
        <v>0</v>
      </c>
      <c r="U85" s="100">
        <v>0</v>
      </c>
      <c r="V85" s="100">
        <v>1</v>
      </c>
      <c r="W85" s="100">
        <v>284</v>
      </c>
      <c r="X85" s="100">
        <v>0</v>
      </c>
      <c r="Y85" s="100">
        <v>284</v>
      </c>
      <c r="Z85" s="100">
        <v>0</v>
      </c>
      <c r="AA85" s="100">
        <v>0.01</v>
      </c>
      <c r="AB85" s="100">
        <v>2.37</v>
      </c>
      <c r="AC85" s="171"/>
      <c r="AD85" s="171"/>
      <c r="AE85" s="171"/>
      <c r="AF85" s="171" t="s">
        <v>4852</v>
      </c>
      <c r="AG85" s="171" t="s">
        <v>5759</v>
      </c>
      <c r="AH85" s="171" t="s">
        <v>5759</v>
      </c>
      <c r="AI85" s="171" t="s">
        <v>4863</v>
      </c>
    </row>
    <row r="86" spans="1:35">
      <c r="A86" s="100">
        <v>555301</v>
      </c>
      <c r="B86" s="171"/>
      <c r="C86" s="100">
        <v>1</v>
      </c>
      <c r="D86" s="100">
        <v>0</v>
      </c>
      <c r="E86" s="100">
        <v>0</v>
      </c>
      <c r="F86" s="171"/>
      <c r="G86" s="171"/>
      <c r="H86" s="171"/>
      <c r="I86" s="171" t="s">
        <v>5760</v>
      </c>
      <c r="J86" s="171"/>
      <c r="K86" s="171">
        <v>100</v>
      </c>
      <c r="L86" s="171">
        <v>102</v>
      </c>
      <c r="M86" s="171">
        <v>10202</v>
      </c>
      <c r="N86" s="171">
        <v>22003</v>
      </c>
      <c r="O86" s="171" t="s">
        <v>4281</v>
      </c>
      <c r="P86" s="171" t="s">
        <v>5693</v>
      </c>
      <c r="Q86" s="171" t="s">
        <v>4855</v>
      </c>
      <c r="R86" s="171" t="s">
        <v>4848</v>
      </c>
      <c r="S86" s="100">
        <v>5283</v>
      </c>
      <c r="T86" s="100">
        <v>0</v>
      </c>
      <c r="U86" s="100">
        <v>0</v>
      </c>
      <c r="V86" s="100">
        <v>1</v>
      </c>
      <c r="W86" s="100">
        <v>60</v>
      </c>
      <c r="X86" s="100">
        <v>0</v>
      </c>
      <c r="Y86" s="100">
        <v>60</v>
      </c>
      <c r="Z86" s="100">
        <v>0</v>
      </c>
      <c r="AA86" s="100">
        <v>0.03</v>
      </c>
      <c r="AB86" s="100">
        <v>2</v>
      </c>
      <c r="AC86" s="171"/>
      <c r="AD86" s="171"/>
      <c r="AE86" s="171"/>
      <c r="AF86" s="171" t="s">
        <v>4858</v>
      </c>
      <c r="AG86" s="171" t="s">
        <v>5760</v>
      </c>
      <c r="AH86" s="171" t="s">
        <v>5760</v>
      </c>
      <c r="AI86" s="171" t="s">
        <v>4859</v>
      </c>
    </row>
    <row r="87" spans="1:35">
      <c r="A87" s="100">
        <v>555302</v>
      </c>
      <c r="B87" s="171"/>
      <c r="C87" s="100">
        <v>1</v>
      </c>
      <c r="D87" s="100">
        <v>0</v>
      </c>
      <c r="E87" s="100">
        <v>0</v>
      </c>
      <c r="F87" s="171"/>
      <c r="G87" s="171"/>
      <c r="H87" s="171"/>
      <c r="I87" s="171" t="s">
        <v>5760</v>
      </c>
      <c r="J87" s="171"/>
      <c r="K87" s="171">
        <v>100</v>
      </c>
      <c r="L87" s="171">
        <v>102</v>
      </c>
      <c r="M87" s="171">
        <v>10202</v>
      </c>
      <c r="N87" s="171">
        <v>22003</v>
      </c>
      <c r="O87" s="171" t="s">
        <v>4280</v>
      </c>
      <c r="P87" s="171" t="s">
        <v>5695</v>
      </c>
      <c r="Q87" s="171" t="s">
        <v>5347</v>
      </c>
      <c r="R87" s="171" t="s">
        <v>4848</v>
      </c>
      <c r="S87" s="100">
        <v>5281</v>
      </c>
      <c r="T87" s="100">
        <v>0</v>
      </c>
      <c r="U87" s="100">
        <v>0</v>
      </c>
      <c r="V87" s="100">
        <v>1</v>
      </c>
      <c r="W87" s="100">
        <v>90</v>
      </c>
      <c r="X87" s="100">
        <v>0</v>
      </c>
      <c r="Y87" s="100">
        <v>90</v>
      </c>
      <c r="Z87" s="100">
        <v>0</v>
      </c>
      <c r="AA87" s="100">
        <v>0.03</v>
      </c>
      <c r="AB87" s="100">
        <v>3</v>
      </c>
      <c r="AC87" s="171"/>
      <c r="AD87" s="171"/>
      <c r="AE87" s="171"/>
      <c r="AF87" s="171" t="s">
        <v>4858</v>
      </c>
      <c r="AG87" s="171" t="s">
        <v>5760</v>
      </c>
      <c r="AH87" s="171" t="s">
        <v>5760</v>
      </c>
      <c r="AI87" s="171" t="s">
        <v>4859</v>
      </c>
    </row>
    <row r="88" spans="1:35">
      <c r="A88" s="100">
        <v>555306</v>
      </c>
      <c r="B88" s="171"/>
      <c r="C88" s="100">
        <v>1</v>
      </c>
      <c r="D88" s="100">
        <v>0</v>
      </c>
      <c r="E88" s="100">
        <v>0</v>
      </c>
      <c r="F88" s="171"/>
      <c r="G88" s="171"/>
      <c r="H88" s="171"/>
      <c r="I88" s="171" t="s">
        <v>5760</v>
      </c>
      <c r="J88" s="171"/>
      <c r="K88" s="171">
        <v>100</v>
      </c>
      <c r="L88" s="171">
        <v>102</v>
      </c>
      <c r="M88" s="171">
        <v>10202</v>
      </c>
      <c r="N88" s="171">
        <v>22003</v>
      </c>
      <c r="O88" s="171" t="s">
        <v>4421</v>
      </c>
      <c r="P88" s="171" t="s">
        <v>5698</v>
      </c>
      <c r="Q88" s="171" t="s">
        <v>4855</v>
      </c>
      <c r="R88" s="171" t="s">
        <v>4848</v>
      </c>
      <c r="S88" s="100">
        <v>6110</v>
      </c>
      <c r="T88" s="100">
        <v>0</v>
      </c>
      <c r="U88" s="100">
        <v>0</v>
      </c>
      <c r="V88" s="100">
        <v>1</v>
      </c>
      <c r="W88" s="100">
        <v>50</v>
      </c>
      <c r="X88" s="100">
        <v>0</v>
      </c>
      <c r="Y88" s="100">
        <v>50</v>
      </c>
      <c r="Z88" s="100">
        <v>0</v>
      </c>
      <c r="AA88" s="100">
        <v>0.03</v>
      </c>
      <c r="AB88" s="100">
        <v>1.67</v>
      </c>
      <c r="AC88" s="171"/>
      <c r="AD88" s="171"/>
      <c r="AE88" s="171"/>
      <c r="AF88" s="171" t="s">
        <v>4858</v>
      </c>
      <c r="AG88" s="171" t="s">
        <v>5760</v>
      </c>
      <c r="AH88" s="171" t="s">
        <v>5760</v>
      </c>
      <c r="AI88" s="171" t="s">
        <v>4859</v>
      </c>
    </row>
    <row r="89" spans="1:35">
      <c r="A89" s="100">
        <v>555322</v>
      </c>
      <c r="B89" s="171"/>
      <c r="C89" s="100">
        <v>1</v>
      </c>
      <c r="D89" s="100">
        <v>0</v>
      </c>
      <c r="E89" s="100">
        <v>0</v>
      </c>
      <c r="F89" s="171"/>
      <c r="G89" s="171"/>
      <c r="H89" s="171"/>
      <c r="I89" s="171" t="s">
        <v>5760</v>
      </c>
      <c r="J89" s="171"/>
      <c r="K89" s="171">
        <v>100</v>
      </c>
      <c r="L89" s="171">
        <v>102</v>
      </c>
      <c r="M89" s="171">
        <v>10202</v>
      </c>
      <c r="N89" s="171">
        <v>22003</v>
      </c>
      <c r="O89" s="171" t="s">
        <v>4282</v>
      </c>
      <c r="P89" s="171" t="s">
        <v>5709</v>
      </c>
      <c r="Q89" s="171" t="s">
        <v>4855</v>
      </c>
      <c r="R89" s="171" t="s">
        <v>4848</v>
      </c>
      <c r="S89" s="100">
        <v>14370</v>
      </c>
      <c r="T89" s="100">
        <v>0</v>
      </c>
      <c r="U89" s="100">
        <v>0</v>
      </c>
      <c r="V89" s="100">
        <v>1</v>
      </c>
      <c r="W89" s="100">
        <v>40</v>
      </c>
      <c r="X89" s="100">
        <v>0</v>
      </c>
      <c r="Y89" s="100">
        <v>40</v>
      </c>
      <c r="Z89" s="100">
        <v>0</v>
      </c>
      <c r="AA89" s="100">
        <v>0.03</v>
      </c>
      <c r="AB89" s="100">
        <v>1.33</v>
      </c>
      <c r="AC89" s="171"/>
      <c r="AD89" s="171"/>
      <c r="AE89" s="171"/>
      <c r="AF89" s="171" t="s">
        <v>4849</v>
      </c>
      <c r="AG89" s="171" t="s">
        <v>5760</v>
      </c>
      <c r="AH89" s="171" t="s">
        <v>5760</v>
      </c>
      <c r="AI89" s="171" t="s">
        <v>4859</v>
      </c>
    </row>
    <row r="90" spans="1:35">
      <c r="A90" s="100">
        <v>555328</v>
      </c>
      <c r="B90" s="171"/>
      <c r="C90" s="100">
        <v>1</v>
      </c>
      <c r="D90" s="100">
        <v>0</v>
      </c>
      <c r="E90" s="100">
        <v>0</v>
      </c>
      <c r="F90" s="171"/>
      <c r="G90" s="171"/>
      <c r="H90" s="171"/>
      <c r="I90" s="171" t="s">
        <v>5768</v>
      </c>
      <c r="J90" s="171"/>
      <c r="K90" s="171">
        <v>100</v>
      </c>
      <c r="L90" s="171">
        <v>102</v>
      </c>
      <c r="M90" s="171">
        <v>10202</v>
      </c>
      <c r="N90" s="171">
        <v>22003</v>
      </c>
      <c r="O90" s="171" t="s">
        <v>4422</v>
      </c>
      <c r="P90" s="171" t="s">
        <v>5327</v>
      </c>
      <c r="Q90" s="171" t="s">
        <v>4855</v>
      </c>
      <c r="R90" s="171" t="s">
        <v>4848</v>
      </c>
      <c r="S90" s="100">
        <v>5607</v>
      </c>
      <c r="T90" s="100">
        <v>0</v>
      </c>
      <c r="U90" s="100">
        <v>0</v>
      </c>
      <c r="V90" s="100">
        <v>1</v>
      </c>
      <c r="W90" s="100">
        <v>50</v>
      </c>
      <c r="X90" s="100">
        <v>0</v>
      </c>
      <c r="Y90" s="100">
        <v>50</v>
      </c>
      <c r="Z90" s="100">
        <v>0</v>
      </c>
      <c r="AA90" s="100">
        <v>0.02</v>
      </c>
      <c r="AB90" s="100">
        <v>0.83</v>
      </c>
      <c r="AC90" s="171"/>
      <c r="AD90" s="171"/>
      <c r="AE90" s="171"/>
      <c r="AF90" s="171" t="s">
        <v>4858</v>
      </c>
      <c r="AG90" s="171" t="s">
        <v>5768</v>
      </c>
      <c r="AH90" s="171" t="s">
        <v>5768</v>
      </c>
      <c r="AI90" s="171" t="s">
        <v>4859</v>
      </c>
    </row>
    <row r="91" spans="1:35">
      <c r="A91" s="100">
        <v>560037</v>
      </c>
      <c r="B91" s="171"/>
      <c r="C91" s="100">
        <v>1</v>
      </c>
      <c r="D91" s="100">
        <v>0</v>
      </c>
      <c r="E91" s="100">
        <v>0</v>
      </c>
      <c r="F91" s="171"/>
      <c r="G91" s="171"/>
      <c r="H91" s="171"/>
      <c r="I91" s="171" t="s">
        <v>5763</v>
      </c>
      <c r="J91" s="171"/>
      <c r="K91" s="171">
        <v>100</v>
      </c>
      <c r="L91" s="171">
        <v>102</v>
      </c>
      <c r="M91" s="171">
        <v>10202</v>
      </c>
      <c r="N91" s="171">
        <v>22003</v>
      </c>
      <c r="O91" s="171" t="s">
        <v>4279</v>
      </c>
      <c r="P91" s="171" t="s">
        <v>5719</v>
      </c>
      <c r="Q91" s="171" t="s">
        <v>4855</v>
      </c>
      <c r="R91" s="171" t="s">
        <v>4848</v>
      </c>
      <c r="S91" s="100">
        <v>11716</v>
      </c>
      <c r="T91" s="100">
        <v>0</v>
      </c>
      <c r="U91" s="100">
        <v>0</v>
      </c>
      <c r="V91" s="100">
        <v>1</v>
      </c>
      <c r="W91" s="100">
        <v>40</v>
      </c>
      <c r="X91" s="100">
        <v>0</v>
      </c>
      <c r="Y91" s="100">
        <v>40</v>
      </c>
      <c r="Z91" s="100">
        <v>0</v>
      </c>
      <c r="AA91" s="100">
        <v>0.02</v>
      </c>
      <c r="AB91" s="100">
        <v>0.67</v>
      </c>
      <c r="AC91" s="171"/>
      <c r="AD91" s="171"/>
      <c r="AE91" s="171"/>
      <c r="AF91" s="171" t="s">
        <v>4862</v>
      </c>
      <c r="AG91" s="171" t="s">
        <v>5763</v>
      </c>
      <c r="AH91" s="171" t="s">
        <v>5763</v>
      </c>
      <c r="AI91" s="171" t="s">
        <v>4850</v>
      </c>
    </row>
    <row r="92" spans="1:35">
      <c r="A92" s="100">
        <v>560042</v>
      </c>
      <c r="B92" s="171"/>
      <c r="C92" s="100">
        <v>1</v>
      </c>
      <c r="D92" s="100">
        <v>0</v>
      </c>
      <c r="E92" s="100">
        <v>0</v>
      </c>
      <c r="F92" s="171"/>
      <c r="G92" s="171"/>
      <c r="H92" s="171"/>
      <c r="I92" s="171" t="s">
        <v>5763</v>
      </c>
      <c r="J92" s="171"/>
      <c r="K92" s="171">
        <v>100</v>
      </c>
      <c r="L92" s="171">
        <v>102</v>
      </c>
      <c r="M92" s="171">
        <v>10202</v>
      </c>
      <c r="N92" s="171">
        <v>10205</v>
      </c>
      <c r="O92" s="171" t="s">
        <v>625</v>
      </c>
      <c r="P92" s="171" t="s">
        <v>5721</v>
      </c>
      <c r="Q92" s="171" t="s">
        <v>4855</v>
      </c>
      <c r="R92" s="171" t="s">
        <v>4848</v>
      </c>
      <c r="S92" s="100">
        <v>4094</v>
      </c>
      <c r="T92" s="100">
        <v>0</v>
      </c>
      <c r="U92" s="100">
        <v>0</v>
      </c>
      <c r="V92" s="100">
        <v>1</v>
      </c>
      <c r="W92" s="100">
        <v>20</v>
      </c>
      <c r="X92" s="100">
        <v>0</v>
      </c>
      <c r="Y92" s="100">
        <v>20</v>
      </c>
      <c r="Z92" s="100">
        <v>0</v>
      </c>
      <c r="AA92" s="100">
        <v>0.02</v>
      </c>
      <c r="AB92" s="100">
        <v>0.33</v>
      </c>
      <c r="AC92" s="171"/>
      <c r="AD92" s="171"/>
      <c r="AE92" s="171"/>
      <c r="AF92" s="171" t="s">
        <v>4862</v>
      </c>
      <c r="AG92" s="171" t="s">
        <v>5763</v>
      </c>
      <c r="AH92" s="171" t="s">
        <v>5763</v>
      </c>
      <c r="AI92" s="171" t="s">
        <v>4859</v>
      </c>
    </row>
    <row r="93" spans="1:35">
      <c r="A93" s="100">
        <v>561905</v>
      </c>
      <c r="B93" s="171"/>
      <c r="C93" s="100">
        <v>1</v>
      </c>
      <c r="D93" s="100">
        <v>0</v>
      </c>
      <c r="E93" s="100">
        <v>0</v>
      </c>
      <c r="F93" s="171"/>
      <c r="G93" s="171"/>
      <c r="H93" s="171"/>
      <c r="I93" s="171" t="s">
        <v>5764</v>
      </c>
      <c r="J93" s="171"/>
      <c r="K93" s="171">
        <v>100</v>
      </c>
      <c r="L93" s="171">
        <v>102</v>
      </c>
      <c r="M93" s="171">
        <v>10202</v>
      </c>
      <c r="N93" s="171">
        <v>10205</v>
      </c>
      <c r="O93" s="171" t="s">
        <v>4298</v>
      </c>
      <c r="P93" s="171" t="s">
        <v>5725</v>
      </c>
      <c r="Q93" s="171" t="s">
        <v>4855</v>
      </c>
      <c r="R93" s="171" t="s">
        <v>4848</v>
      </c>
      <c r="S93" s="100">
        <v>5114</v>
      </c>
      <c r="T93" s="100">
        <v>0</v>
      </c>
      <c r="U93" s="100">
        <v>0</v>
      </c>
      <c r="V93" s="100">
        <v>1</v>
      </c>
      <c r="W93" s="100">
        <v>30</v>
      </c>
      <c r="X93" s="100">
        <v>0</v>
      </c>
      <c r="Y93" s="100">
        <v>30</v>
      </c>
      <c r="Z93" s="100">
        <v>0</v>
      </c>
      <c r="AA93" s="100">
        <v>0.01</v>
      </c>
      <c r="AB93" s="100">
        <v>0.25</v>
      </c>
      <c r="AC93" s="171"/>
      <c r="AD93" s="171"/>
      <c r="AE93" s="171"/>
      <c r="AF93" s="171" t="s">
        <v>4862</v>
      </c>
      <c r="AG93" s="171" t="s">
        <v>5764</v>
      </c>
      <c r="AH93" s="171" t="s">
        <v>5764</v>
      </c>
      <c r="AI93" s="171" t="s">
        <v>4850</v>
      </c>
    </row>
    <row r="94" spans="1:35">
      <c r="A94" s="100">
        <v>561906</v>
      </c>
      <c r="B94" s="171"/>
      <c r="C94" s="100">
        <v>1</v>
      </c>
      <c r="D94" s="100">
        <v>0</v>
      </c>
      <c r="E94" s="100">
        <v>0</v>
      </c>
      <c r="F94" s="171"/>
      <c r="G94" s="171"/>
      <c r="H94" s="171"/>
      <c r="I94" s="171" t="s">
        <v>5764</v>
      </c>
      <c r="J94" s="171"/>
      <c r="K94" s="171">
        <v>100</v>
      </c>
      <c r="L94" s="171">
        <v>102</v>
      </c>
      <c r="M94" s="171">
        <v>10202</v>
      </c>
      <c r="N94" s="171">
        <v>10205</v>
      </c>
      <c r="O94" s="171" t="s">
        <v>4298</v>
      </c>
      <c r="P94" s="171" t="s">
        <v>5725</v>
      </c>
      <c r="Q94" s="171" t="s">
        <v>4855</v>
      </c>
      <c r="R94" s="171" t="s">
        <v>4848</v>
      </c>
      <c r="S94" s="100">
        <v>5113</v>
      </c>
      <c r="T94" s="100">
        <v>0</v>
      </c>
      <c r="U94" s="100">
        <v>0</v>
      </c>
      <c r="V94" s="100">
        <v>1</v>
      </c>
      <c r="W94" s="100">
        <v>30</v>
      </c>
      <c r="X94" s="100">
        <v>0</v>
      </c>
      <c r="Y94" s="100">
        <v>30</v>
      </c>
      <c r="Z94" s="100">
        <v>0</v>
      </c>
      <c r="AA94" s="100">
        <v>0.01</v>
      </c>
      <c r="AB94" s="100">
        <v>0.25</v>
      </c>
      <c r="AC94" s="171"/>
      <c r="AD94" s="171"/>
      <c r="AE94" s="171"/>
      <c r="AF94" s="171" t="s">
        <v>4862</v>
      </c>
      <c r="AG94" s="171" t="s">
        <v>5764</v>
      </c>
      <c r="AH94" s="171" t="s">
        <v>5764</v>
      </c>
      <c r="AI94" s="171" t="s">
        <v>4850</v>
      </c>
    </row>
    <row r="95" spans="1:35">
      <c r="A95" s="100">
        <v>564021</v>
      </c>
      <c r="B95" s="171"/>
      <c r="C95" s="100">
        <v>1</v>
      </c>
      <c r="D95" s="100">
        <v>0</v>
      </c>
      <c r="E95" s="100">
        <v>0</v>
      </c>
      <c r="F95" s="171"/>
      <c r="G95" s="171"/>
      <c r="H95" s="171"/>
      <c r="I95" s="171" t="s">
        <v>5761</v>
      </c>
      <c r="J95" s="171"/>
      <c r="K95" s="171">
        <v>100</v>
      </c>
      <c r="L95" s="171">
        <v>102</v>
      </c>
      <c r="M95" s="171">
        <v>10202</v>
      </c>
      <c r="N95" s="171">
        <v>22003</v>
      </c>
      <c r="O95" s="171" t="s">
        <v>4665</v>
      </c>
      <c r="P95" s="171" t="s">
        <v>5736</v>
      </c>
      <c r="Q95" s="171" t="s">
        <v>4855</v>
      </c>
      <c r="R95" s="171" t="s">
        <v>4848</v>
      </c>
      <c r="S95" s="100">
        <v>5220</v>
      </c>
      <c r="T95" s="100">
        <v>0</v>
      </c>
      <c r="U95" s="100">
        <v>0</v>
      </c>
      <c r="V95" s="100">
        <v>1</v>
      </c>
      <c r="W95" s="100">
        <v>60</v>
      </c>
      <c r="X95" s="100">
        <v>0</v>
      </c>
      <c r="Y95" s="100">
        <v>60</v>
      </c>
      <c r="Z95" s="100">
        <v>0</v>
      </c>
      <c r="AA95" s="100">
        <v>0.03</v>
      </c>
      <c r="AB95" s="100">
        <v>2</v>
      </c>
      <c r="AC95" s="171"/>
      <c r="AD95" s="171"/>
      <c r="AE95" s="171"/>
      <c r="AF95" s="171" t="s">
        <v>4849</v>
      </c>
      <c r="AG95" s="171" t="s">
        <v>5761</v>
      </c>
      <c r="AH95" s="171" t="s">
        <v>5761</v>
      </c>
      <c r="AI95" s="171" t="s">
        <v>4859</v>
      </c>
    </row>
    <row r="96" spans="1:35">
      <c r="A96" s="100">
        <v>564022</v>
      </c>
      <c r="B96" s="171"/>
      <c r="C96" s="100">
        <v>1</v>
      </c>
      <c r="D96" s="100">
        <v>0</v>
      </c>
      <c r="E96" s="100">
        <v>0</v>
      </c>
      <c r="F96" s="171"/>
      <c r="G96" s="171"/>
      <c r="H96" s="171"/>
      <c r="I96" s="171" t="s">
        <v>5761</v>
      </c>
      <c r="J96" s="171"/>
      <c r="K96" s="171">
        <v>100</v>
      </c>
      <c r="L96" s="171">
        <v>102</v>
      </c>
      <c r="M96" s="171">
        <v>10202</v>
      </c>
      <c r="N96" s="171">
        <v>22003</v>
      </c>
      <c r="O96" s="171" t="s">
        <v>4282</v>
      </c>
      <c r="P96" s="171" t="s">
        <v>5709</v>
      </c>
      <c r="Q96" s="171" t="s">
        <v>4855</v>
      </c>
      <c r="R96" s="171" t="s">
        <v>4848</v>
      </c>
      <c r="S96" s="100">
        <v>14369</v>
      </c>
      <c r="T96" s="100">
        <v>0</v>
      </c>
      <c r="U96" s="100">
        <v>0</v>
      </c>
      <c r="V96" s="100">
        <v>1</v>
      </c>
      <c r="W96" s="100">
        <v>40</v>
      </c>
      <c r="X96" s="100">
        <v>0</v>
      </c>
      <c r="Y96" s="100">
        <v>40</v>
      </c>
      <c r="Z96" s="100">
        <v>0</v>
      </c>
      <c r="AA96" s="100">
        <v>0.03</v>
      </c>
      <c r="AB96" s="100">
        <v>1.33</v>
      </c>
      <c r="AC96" s="171"/>
      <c r="AD96" s="171"/>
      <c r="AE96" s="171"/>
      <c r="AF96" s="171" t="s">
        <v>4849</v>
      </c>
      <c r="AG96" s="171" t="s">
        <v>5761</v>
      </c>
      <c r="AH96" s="171" t="s">
        <v>5761</v>
      </c>
      <c r="AI96" s="171" t="s">
        <v>4859</v>
      </c>
    </row>
    <row r="97" spans="1:35">
      <c r="A97" s="100">
        <v>567459</v>
      </c>
      <c r="B97" s="171"/>
      <c r="C97" s="100">
        <v>1</v>
      </c>
      <c r="D97" s="100">
        <v>0</v>
      </c>
      <c r="E97" s="100">
        <v>0</v>
      </c>
      <c r="F97" s="171"/>
      <c r="G97" s="171"/>
      <c r="H97" s="171"/>
      <c r="I97" s="171" t="s">
        <v>5765</v>
      </c>
      <c r="J97" s="171"/>
      <c r="K97" s="171">
        <v>100</v>
      </c>
      <c r="L97" s="171">
        <v>102</v>
      </c>
      <c r="M97" s="171">
        <v>10202</v>
      </c>
      <c r="N97" s="171">
        <v>10205</v>
      </c>
      <c r="O97" s="171" t="s">
        <v>5769</v>
      </c>
      <c r="P97" s="171" t="s">
        <v>5744</v>
      </c>
      <c r="Q97" s="171" t="s">
        <v>4855</v>
      </c>
      <c r="R97" s="171" t="s">
        <v>4848</v>
      </c>
      <c r="S97" s="100">
        <v>5779</v>
      </c>
      <c r="T97" s="100">
        <v>0</v>
      </c>
      <c r="U97" s="100">
        <v>0</v>
      </c>
      <c r="V97" s="100">
        <v>1</v>
      </c>
      <c r="W97" s="100">
        <v>50</v>
      </c>
      <c r="X97" s="100">
        <v>0</v>
      </c>
      <c r="Y97" s="100">
        <v>50</v>
      </c>
      <c r="Z97" s="100">
        <v>0</v>
      </c>
      <c r="AA97" s="100">
        <v>0.01</v>
      </c>
      <c r="AB97" s="100">
        <v>0.42</v>
      </c>
      <c r="AC97" s="171"/>
      <c r="AD97" s="171"/>
      <c r="AE97" s="171"/>
      <c r="AF97" s="171" t="s">
        <v>4858</v>
      </c>
      <c r="AG97" s="171" t="s">
        <v>5765</v>
      </c>
      <c r="AH97" s="171" t="s">
        <v>5765</v>
      </c>
      <c r="AI97" s="171" t="s">
        <v>4859</v>
      </c>
    </row>
    <row r="98" spans="1:35">
      <c r="A98" s="100">
        <v>568896</v>
      </c>
      <c r="B98" s="171"/>
      <c r="C98" s="100">
        <v>1</v>
      </c>
      <c r="D98" s="100">
        <v>0</v>
      </c>
      <c r="E98" s="100">
        <v>1</v>
      </c>
      <c r="F98" s="171"/>
      <c r="G98" s="171" t="s">
        <v>6164</v>
      </c>
      <c r="H98" s="171"/>
      <c r="I98" s="171" t="s">
        <v>5765</v>
      </c>
      <c r="J98" s="171"/>
      <c r="K98" s="171">
        <v>100</v>
      </c>
      <c r="L98" s="171">
        <v>102</v>
      </c>
      <c r="M98" s="171">
        <v>10202</v>
      </c>
      <c r="N98" s="171">
        <v>10205</v>
      </c>
      <c r="O98" s="171" t="s">
        <v>3433</v>
      </c>
      <c r="P98" s="171" t="s">
        <v>5745</v>
      </c>
      <c r="Q98" s="171" t="s">
        <v>4853</v>
      </c>
      <c r="R98" s="171" t="s">
        <v>4848</v>
      </c>
      <c r="S98" s="100">
        <v>9491</v>
      </c>
      <c r="T98" s="100">
        <v>0</v>
      </c>
      <c r="U98" s="100">
        <v>0</v>
      </c>
      <c r="V98" s="100">
        <v>1</v>
      </c>
      <c r="W98" s="100">
        <v>16</v>
      </c>
      <c r="X98" s="100">
        <v>16</v>
      </c>
      <c r="Y98" s="100">
        <v>0</v>
      </c>
      <c r="Z98" s="100">
        <v>0</v>
      </c>
      <c r="AA98" s="100">
        <v>0.02</v>
      </c>
      <c r="AB98" s="100">
        <v>0.27</v>
      </c>
      <c r="AC98" s="171"/>
      <c r="AD98" s="171"/>
      <c r="AE98" s="171"/>
      <c r="AF98" s="171" t="s">
        <v>4886</v>
      </c>
      <c r="AG98" s="171" t="s">
        <v>5765</v>
      </c>
      <c r="AH98" s="171" t="s">
        <v>5765</v>
      </c>
      <c r="AI98" s="171" t="s">
        <v>4850</v>
      </c>
    </row>
    <row r="99" spans="1:35">
      <c r="A99" s="100">
        <v>568897</v>
      </c>
      <c r="B99" s="171"/>
      <c r="C99" s="100">
        <v>1</v>
      </c>
      <c r="D99" s="100">
        <v>0</v>
      </c>
      <c r="E99" s="100">
        <v>1</v>
      </c>
      <c r="F99" s="171"/>
      <c r="G99" s="171" t="s">
        <v>6164</v>
      </c>
      <c r="H99" s="171"/>
      <c r="I99" s="171" t="s">
        <v>5765</v>
      </c>
      <c r="J99" s="171"/>
      <c r="K99" s="171">
        <v>100</v>
      </c>
      <c r="L99" s="171">
        <v>102</v>
      </c>
      <c r="M99" s="171">
        <v>10202</v>
      </c>
      <c r="N99" s="171">
        <v>10205</v>
      </c>
      <c r="O99" s="171" t="s">
        <v>3377</v>
      </c>
      <c r="P99" s="171" t="s">
        <v>5268</v>
      </c>
      <c r="Q99" s="171" t="s">
        <v>4853</v>
      </c>
      <c r="R99" s="171" t="s">
        <v>4848</v>
      </c>
      <c r="S99" s="100">
        <v>9472</v>
      </c>
      <c r="T99" s="100">
        <v>0</v>
      </c>
      <c r="U99" s="100">
        <v>0</v>
      </c>
      <c r="V99" s="100">
        <v>1</v>
      </c>
      <c r="W99" s="100">
        <v>24</v>
      </c>
      <c r="X99" s="100">
        <v>24</v>
      </c>
      <c r="Y99" s="100">
        <v>0</v>
      </c>
      <c r="Z99" s="100">
        <v>0</v>
      </c>
      <c r="AA99" s="100">
        <v>0.02</v>
      </c>
      <c r="AB99" s="100">
        <v>0.4</v>
      </c>
      <c r="AC99" s="171"/>
      <c r="AD99" s="171"/>
      <c r="AE99" s="171"/>
      <c r="AF99" s="171" t="s">
        <v>4886</v>
      </c>
      <c r="AG99" s="171" t="s">
        <v>5765</v>
      </c>
      <c r="AH99" s="171" t="s">
        <v>5765</v>
      </c>
      <c r="AI99" s="171" t="s">
        <v>4850</v>
      </c>
    </row>
    <row r="100" spans="1:35">
      <c r="A100" s="100">
        <v>568898</v>
      </c>
      <c r="B100" s="171"/>
      <c r="C100" s="100">
        <v>1</v>
      </c>
      <c r="D100" s="100">
        <v>0</v>
      </c>
      <c r="E100" s="100">
        <v>1</v>
      </c>
      <c r="F100" s="171"/>
      <c r="G100" s="171" t="s">
        <v>6164</v>
      </c>
      <c r="H100" s="171"/>
      <c r="I100" s="171" t="s">
        <v>5765</v>
      </c>
      <c r="J100" s="171"/>
      <c r="K100" s="171">
        <v>100</v>
      </c>
      <c r="L100" s="171">
        <v>102</v>
      </c>
      <c r="M100" s="171">
        <v>10202</v>
      </c>
      <c r="N100" s="171">
        <v>10205</v>
      </c>
      <c r="O100" s="171" t="s">
        <v>3379</v>
      </c>
      <c r="P100" s="171" t="s">
        <v>5748</v>
      </c>
      <c r="Q100" s="171" t="s">
        <v>4853</v>
      </c>
      <c r="R100" s="171" t="s">
        <v>4848</v>
      </c>
      <c r="S100" s="100">
        <v>9475</v>
      </c>
      <c r="T100" s="100">
        <v>0</v>
      </c>
      <c r="U100" s="100">
        <v>0</v>
      </c>
      <c r="V100" s="100">
        <v>1</v>
      </c>
      <c r="W100" s="100">
        <v>16</v>
      </c>
      <c r="X100" s="100">
        <v>16</v>
      </c>
      <c r="Y100" s="100">
        <v>0</v>
      </c>
      <c r="Z100" s="100">
        <v>0</v>
      </c>
      <c r="AA100" s="100">
        <v>0.01</v>
      </c>
      <c r="AB100" s="100">
        <v>0.13</v>
      </c>
      <c r="AC100" s="171"/>
      <c r="AD100" s="171"/>
      <c r="AE100" s="171"/>
      <c r="AF100" s="171" t="s">
        <v>4886</v>
      </c>
      <c r="AG100" s="171" t="s">
        <v>5765</v>
      </c>
      <c r="AH100" s="171" t="s">
        <v>5765</v>
      </c>
      <c r="AI100" s="171" t="s">
        <v>4859</v>
      </c>
    </row>
    <row r="101" spans="1:35">
      <c r="A101" s="100">
        <v>568899</v>
      </c>
      <c r="B101" s="171"/>
      <c r="C101" s="100">
        <v>1</v>
      </c>
      <c r="D101" s="100">
        <v>0</v>
      </c>
      <c r="E101" s="100">
        <v>1</v>
      </c>
      <c r="F101" s="171"/>
      <c r="G101" s="171" t="s">
        <v>6164</v>
      </c>
      <c r="H101" s="171"/>
      <c r="I101" s="171" t="s">
        <v>5765</v>
      </c>
      <c r="J101" s="171"/>
      <c r="K101" s="171">
        <v>100</v>
      </c>
      <c r="L101" s="171">
        <v>102</v>
      </c>
      <c r="M101" s="171">
        <v>10202</v>
      </c>
      <c r="N101" s="171">
        <v>10205</v>
      </c>
      <c r="O101" s="171" t="s">
        <v>3378</v>
      </c>
      <c r="P101" s="171" t="s">
        <v>5267</v>
      </c>
      <c r="Q101" s="171" t="s">
        <v>4853</v>
      </c>
      <c r="R101" s="171" t="s">
        <v>4848</v>
      </c>
      <c r="S101" s="100">
        <v>9473</v>
      </c>
      <c r="T101" s="100">
        <v>0</v>
      </c>
      <c r="U101" s="100">
        <v>0</v>
      </c>
      <c r="V101" s="100">
        <v>1</v>
      </c>
      <c r="W101" s="100">
        <v>16</v>
      </c>
      <c r="X101" s="100">
        <v>16</v>
      </c>
      <c r="Y101" s="100">
        <v>0</v>
      </c>
      <c r="Z101" s="100">
        <v>0</v>
      </c>
      <c r="AA101" s="100">
        <v>0.01</v>
      </c>
      <c r="AB101" s="100">
        <v>0.13</v>
      </c>
      <c r="AC101" s="171"/>
      <c r="AD101" s="171"/>
      <c r="AE101" s="171"/>
      <c r="AF101" s="171" t="s">
        <v>4886</v>
      </c>
      <c r="AG101" s="171" t="s">
        <v>5765</v>
      </c>
      <c r="AH101" s="171" t="s">
        <v>5765</v>
      </c>
      <c r="AI101" s="171" t="s">
        <v>4859</v>
      </c>
    </row>
    <row r="102" spans="1:35">
      <c r="A102" s="100">
        <v>569231</v>
      </c>
      <c r="B102" s="171"/>
      <c r="C102" s="100">
        <v>1</v>
      </c>
      <c r="D102" s="100">
        <v>0</v>
      </c>
      <c r="E102" s="100">
        <v>1</v>
      </c>
      <c r="F102" s="171"/>
      <c r="G102" s="171" t="s">
        <v>6158</v>
      </c>
      <c r="H102" s="171"/>
      <c r="I102" s="171" t="s">
        <v>5406</v>
      </c>
      <c r="J102" s="171"/>
      <c r="K102" s="171">
        <v>100</v>
      </c>
      <c r="L102" s="171">
        <v>102</v>
      </c>
      <c r="M102" s="171">
        <v>10202</v>
      </c>
      <c r="N102" s="171">
        <v>10205</v>
      </c>
      <c r="O102" s="171" t="s">
        <v>2215</v>
      </c>
      <c r="P102" s="171" t="s">
        <v>5792</v>
      </c>
      <c r="Q102" s="171" t="s">
        <v>4853</v>
      </c>
      <c r="R102" s="171" t="s">
        <v>4848</v>
      </c>
      <c r="S102" s="100">
        <v>8971</v>
      </c>
      <c r="T102" s="100">
        <v>0</v>
      </c>
      <c r="U102" s="100">
        <v>0</v>
      </c>
      <c r="V102" s="100">
        <v>1</v>
      </c>
      <c r="W102" s="100">
        <v>160</v>
      </c>
      <c r="X102" s="100">
        <v>160</v>
      </c>
      <c r="Y102" s="100">
        <v>0</v>
      </c>
      <c r="Z102" s="100">
        <v>0</v>
      </c>
      <c r="AA102" s="100">
        <v>0.02</v>
      </c>
      <c r="AB102" s="100">
        <v>2.67</v>
      </c>
      <c r="AC102" s="171"/>
      <c r="AD102" s="171"/>
      <c r="AE102" s="171"/>
      <c r="AF102" s="171" t="s">
        <v>4862</v>
      </c>
      <c r="AG102" s="171" t="s">
        <v>5406</v>
      </c>
      <c r="AH102" s="171" t="s">
        <v>5406</v>
      </c>
      <c r="AI102" s="171" t="s">
        <v>4850</v>
      </c>
    </row>
    <row r="103" spans="1:35">
      <c r="A103" s="100">
        <v>569242</v>
      </c>
      <c r="B103" s="171"/>
      <c r="C103" s="100">
        <v>1</v>
      </c>
      <c r="D103" s="100">
        <v>0</v>
      </c>
      <c r="E103" s="100">
        <v>1</v>
      </c>
      <c r="F103" s="171"/>
      <c r="G103" s="171" t="s">
        <v>6162</v>
      </c>
      <c r="H103" s="171"/>
      <c r="I103" s="171" t="s">
        <v>5406</v>
      </c>
      <c r="J103" s="171"/>
      <c r="K103" s="171">
        <v>100</v>
      </c>
      <c r="L103" s="171">
        <v>102</v>
      </c>
      <c r="M103" s="171">
        <v>10202</v>
      </c>
      <c r="N103" s="171">
        <v>10205</v>
      </c>
      <c r="O103" s="171" t="s">
        <v>3376</v>
      </c>
      <c r="P103" s="171" t="s">
        <v>5799</v>
      </c>
      <c r="Q103" s="171" t="s">
        <v>4853</v>
      </c>
      <c r="R103" s="171" t="s">
        <v>4848</v>
      </c>
      <c r="S103" s="100">
        <v>10454</v>
      </c>
      <c r="T103" s="100">
        <v>0</v>
      </c>
      <c r="U103" s="100">
        <v>0</v>
      </c>
      <c r="V103" s="100">
        <v>1</v>
      </c>
      <c r="W103" s="100">
        <v>20</v>
      </c>
      <c r="X103" s="100">
        <v>20</v>
      </c>
      <c r="Y103" s="100">
        <v>0</v>
      </c>
      <c r="Z103" s="100">
        <v>0</v>
      </c>
      <c r="AA103" s="100">
        <v>0.01</v>
      </c>
      <c r="AB103" s="100">
        <v>0.17</v>
      </c>
      <c r="AC103" s="171"/>
      <c r="AD103" s="171"/>
      <c r="AE103" s="171"/>
      <c r="AF103" s="171" t="s">
        <v>4852</v>
      </c>
      <c r="AG103" s="171" t="s">
        <v>5406</v>
      </c>
      <c r="AH103" s="171" t="s">
        <v>5406</v>
      </c>
      <c r="AI103" s="171" t="s">
        <v>4859</v>
      </c>
    </row>
    <row r="104" spans="1:35">
      <c r="A104" s="100">
        <v>569311</v>
      </c>
      <c r="B104" s="171"/>
      <c r="C104" s="100">
        <v>1</v>
      </c>
      <c r="D104" s="100">
        <v>0</v>
      </c>
      <c r="E104" s="100">
        <v>0</v>
      </c>
      <c r="F104" s="171"/>
      <c r="G104" s="171"/>
      <c r="H104" s="171"/>
      <c r="I104" s="171" t="s">
        <v>6165</v>
      </c>
      <c r="J104" s="171"/>
      <c r="K104" s="171">
        <v>100</v>
      </c>
      <c r="L104" s="171">
        <v>102</v>
      </c>
      <c r="M104" s="171">
        <v>10202</v>
      </c>
      <c r="N104" s="171">
        <v>22003</v>
      </c>
      <c r="O104" s="171" t="s">
        <v>4280</v>
      </c>
      <c r="P104" s="171" t="s">
        <v>5695</v>
      </c>
      <c r="Q104" s="171" t="s">
        <v>4855</v>
      </c>
      <c r="R104" s="171" t="s">
        <v>4848</v>
      </c>
      <c r="S104" s="100">
        <v>5282</v>
      </c>
      <c r="T104" s="100">
        <v>0</v>
      </c>
      <c r="U104" s="100">
        <v>0</v>
      </c>
      <c r="V104" s="100">
        <v>1</v>
      </c>
      <c r="W104" s="100">
        <v>90</v>
      </c>
      <c r="X104" s="100">
        <v>0</v>
      </c>
      <c r="Y104" s="100">
        <v>90</v>
      </c>
      <c r="Z104" s="100">
        <v>0</v>
      </c>
      <c r="AA104" s="100">
        <v>0.03</v>
      </c>
      <c r="AB104" s="100">
        <v>3</v>
      </c>
      <c r="AC104" s="171"/>
      <c r="AD104" s="171"/>
      <c r="AE104" s="171"/>
      <c r="AF104" s="171" t="s">
        <v>4858</v>
      </c>
      <c r="AG104" s="171" t="s">
        <v>6165</v>
      </c>
      <c r="AH104" s="171" t="s">
        <v>6165</v>
      </c>
      <c r="AI104" s="171" t="s">
        <v>4859</v>
      </c>
    </row>
    <row r="105" spans="1:35">
      <c r="A105" s="100">
        <v>569314</v>
      </c>
      <c r="B105" s="171"/>
      <c r="C105" s="100">
        <v>1</v>
      </c>
      <c r="D105" s="100">
        <v>0</v>
      </c>
      <c r="E105" s="100">
        <v>0</v>
      </c>
      <c r="F105" s="171"/>
      <c r="G105" s="171"/>
      <c r="H105" s="171"/>
      <c r="I105" s="171" t="s">
        <v>6165</v>
      </c>
      <c r="J105" s="171"/>
      <c r="K105" s="171">
        <v>100</v>
      </c>
      <c r="L105" s="171">
        <v>102</v>
      </c>
      <c r="M105" s="171">
        <v>10202</v>
      </c>
      <c r="N105" s="171">
        <v>10205</v>
      </c>
      <c r="O105" s="171" t="s">
        <v>3058</v>
      </c>
      <c r="P105" s="171" t="s">
        <v>5981</v>
      </c>
      <c r="Q105" s="171"/>
      <c r="R105" s="171" t="s">
        <v>4848</v>
      </c>
      <c r="S105" s="100">
        <v>10449</v>
      </c>
      <c r="T105" s="100">
        <v>0</v>
      </c>
      <c r="U105" s="100">
        <v>0</v>
      </c>
      <c r="V105" s="100">
        <v>1</v>
      </c>
      <c r="W105" s="100">
        <v>80</v>
      </c>
      <c r="X105" s="100">
        <v>0</v>
      </c>
      <c r="Y105" s="100">
        <v>80</v>
      </c>
      <c r="Z105" s="100">
        <v>0</v>
      </c>
      <c r="AA105" s="100">
        <v>0.02</v>
      </c>
      <c r="AB105" s="100">
        <v>1.33</v>
      </c>
      <c r="AC105" s="171"/>
      <c r="AD105" s="171"/>
      <c r="AE105" s="171"/>
      <c r="AF105" s="171" t="s">
        <v>4852</v>
      </c>
      <c r="AG105" s="171" t="s">
        <v>6165</v>
      </c>
      <c r="AH105" s="171" t="s">
        <v>6165</v>
      </c>
      <c r="AI105" s="171" t="s">
        <v>4859</v>
      </c>
    </row>
    <row r="106" spans="1:35">
      <c r="A106" s="100">
        <v>569481</v>
      </c>
      <c r="B106" s="171"/>
      <c r="C106" s="100">
        <v>1</v>
      </c>
      <c r="D106" s="100">
        <v>0</v>
      </c>
      <c r="E106" s="100">
        <v>0</v>
      </c>
      <c r="F106" s="171"/>
      <c r="G106" s="171"/>
      <c r="H106" s="171"/>
      <c r="I106" s="171" t="s">
        <v>6166</v>
      </c>
      <c r="J106" s="171"/>
      <c r="K106" s="171">
        <v>100</v>
      </c>
      <c r="L106" s="171">
        <v>102</v>
      </c>
      <c r="M106" s="171">
        <v>10202</v>
      </c>
      <c r="N106" s="171">
        <v>10205</v>
      </c>
      <c r="O106" s="171" t="s">
        <v>3381</v>
      </c>
      <c r="P106" s="171" t="s">
        <v>5988</v>
      </c>
      <c r="Q106" s="171" t="s">
        <v>4855</v>
      </c>
      <c r="R106" s="171" t="s">
        <v>4848</v>
      </c>
      <c r="S106" s="100">
        <v>9482</v>
      </c>
      <c r="T106" s="100">
        <v>0</v>
      </c>
      <c r="U106" s="100">
        <v>0</v>
      </c>
      <c r="V106" s="100">
        <v>1</v>
      </c>
      <c r="W106" s="100">
        <v>16</v>
      </c>
      <c r="X106" s="100">
        <v>0</v>
      </c>
      <c r="Y106" s="100">
        <v>16</v>
      </c>
      <c r="Z106" s="100">
        <v>0</v>
      </c>
      <c r="AA106" s="100">
        <v>0.02</v>
      </c>
      <c r="AB106" s="100">
        <v>0.27</v>
      </c>
      <c r="AC106" s="171"/>
      <c r="AD106" s="171"/>
      <c r="AE106" s="171"/>
      <c r="AF106" s="171" t="s">
        <v>4886</v>
      </c>
      <c r="AG106" s="171" t="s">
        <v>6166</v>
      </c>
      <c r="AH106" s="171" t="s">
        <v>6166</v>
      </c>
      <c r="AI106" s="171" t="s">
        <v>6167</v>
      </c>
    </row>
    <row r="107" spans="1:35">
      <c r="A107" s="100">
        <v>569492</v>
      </c>
      <c r="B107" s="171"/>
      <c r="C107" s="100">
        <v>1</v>
      </c>
      <c r="D107" s="100">
        <v>0</v>
      </c>
      <c r="E107" s="100">
        <v>0</v>
      </c>
      <c r="F107" s="171"/>
      <c r="G107" s="171"/>
      <c r="H107" s="171"/>
      <c r="I107" s="171" t="s">
        <v>6166</v>
      </c>
      <c r="J107" s="171"/>
      <c r="K107" s="171">
        <v>100</v>
      </c>
      <c r="L107" s="171">
        <v>102</v>
      </c>
      <c r="M107" s="171">
        <v>10202</v>
      </c>
      <c r="N107" s="171">
        <v>10205</v>
      </c>
      <c r="O107" s="171" t="s">
        <v>2962</v>
      </c>
      <c r="P107" s="171" t="s">
        <v>5990</v>
      </c>
      <c r="Q107" s="171" t="s">
        <v>4855</v>
      </c>
      <c r="R107" s="171" t="s">
        <v>4848</v>
      </c>
      <c r="S107" s="100">
        <v>10394</v>
      </c>
      <c r="T107" s="100">
        <v>0</v>
      </c>
      <c r="U107" s="100">
        <v>0</v>
      </c>
      <c r="V107" s="100">
        <v>1</v>
      </c>
      <c r="W107" s="100">
        <v>20</v>
      </c>
      <c r="X107" s="100">
        <v>0</v>
      </c>
      <c r="Y107" s="100">
        <v>20</v>
      </c>
      <c r="Z107" s="100">
        <v>0</v>
      </c>
      <c r="AA107" s="100">
        <v>0.01</v>
      </c>
      <c r="AB107" s="100">
        <v>0.17</v>
      </c>
      <c r="AC107" s="171"/>
      <c r="AD107" s="171"/>
      <c r="AE107" s="171"/>
      <c r="AF107" s="171" t="s">
        <v>4852</v>
      </c>
      <c r="AG107" s="171" t="s">
        <v>6166</v>
      </c>
      <c r="AH107" s="171" t="s">
        <v>6166</v>
      </c>
      <c r="AI107" s="171" t="s">
        <v>4859</v>
      </c>
    </row>
    <row r="108" spans="1:35">
      <c r="A108" s="100">
        <v>569495</v>
      </c>
      <c r="B108" s="171"/>
      <c r="C108" s="100">
        <v>1</v>
      </c>
      <c r="D108" s="100">
        <v>0</v>
      </c>
      <c r="E108" s="100">
        <v>0</v>
      </c>
      <c r="F108" s="171"/>
      <c r="G108" s="171"/>
      <c r="H108" s="171"/>
      <c r="I108" s="171" t="s">
        <v>6166</v>
      </c>
      <c r="J108" s="171"/>
      <c r="K108" s="171">
        <v>100</v>
      </c>
      <c r="L108" s="171">
        <v>102</v>
      </c>
      <c r="M108" s="171">
        <v>10202</v>
      </c>
      <c r="N108" s="171">
        <v>10205</v>
      </c>
      <c r="O108" s="171" t="s">
        <v>2970</v>
      </c>
      <c r="P108" s="171" t="s">
        <v>5992</v>
      </c>
      <c r="Q108" s="171" t="s">
        <v>4855</v>
      </c>
      <c r="R108" s="171" t="s">
        <v>4848</v>
      </c>
      <c r="S108" s="100">
        <v>10405</v>
      </c>
      <c r="T108" s="100">
        <v>0</v>
      </c>
      <c r="U108" s="100">
        <v>0</v>
      </c>
      <c r="V108" s="100">
        <v>1</v>
      </c>
      <c r="W108" s="100">
        <v>20</v>
      </c>
      <c r="X108" s="100">
        <v>0</v>
      </c>
      <c r="Y108" s="100">
        <v>20</v>
      </c>
      <c r="Z108" s="100">
        <v>0</v>
      </c>
      <c r="AA108" s="100">
        <v>0.01</v>
      </c>
      <c r="AB108" s="100">
        <v>0.17</v>
      </c>
      <c r="AC108" s="171"/>
      <c r="AD108" s="171"/>
      <c r="AE108" s="171"/>
      <c r="AF108" s="171" t="s">
        <v>4852</v>
      </c>
      <c r="AG108" s="171" t="s">
        <v>6166</v>
      </c>
      <c r="AH108" s="171" t="s">
        <v>6166</v>
      </c>
      <c r="AI108" s="171" t="s">
        <v>4859</v>
      </c>
    </row>
    <row r="109" spans="1:35">
      <c r="A109" s="100">
        <v>569632</v>
      </c>
      <c r="B109" s="171"/>
      <c r="C109" s="100">
        <v>1</v>
      </c>
      <c r="D109" s="100">
        <v>0</v>
      </c>
      <c r="E109" s="100">
        <v>1</v>
      </c>
      <c r="F109" s="171"/>
      <c r="G109" s="171" t="s">
        <v>6158</v>
      </c>
      <c r="H109" s="171"/>
      <c r="I109" s="171" t="s">
        <v>6164</v>
      </c>
      <c r="J109" s="171"/>
      <c r="K109" s="171">
        <v>100</v>
      </c>
      <c r="L109" s="171">
        <v>102</v>
      </c>
      <c r="M109" s="171">
        <v>10202</v>
      </c>
      <c r="N109" s="171">
        <v>10203</v>
      </c>
      <c r="O109" s="171" t="s">
        <v>6168</v>
      </c>
      <c r="P109" s="171" t="s">
        <v>5922</v>
      </c>
      <c r="Q109" s="171" t="s">
        <v>4853</v>
      </c>
      <c r="R109" s="171" t="s">
        <v>4848</v>
      </c>
      <c r="S109" s="100">
        <v>12517</v>
      </c>
      <c r="T109" s="100">
        <v>0</v>
      </c>
      <c r="U109" s="100">
        <v>0</v>
      </c>
      <c r="V109" s="100">
        <v>1</v>
      </c>
      <c r="W109" s="100">
        <v>8000</v>
      </c>
      <c r="X109" s="100">
        <v>8000</v>
      </c>
      <c r="Y109" s="100">
        <v>0</v>
      </c>
      <c r="Z109" s="100">
        <v>0</v>
      </c>
      <c r="AA109" s="100">
        <v>0.01</v>
      </c>
      <c r="AB109" s="100">
        <v>66.67</v>
      </c>
      <c r="AC109" s="171"/>
      <c r="AD109" s="171"/>
      <c r="AE109" s="171"/>
      <c r="AF109" s="171" t="s">
        <v>4852</v>
      </c>
      <c r="AG109" s="171" t="s">
        <v>6164</v>
      </c>
      <c r="AH109" s="171" t="s">
        <v>6164</v>
      </c>
      <c r="AI109" s="171" t="s">
        <v>4859</v>
      </c>
    </row>
    <row r="110" spans="1:35">
      <c r="A110" s="100">
        <v>569633</v>
      </c>
      <c r="B110" s="171"/>
      <c r="C110" s="100">
        <v>1</v>
      </c>
      <c r="D110" s="100">
        <v>0</v>
      </c>
      <c r="E110" s="100">
        <v>0</v>
      </c>
      <c r="F110" s="171"/>
      <c r="G110" s="171"/>
      <c r="H110" s="171"/>
      <c r="I110" s="171" t="s">
        <v>6164</v>
      </c>
      <c r="J110" s="171"/>
      <c r="K110" s="171">
        <v>100</v>
      </c>
      <c r="L110" s="171">
        <v>102</v>
      </c>
      <c r="M110" s="171">
        <v>10202</v>
      </c>
      <c r="N110" s="171">
        <v>10203</v>
      </c>
      <c r="O110" s="171" t="s">
        <v>6168</v>
      </c>
      <c r="P110" s="171" t="s">
        <v>5922</v>
      </c>
      <c r="Q110" s="171" t="s">
        <v>4855</v>
      </c>
      <c r="R110" s="171" t="s">
        <v>4848</v>
      </c>
      <c r="S110" s="100">
        <v>8509</v>
      </c>
      <c r="T110" s="100">
        <v>0</v>
      </c>
      <c r="U110" s="100">
        <v>0</v>
      </c>
      <c r="V110" s="100">
        <v>1</v>
      </c>
      <c r="W110" s="100">
        <v>2000</v>
      </c>
      <c r="X110" s="100">
        <v>0</v>
      </c>
      <c r="Y110" s="100">
        <v>2000</v>
      </c>
      <c r="Z110" s="100">
        <v>0</v>
      </c>
      <c r="AA110" s="100">
        <v>0.01</v>
      </c>
      <c r="AB110" s="100">
        <v>16.670000000000002</v>
      </c>
      <c r="AC110" s="171"/>
      <c r="AD110" s="171"/>
      <c r="AE110" s="171"/>
      <c r="AF110" s="171" t="s">
        <v>4849</v>
      </c>
      <c r="AG110" s="171" t="s">
        <v>6164</v>
      </c>
      <c r="AH110" s="171" t="s">
        <v>6164</v>
      </c>
      <c r="AI110" s="171" t="s">
        <v>4859</v>
      </c>
    </row>
    <row r="111" spans="1:35">
      <c r="A111" s="100">
        <v>569642</v>
      </c>
      <c r="B111" s="171"/>
      <c r="C111" s="100">
        <v>1</v>
      </c>
      <c r="D111" s="100">
        <v>0</v>
      </c>
      <c r="E111" s="100">
        <v>0</v>
      </c>
      <c r="F111" s="171"/>
      <c r="G111" s="171"/>
      <c r="H111" s="171"/>
      <c r="I111" s="171" t="s">
        <v>6163</v>
      </c>
      <c r="J111" s="171"/>
      <c r="K111" s="171">
        <v>100</v>
      </c>
      <c r="L111" s="171">
        <v>102</v>
      </c>
      <c r="M111" s="171">
        <v>10202</v>
      </c>
      <c r="N111" s="171">
        <v>22003</v>
      </c>
      <c r="O111" s="171" t="s">
        <v>4275</v>
      </c>
      <c r="P111" s="171" t="s">
        <v>5997</v>
      </c>
      <c r="Q111" s="171" t="s">
        <v>4855</v>
      </c>
      <c r="R111" s="171" t="s">
        <v>4848</v>
      </c>
      <c r="S111" s="100">
        <v>10719</v>
      </c>
      <c r="T111" s="100">
        <v>0</v>
      </c>
      <c r="U111" s="100">
        <v>0</v>
      </c>
      <c r="V111" s="100">
        <v>1</v>
      </c>
      <c r="W111" s="100">
        <v>100</v>
      </c>
      <c r="X111" s="100">
        <v>0</v>
      </c>
      <c r="Y111" s="100">
        <v>100</v>
      </c>
      <c r="Z111" s="100">
        <v>0</v>
      </c>
      <c r="AA111" s="100">
        <v>0.03</v>
      </c>
      <c r="AB111" s="100">
        <v>3.33</v>
      </c>
      <c r="AC111" s="171"/>
      <c r="AD111" s="171"/>
      <c r="AE111" s="171"/>
      <c r="AF111" s="171" t="s">
        <v>4849</v>
      </c>
      <c r="AG111" s="171" t="s">
        <v>6163</v>
      </c>
      <c r="AH111" s="171" t="s">
        <v>6163</v>
      </c>
      <c r="AI111" s="171" t="s">
        <v>4859</v>
      </c>
    </row>
    <row r="112" spans="1:35">
      <c r="A112" s="100">
        <v>569643</v>
      </c>
      <c r="B112" s="171"/>
      <c r="C112" s="100">
        <v>1</v>
      </c>
      <c r="D112" s="100">
        <v>0</v>
      </c>
      <c r="E112" s="100">
        <v>0</v>
      </c>
      <c r="F112" s="171"/>
      <c r="G112" s="171"/>
      <c r="H112" s="171"/>
      <c r="I112" s="171" t="s">
        <v>6163</v>
      </c>
      <c r="J112" s="171"/>
      <c r="K112" s="171">
        <v>100</v>
      </c>
      <c r="L112" s="171">
        <v>102</v>
      </c>
      <c r="M112" s="171">
        <v>10202</v>
      </c>
      <c r="N112" s="171">
        <v>10203</v>
      </c>
      <c r="O112" s="171" t="s">
        <v>4406</v>
      </c>
      <c r="P112" s="171" t="s">
        <v>5999</v>
      </c>
      <c r="Q112" s="171" t="s">
        <v>4855</v>
      </c>
      <c r="R112" s="171" t="s">
        <v>4848</v>
      </c>
      <c r="S112" s="100">
        <v>7326</v>
      </c>
      <c r="T112" s="100">
        <v>0</v>
      </c>
      <c r="U112" s="100">
        <v>0</v>
      </c>
      <c r="V112" s="100">
        <v>1</v>
      </c>
      <c r="W112" s="100">
        <v>100</v>
      </c>
      <c r="X112" s="100">
        <v>0</v>
      </c>
      <c r="Y112" s="100">
        <v>100</v>
      </c>
      <c r="Z112" s="100">
        <v>0</v>
      </c>
      <c r="AA112" s="100">
        <v>0.01</v>
      </c>
      <c r="AB112" s="100">
        <v>0.83</v>
      </c>
      <c r="AC112" s="171"/>
      <c r="AD112" s="171"/>
      <c r="AE112" s="171"/>
      <c r="AF112" s="171" t="s">
        <v>4849</v>
      </c>
      <c r="AG112" s="171" t="s">
        <v>6163</v>
      </c>
      <c r="AH112" s="171" t="s">
        <v>6163</v>
      </c>
      <c r="AI112" s="171" t="s">
        <v>4859</v>
      </c>
    </row>
    <row r="113" spans="1:35">
      <c r="A113" s="100">
        <v>569644</v>
      </c>
      <c r="B113" s="171"/>
      <c r="C113" s="100">
        <v>1</v>
      </c>
      <c r="D113" s="100">
        <v>0</v>
      </c>
      <c r="E113" s="100">
        <v>0</v>
      </c>
      <c r="F113" s="171"/>
      <c r="G113" s="171"/>
      <c r="H113" s="171"/>
      <c r="I113" s="171" t="s">
        <v>6163</v>
      </c>
      <c r="J113" s="171"/>
      <c r="K113" s="171">
        <v>100</v>
      </c>
      <c r="L113" s="171">
        <v>102</v>
      </c>
      <c r="M113" s="171">
        <v>10202</v>
      </c>
      <c r="N113" s="171">
        <v>10203</v>
      </c>
      <c r="O113" s="171" t="s">
        <v>4432</v>
      </c>
      <c r="P113" s="171" t="s">
        <v>6001</v>
      </c>
      <c r="Q113" s="171" t="s">
        <v>4855</v>
      </c>
      <c r="R113" s="171" t="s">
        <v>4848</v>
      </c>
      <c r="S113" s="100">
        <v>2963</v>
      </c>
      <c r="T113" s="100">
        <v>0</v>
      </c>
      <c r="U113" s="100">
        <v>0</v>
      </c>
      <c r="V113" s="100">
        <v>1</v>
      </c>
      <c r="W113" s="100">
        <v>150</v>
      </c>
      <c r="X113" s="100">
        <v>0</v>
      </c>
      <c r="Y113" s="100">
        <v>150</v>
      </c>
      <c r="Z113" s="100">
        <v>0</v>
      </c>
      <c r="AA113" s="100">
        <v>0.01</v>
      </c>
      <c r="AB113" s="100">
        <v>1.25</v>
      </c>
      <c r="AC113" s="171"/>
      <c r="AD113" s="171"/>
      <c r="AE113" s="171"/>
      <c r="AF113" s="171" t="s">
        <v>4849</v>
      </c>
      <c r="AG113" s="171" t="s">
        <v>6163</v>
      </c>
      <c r="AH113" s="171" t="s">
        <v>6163</v>
      </c>
      <c r="AI113" s="171" t="s">
        <v>4850</v>
      </c>
    </row>
    <row r="114" spans="1:35">
      <c r="A114" s="100">
        <v>569645</v>
      </c>
      <c r="B114" s="171"/>
      <c r="C114" s="100">
        <v>1</v>
      </c>
      <c r="D114" s="100">
        <v>0</v>
      </c>
      <c r="E114" s="100">
        <v>0</v>
      </c>
      <c r="F114" s="171"/>
      <c r="G114" s="171"/>
      <c r="H114" s="171"/>
      <c r="I114" s="171" t="s">
        <v>6163</v>
      </c>
      <c r="J114" s="171"/>
      <c r="K114" s="171">
        <v>100</v>
      </c>
      <c r="L114" s="171">
        <v>102</v>
      </c>
      <c r="M114" s="171">
        <v>10202</v>
      </c>
      <c r="N114" s="171">
        <v>10203</v>
      </c>
      <c r="O114" s="171" t="s">
        <v>4312</v>
      </c>
      <c r="P114" s="171" t="s">
        <v>6003</v>
      </c>
      <c r="Q114" s="171" t="s">
        <v>4855</v>
      </c>
      <c r="R114" s="171" t="s">
        <v>4848</v>
      </c>
      <c r="S114" s="100">
        <v>2958</v>
      </c>
      <c r="T114" s="100">
        <v>0</v>
      </c>
      <c r="U114" s="100">
        <v>0</v>
      </c>
      <c r="V114" s="100">
        <v>1</v>
      </c>
      <c r="W114" s="100">
        <v>50</v>
      </c>
      <c r="X114" s="100">
        <v>0</v>
      </c>
      <c r="Y114" s="100">
        <v>50</v>
      </c>
      <c r="Z114" s="100">
        <v>0</v>
      </c>
      <c r="AA114" s="100">
        <v>0.01</v>
      </c>
      <c r="AB114" s="100">
        <v>0.42</v>
      </c>
      <c r="AC114" s="171"/>
      <c r="AD114" s="171"/>
      <c r="AE114" s="171"/>
      <c r="AF114" s="171" t="s">
        <v>4849</v>
      </c>
      <c r="AG114" s="171" t="s">
        <v>6163</v>
      </c>
      <c r="AH114" s="171" t="s">
        <v>6163</v>
      </c>
      <c r="AI114" s="171" t="s">
        <v>4859</v>
      </c>
    </row>
    <row r="115" spans="1:35">
      <c r="A115" s="100">
        <v>569664</v>
      </c>
      <c r="B115" s="171"/>
      <c r="C115" s="100">
        <v>1</v>
      </c>
      <c r="D115" s="100">
        <v>0</v>
      </c>
      <c r="E115" s="100">
        <v>0</v>
      </c>
      <c r="F115" s="171"/>
      <c r="G115" s="171"/>
      <c r="H115" s="171"/>
      <c r="I115" s="171" t="s">
        <v>6163</v>
      </c>
      <c r="J115" s="171"/>
      <c r="K115" s="171">
        <v>100</v>
      </c>
      <c r="L115" s="171">
        <v>102</v>
      </c>
      <c r="M115" s="171">
        <v>10202</v>
      </c>
      <c r="N115" s="171">
        <v>10205</v>
      </c>
      <c r="O115" s="171" t="s">
        <v>628</v>
      </c>
      <c r="P115" s="171" t="s">
        <v>6018</v>
      </c>
      <c r="Q115" s="171" t="s">
        <v>4855</v>
      </c>
      <c r="R115" s="171" t="s">
        <v>4848</v>
      </c>
      <c r="S115" s="100">
        <v>1040</v>
      </c>
      <c r="T115" s="100">
        <v>0</v>
      </c>
      <c r="U115" s="100">
        <v>0</v>
      </c>
      <c r="V115" s="100">
        <v>1</v>
      </c>
      <c r="W115" s="100">
        <v>100</v>
      </c>
      <c r="X115" s="100">
        <v>0</v>
      </c>
      <c r="Y115" s="100">
        <v>100</v>
      </c>
      <c r="Z115" s="100">
        <v>0</v>
      </c>
      <c r="AA115" s="100">
        <v>0.01</v>
      </c>
      <c r="AB115" s="100">
        <v>0.83</v>
      </c>
      <c r="AC115" s="171"/>
      <c r="AD115" s="171"/>
      <c r="AE115" s="171"/>
      <c r="AF115" s="171" t="s">
        <v>4849</v>
      </c>
      <c r="AG115" s="171" t="s">
        <v>6163</v>
      </c>
      <c r="AH115" s="171" t="s">
        <v>6163</v>
      </c>
      <c r="AI115" s="171" t="s">
        <v>4859</v>
      </c>
    </row>
    <row r="116" spans="1:35">
      <c r="A116" s="100">
        <v>571194</v>
      </c>
      <c r="B116" s="171"/>
      <c r="C116" s="100">
        <v>1</v>
      </c>
      <c r="D116" s="100">
        <v>0</v>
      </c>
      <c r="E116" s="100">
        <v>0</v>
      </c>
      <c r="F116" s="171"/>
      <c r="G116" s="171"/>
      <c r="H116" s="171"/>
      <c r="I116" s="171" t="s">
        <v>6169</v>
      </c>
      <c r="J116" s="171"/>
      <c r="K116" s="171">
        <v>100</v>
      </c>
      <c r="L116" s="171">
        <v>102</v>
      </c>
      <c r="M116" s="171">
        <v>10202</v>
      </c>
      <c r="N116" s="171">
        <v>10205</v>
      </c>
      <c r="O116" s="171" t="s">
        <v>2953</v>
      </c>
      <c r="P116" s="171" t="s">
        <v>6022</v>
      </c>
      <c r="Q116" s="171" t="s">
        <v>4855</v>
      </c>
      <c r="R116" s="171" t="s">
        <v>4848</v>
      </c>
      <c r="S116" s="100">
        <v>10386</v>
      </c>
      <c r="T116" s="100">
        <v>0</v>
      </c>
      <c r="U116" s="100">
        <v>0</v>
      </c>
      <c r="V116" s="100">
        <v>1</v>
      </c>
      <c r="W116" s="100">
        <v>20</v>
      </c>
      <c r="X116" s="100">
        <v>0</v>
      </c>
      <c r="Y116" s="100">
        <v>20</v>
      </c>
      <c r="Z116" s="100">
        <v>0</v>
      </c>
      <c r="AA116" s="100">
        <v>0.01</v>
      </c>
      <c r="AB116" s="100">
        <v>0.17</v>
      </c>
      <c r="AC116" s="171"/>
      <c r="AD116" s="171"/>
      <c r="AE116" s="171"/>
      <c r="AF116" s="171" t="s">
        <v>4852</v>
      </c>
      <c r="AG116" s="171" t="s">
        <v>6169</v>
      </c>
      <c r="AH116" s="171" t="s">
        <v>6169</v>
      </c>
      <c r="AI116" s="171" t="s">
        <v>4859</v>
      </c>
    </row>
    <row r="117" spans="1:35">
      <c r="A117" s="100">
        <v>571783</v>
      </c>
      <c r="B117" s="171"/>
      <c r="C117" s="100">
        <v>1</v>
      </c>
      <c r="D117" s="100">
        <v>0</v>
      </c>
      <c r="E117" s="100">
        <v>0</v>
      </c>
      <c r="F117" s="171"/>
      <c r="G117" s="171"/>
      <c r="H117" s="171"/>
      <c r="I117" s="171" t="s">
        <v>6169</v>
      </c>
      <c r="J117" s="171"/>
      <c r="K117" s="171">
        <v>100</v>
      </c>
      <c r="L117" s="171">
        <v>102</v>
      </c>
      <c r="M117" s="171">
        <v>10202</v>
      </c>
      <c r="N117" s="171">
        <v>10205</v>
      </c>
      <c r="O117" s="171" t="s">
        <v>3434</v>
      </c>
      <c r="P117" s="171" t="s">
        <v>6027</v>
      </c>
      <c r="Q117" s="171" t="s">
        <v>4855</v>
      </c>
      <c r="R117" s="171" t="s">
        <v>4848</v>
      </c>
      <c r="S117" s="100">
        <v>9494</v>
      </c>
      <c r="T117" s="100">
        <v>0</v>
      </c>
      <c r="U117" s="100">
        <v>0</v>
      </c>
      <c r="V117" s="100">
        <v>1</v>
      </c>
      <c r="W117" s="100">
        <v>16</v>
      </c>
      <c r="X117" s="100">
        <v>0</v>
      </c>
      <c r="Y117" s="100">
        <v>16</v>
      </c>
      <c r="Z117" s="100">
        <v>0</v>
      </c>
      <c r="AA117" s="100">
        <v>0.01</v>
      </c>
      <c r="AB117" s="100">
        <v>0.13</v>
      </c>
      <c r="AC117" s="171"/>
      <c r="AD117" s="171"/>
      <c r="AE117" s="171"/>
      <c r="AF117" s="171" t="s">
        <v>4886</v>
      </c>
      <c r="AG117" s="171" t="s">
        <v>6169</v>
      </c>
      <c r="AH117" s="171" t="s">
        <v>6169</v>
      </c>
      <c r="AI117" s="171" t="s">
        <v>4850</v>
      </c>
    </row>
    <row r="118" spans="1:35">
      <c r="A118" s="100">
        <v>571784</v>
      </c>
      <c r="B118" s="171"/>
      <c r="C118" s="100">
        <v>1</v>
      </c>
      <c r="D118" s="100">
        <v>0</v>
      </c>
      <c r="E118" s="100">
        <v>0</v>
      </c>
      <c r="F118" s="171"/>
      <c r="G118" s="171"/>
      <c r="H118" s="171"/>
      <c r="I118" s="171" t="s">
        <v>6169</v>
      </c>
      <c r="J118" s="171"/>
      <c r="K118" s="171">
        <v>100</v>
      </c>
      <c r="L118" s="171">
        <v>102</v>
      </c>
      <c r="M118" s="171">
        <v>10202</v>
      </c>
      <c r="N118" s="171">
        <v>10205</v>
      </c>
      <c r="O118" s="171" t="s">
        <v>3433</v>
      </c>
      <c r="P118" s="171" t="s">
        <v>5745</v>
      </c>
      <c r="Q118" s="171" t="s">
        <v>4855</v>
      </c>
      <c r="R118" s="171" t="s">
        <v>4848</v>
      </c>
      <c r="S118" s="100">
        <v>9492</v>
      </c>
      <c r="T118" s="100">
        <v>0</v>
      </c>
      <c r="U118" s="100">
        <v>0</v>
      </c>
      <c r="V118" s="100">
        <v>1</v>
      </c>
      <c r="W118" s="100">
        <v>16</v>
      </c>
      <c r="X118" s="100">
        <v>0</v>
      </c>
      <c r="Y118" s="100">
        <v>16</v>
      </c>
      <c r="Z118" s="100">
        <v>0</v>
      </c>
      <c r="AA118" s="100">
        <v>0.02</v>
      </c>
      <c r="AB118" s="100">
        <v>0.27</v>
      </c>
      <c r="AC118" s="171"/>
      <c r="AD118" s="171"/>
      <c r="AE118" s="171"/>
      <c r="AF118" s="171" t="s">
        <v>4886</v>
      </c>
      <c r="AG118" s="171" t="s">
        <v>6169</v>
      </c>
      <c r="AH118" s="171" t="s">
        <v>6169</v>
      </c>
      <c r="AI118" s="171" t="s">
        <v>4850</v>
      </c>
    </row>
    <row r="119" spans="1:35">
      <c r="A119" s="100">
        <v>571785</v>
      </c>
      <c r="B119" s="171"/>
      <c r="C119" s="100">
        <v>1</v>
      </c>
      <c r="D119" s="100">
        <v>0</v>
      </c>
      <c r="E119" s="100">
        <v>0</v>
      </c>
      <c r="F119" s="171"/>
      <c r="G119" s="171"/>
      <c r="H119" s="171"/>
      <c r="I119" s="171" t="s">
        <v>6169</v>
      </c>
      <c r="J119" s="171"/>
      <c r="K119" s="171">
        <v>100</v>
      </c>
      <c r="L119" s="171">
        <v>102</v>
      </c>
      <c r="M119" s="171">
        <v>10202</v>
      </c>
      <c r="N119" s="171">
        <v>10205</v>
      </c>
      <c r="O119" s="171" t="s">
        <v>2961</v>
      </c>
      <c r="P119" s="171" t="s">
        <v>6030</v>
      </c>
      <c r="Q119" s="171" t="s">
        <v>4855</v>
      </c>
      <c r="R119" s="171" t="s">
        <v>4848</v>
      </c>
      <c r="S119" s="100">
        <v>11222</v>
      </c>
      <c r="T119" s="100">
        <v>0</v>
      </c>
      <c r="U119" s="100">
        <v>0</v>
      </c>
      <c r="V119" s="100">
        <v>1</v>
      </c>
      <c r="W119" s="100">
        <v>20</v>
      </c>
      <c r="X119" s="100">
        <v>0</v>
      </c>
      <c r="Y119" s="100">
        <v>20</v>
      </c>
      <c r="Z119" s="100">
        <v>0</v>
      </c>
      <c r="AA119" s="100">
        <v>0.01</v>
      </c>
      <c r="AB119" s="100">
        <v>0.17</v>
      </c>
      <c r="AC119" s="171"/>
      <c r="AD119" s="171"/>
      <c r="AE119" s="171"/>
      <c r="AF119" s="171" t="s">
        <v>4886</v>
      </c>
      <c r="AG119" s="171" t="s">
        <v>6169</v>
      </c>
      <c r="AH119" s="171" t="s">
        <v>6169</v>
      </c>
      <c r="AI119" s="171" t="s">
        <v>4859</v>
      </c>
    </row>
    <row r="120" spans="1:35">
      <c r="A120" s="100">
        <v>571786</v>
      </c>
      <c r="B120" s="171"/>
      <c r="C120" s="100">
        <v>1</v>
      </c>
      <c r="D120" s="100">
        <v>0</v>
      </c>
      <c r="E120" s="100">
        <v>0</v>
      </c>
      <c r="F120" s="171"/>
      <c r="G120" s="171"/>
      <c r="H120" s="171"/>
      <c r="I120" s="171" t="s">
        <v>6169</v>
      </c>
      <c r="J120" s="171"/>
      <c r="K120" s="171">
        <v>100</v>
      </c>
      <c r="L120" s="171">
        <v>102</v>
      </c>
      <c r="M120" s="171">
        <v>10202</v>
      </c>
      <c r="N120" s="171">
        <v>10205</v>
      </c>
      <c r="O120" s="171" t="s">
        <v>3098</v>
      </c>
      <c r="P120" s="171" t="s">
        <v>6032</v>
      </c>
      <c r="Q120" s="171" t="s">
        <v>4855</v>
      </c>
      <c r="R120" s="171" t="s">
        <v>4848</v>
      </c>
      <c r="S120" s="100">
        <v>11499</v>
      </c>
      <c r="T120" s="100">
        <v>0</v>
      </c>
      <c r="U120" s="100">
        <v>0</v>
      </c>
      <c r="V120" s="100">
        <v>1</v>
      </c>
      <c r="W120" s="100">
        <v>48</v>
      </c>
      <c r="X120" s="100">
        <v>0</v>
      </c>
      <c r="Y120" s="100">
        <v>48</v>
      </c>
      <c r="Z120" s="100">
        <v>0</v>
      </c>
      <c r="AA120" s="100">
        <v>0.01</v>
      </c>
      <c r="AB120" s="100">
        <v>0.4</v>
      </c>
      <c r="AC120" s="171"/>
      <c r="AD120" s="171"/>
      <c r="AE120" s="171"/>
      <c r="AF120" s="171" t="s">
        <v>4886</v>
      </c>
      <c r="AG120" s="171" t="s">
        <v>6169</v>
      </c>
      <c r="AH120" s="171" t="s">
        <v>6169</v>
      </c>
      <c r="AI120" s="171" t="s">
        <v>4850</v>
      </c>
    </row>
    <row r="121" spans="1:35">
      <c r="A121" s="100">
        <v>571787</v>
      </c>
      <c r="B121" s="171"/>
      <c r="C121" s="100">
        <v>1</v>
      </c>
      <c r="D121" s="100">
        <v>0</v>
      </c>
      <c r="E121" s="100">
        <v>0</v>
      </c>
      <c r="F121" s="171"/>
      <c r="G121" s="171"/>
      <c r="H121" s="171"/>
      <c r="I121" s="171" t="s">
        <v>6169</v>
      </c>
      <c r="J121" s="171"/>
      <c r="K121" s="171">
        <v>100</v>
      </c>
      <c r="L121" s="171">
        <v>102</v>
      </c>
      <c r="M121" s="171">
        <v>10202</v>
      </c>
      <c r="N121" s="171">
        <v>10205</v>
      </c>
      <c r="O121" s="171" t="s">
        <v>3101</v>
      </c>
      <c r="P121" s="171" t="s">
        <v>6034</v>
      </c>
      <c r="Q121" s="171" t="s">
        <v>4855</v>
      </c>
      <c r="R121" s="171" t="s">
        <v>4848</v>
      </c>
      <c r="S121" s="100">
        <v>10281</v>
      </c>
      <c r="T121" s="100">
        <v>0</v>
      </c>
      <c r="U121" s="100">
        <v>0</v>
      </c>
      <c r="V121" s="100">
        <v>1</v>
      </c>
      <c r="W121" s="100">
        <v>36</v>
      </c>
      <c r="X121" s="100">
        <v>0</v>
      </c>
      <c r="Y121" s="100">
        <v>36</v>
      </c>
      <c r="Z121" s="100">
        <v>0</v>
      </c>
      <c r="AA121" s="100">
        <v>0.01</v>
      </c>
      <c r="AB121" s="100">
        <v>0.3</v>
      </c>
      <c r="AC121" s="171"/>
      <c r="AD121" s="171"/>
      <c r="AE121" s="171"/>
      <c r="AF121" s="171" t="s">
        <v>4886</v>
      </c>
      <c r="AG121" s="171" t="s">
        <v>6169</v>
      </c>
      <c r="AH121" s="171" t="s">
        <v>6169</v>
      </c>
      <c r="AI121" s="171" t="s">
        <v>4850</v>
      </c>
    </row>
    <row r="122" spans="1:35">
      <c r="A122" s="100">
        <v>572385</v>
      </c>
      <c r="B122" s="171"/>
      <c r="C122" s="100">
        <v>1</v>
      </c>
      <c r="D122" s="100">
        <v>0</v>
      </c>
      <c r="E122" s="100">
        <v>0</v>
      </c>
      <c r="F122" s="171"/>
      <c r="G122" s="171"/>
      <c r="H122" s="171"/>
      <c r="I122" s="171" t="s">
        <v>6162</v>
      </c>
      <c r="J122" s="171"/>
      <c r="K122" s="171">
        <v>100</v>
      </c>
      <c r="L122" s="171">
        <v>102</v>
      </c>
      <c r="M122" s="171">
        <v>10202</v>
      </c>
      <c r="N122" s="171">
        <v>10205</v>
      </c>
      <c r="O122" s="171" t="s">
        <v>3428</v>
      </c>
      <c r="P122" s="171" t="s">
        <v>6043</v>
      </c>
      <c r="Q122" s="171" t="s">
        <v>4855</v>
      </c>
      <c r="R122" s="171" t="s">
        <v>4848</v>
      </c>
      <c r="S122" s="100">
        <v>9976</v>
      </c>
      <c r="T122" s="100">
        <v>0</v>
      </c>
      <c r="U122" s="100">
        <v>0</v>
      </c>
      <c r="V122" s="100">
        <v>1</v>
      </c>
      <c r="W122" s="100">
        <v>32</v>
      </c>
      <c r="X122" s="100">
        <v>0</v>
      </c>
      <c r="Y122" s="100">
        <v>32</v>
      </c>
      <c r="Z122" s="100">
        <v>0</v>
      </c>
      <c r="AA122" s="100">
        <v>0.01</v>
      </c>
      <c r="AB122" s="100">
        <v>0.27</v>
      </c>
      <c r="AC122" s="171"/>
      <c r="AD122" s="171"/>
      <c r="AE122" s="171"/>
      <c r="AF122" s="171" t="s">
        <v>4886</v>
      </c>
      <c r="AG122" s="171" t="s">
        <v>6162</v>
      </c>
      <c r="AH122" s="171" t="s">
        <v>6162</v>
      </c>
      <c r="AI122" s="171" t="s">
        <v>4850</v>
      </c>
    </row>
    <row r="123" spans="1:35">
      <c r="A123" s="100">
        <v>572386</v>
      </c>
      <c r="B123" s="171"/>
      <c r="C123" s="100">
        <v>1</v>
      </c>
      <c r="D123" s="100">
        <v>0</v>
      </c>
      <c r="E123" s="100">
        <v>0</v>
      </c>
      <c r="F123" s="171"/>
      <c r="G123" s="171"/>
      <c r="H123" s="171"/>
      <c r="I123" s="171" t="s">
        <v>6162</v>
      </c>
      <c r="J123" s="171"/>
      <c r="K123" s="171">
        <v>100</v>
      </c>
      <c r="L123" s="171">
        <v>102</v>
      </c>
      <c r="M123" s="171">
        <v>10202</v>
      </c>
      <c r="N123" s="171">
        <v>10205</v>
      </c>
      <c r="O123" s="171" t="s">
        <v>3429</v>
      </c>
      <c r="P123" s="171" t="s">
        <v>6045</v>
      </c>
      <c r="Q123" s="171" t="s">
        <v>4855</v>
      </c>
      <c r="R123" s="171" t="s">
        <v>4848</v>
      </c>
      <c r="S123" s="100">
        <v>9977</v>
      </c>
      <c r="T123" s="100">
        <v>0</v>
      </c>
      <c r="U123" s="100">
        <v>0</v>
      </c>
      <c r="V123" s="100">
        <v>1</v>
      </c>
      <c r="W123" s="100">
        <v>32</v>
      </c>
      <c r="X123" s="100">
        <v>0</v>
      </c>
      <c r="Y123" s="100">
        <v>32</v>
      </c>
      <c r="Z123" s="100">
        <v>0</v>
      </c>
      <c r="AA123" s="100">
        <v>0.02</v>
      </c>
      <c r="AB123" s="100">
        <v>0.53</v>
      </c>
      <c r="AC123" s="171"/>
      <c r="AD123" s="171"/>
      <c r="AE123" s="171"/>
      <c r="AF123" s="171" t="s">
        <v>4886</v>
      </c>
      <c r="AG123" s="171" t="s">
        <v>6162</v>
      </c>
      <c r="AH123" s="171" t="s">
        <v>6162</v>
      </c>
      <c r="AI123" s="171" t="s">
        <v>4850</v>
      </c>
    </row>
    <row r="124" spans="1:35">
      <c r="A124" s="100">
        <v>572387</v>
      </c>
      <c r="B124" s="171"/>
      <c r="C124" s="100">
        <v>1</v>
      </c>
      <c r="D124" s="100">
        <v>0</v>
      </c>
      <c r="E124" s="100">
        <v>0</v>
      </c>
      <c r="F124" s="171"/>
      <c r="G124" s="171"/>
      <c r="H124" s="171"/>
      <c r="I124" s="171" t="s">
        <v>6162</v>
      </c>
      <c r="J124" s="171"/>
      <c r="K124" s="171">
        <v>100</v>
      </c>
      <c r="L124" s="171">
        <v>102</v>
      </c>
      <c r="M124" s="171">
        <v>10202</v>
      </c>
      <c r="N124" s="171">
        <v>10205</v>
      </c>
      <c r="O124" s="171" t="s">
        <v>3379</v>
      </c>
      <c r="P124" s="171" t="s">
        <v>5748</v>
      </c>
      <c r="Q124" s="171" t="s">
        <v>4855</v>
      </c>
      <c r="R124" s="171" t="s">
        <v>4848</v>
      </c>
      <c r="S124" s="100">
        <v>9476</v>
      </c>
      <c r="T124" s="100">
        <v>0</v>
      </c>
      <c r="U124" s="100">
        <v>0</v>
      </c>
      <c r="V124" s="100">
        <v>1</v>
      </c>
      <c r="W124" s="100">
        <v>16</v>
      </c>
      <c r="X124" s="100">
        <v>0</v>
      </c>
      <c r="Y124" s="100">
        <v>16</v>
      </c>
      <c r="Z124" s="100">
        <v>0</v>
      </c>
      <c r="AA124" s="100">
        <v>0.01</v>
      </c>
      <c r="AB124" s="100">
        <v>0.13</v>
      </c>
      <c r="AC124" s="171"/>
      <c r="AD124" s="171"/>
      <c r="AE124" s="171"/>
      <c r="AF124" s="171" t="s">
        <v>4886</v>
      </c>
      <c r="AG124" s="171" t="s">
        <v>6162</v>
      </c>
      <c r="AH124" s="171" t="s">
        <v>6162</v>
      </c>
      <c r="AI124" s="171" t="s">
        <v>4859</v>
      </c>
    </row>
    <row r="125" spans="1:35">
      <c r="A125" s="100">
        <v>574040</v>
      </c>
      <c r="B125" s="171"/>
      <c r="C125" s="100">
        <v>1</v>
      </c>
      <c r="D125" s="100">
        <v>0</v>
      </c>
      <c r="E125" s="100">
        <v>1</v>
      </c>
      <c r="F125" s="171"/>
      <c r="G125" s="171" t="s">
        <v>6160</v>
      </c>
      <c r="H125" s="171"/>
      <c r="I125" s="171" t="s">
        <v>6157</v>
      </c>
      <c r="J125" s="171"/>
      <c r="K125" s="171">
        <v>100</v>
      </c>
      <c r="L125" s="171">
        <v>102</v>
      </c>
      <c r="M125" s="171">
        <v>10202</v>
      </c>
      <c r="N125" s="171">
        <v>10205</v>
      </c>
      <c r="O125" s="171" t="s">
        <v>2711</v>
      </c>
      <c r="P125" s="171" t="s">
        <v>6072</v>
      </c>
      <c r="Q125" s="171" t="s">
        <v>4853</v>
      </c>
      <c r="R125" s="171" t="s">
        <v>4848</v>
      </c>
      <c r="S125" s="100">
        <v>11298</v>
      </c>
      <c r="T125" s="100">
        <v>0</v>
      </c>
      <c r="U125" s="100">
        <v>0</v>
      </c>
      <c r="V125" s="100">
        <v>1</v>
      </c>
      <c r="W125" s="100">
        <v>36</v>
      </c>
      <c r="X125" s="100">
        <v>36</v>
      </c>
      <c r="Y125" s="100">
        <v>0</v>
      </c>
      <c r="Z125" s="100">
        <v>0</v>
      </c>
      <c r="AA125" s="100">
        <v>0.01</v>
      </c>
      <c r="AB125" s="100">
        <v>0.3</v>
      </c>
      <c r="AC125" s="171"/>
      <c r="AD125" s="171"/>
      <c r="AE125" s="171"/>
      <c r="AF125" s="171" t="s">
        <v>4886</v>
      </c>
      <c r="AG125" s="171" t="s">
        <v>6157</v>
      </c>
      <c r="AH125" s="171" t="s">
        <v>6157</v>
      </c>
      <c r="AI125" s="171" t="s">
        <v>4859</v>
      </c>
    </row>
    <row r="126" spans="1:35">
      <c r="A126" s="100">
        <v>574041</v>
      </c>
      <c r="B126" s="171"/>
      <c r="C126" s="100">
        <v>1</v>
      </c>
      <c r="D126" s="100">
        <v>0</v>
      </c>
      <c r="E126" s="100">
        <v>0</v>
      </c>
      <c r="F126" s="171"/>
      <c r="G126" s="171"/>
      <c r="H126" s="171"/>
      <c r="I126" s="171" t="s">
        <v>6157</v>
      </c>
      <c r="J126" s="171"/>
      <c r="K126" s="171">
        <v>100</v>
      </c>
      <c r="L126" s="171">
        <v>102</v>
      </c>
      <c r="M126" s="171">
        <v>10202</v>
      </c>
      <c r="N126" s="171">
        <v>10205</v>
      </c>
      <c r="O126" s="171" t="s">
        <v>2711</v>
      </c>
      <c r="P126" s="171" t="s">
        <v>6072</v>
      </c>
      <c r="Q126" s="171" t="s">
        <v>4855</v>
      </c>
      <c r="R126" s="171" t="s">
        <v>4848</v>
      </c>
      <c r="S126" s="100">
        <v>11297</v>
      </c>
      <c r="T126" s="100">
        <v>0</v>
      </c>
      <c r="U126" s="100">
        <v>0</v>
      </c>
      <c r="V126" s="100">
        <v>1</v>
      </c>
      <c r="W126" s="100">
        <v>36</v>
      </c>
      <c r="X126" s="100">
        <v>0</v>
      </c>
      <c r="Y126" s="100">
        <v>36</v>
      </c>
      <c r="Z126" s="100">
        <v>0</v>
      </c>
      <c r="AA126" s="100">
        <v>0.01</v>
      </c>
      <c r="AB126" s="100">
        <v>0.3</v>
      </c>
      <c r="AC126" s="171"/>
      <c r="AD126" s="171"/>
      <c r="AE126" s="171"/>
      <c r="AF126" s="171" t="s">
        <v>4886</v>
      </c>
      <c r="AG126" s="171" t="s">
        <v>6157</v>
      </c>
      <c r="AH126" s="171" t="s">
        <v>6157</v>
      </c>
      <c r="AI126" s="171" t="s">
        <v>4859</v>
      </c>
    </row>
    <row r="127" spans="1:35">
      <c r="A127" s="100">
        <v>574047</v>
      </c>
      <c r="B127" s="171"/>
      <c r="C127" s="100">
        <v>1</v>
      </c>
      <c r="D127" s="100">
        <v>0</v>
      </c>
      <c r="E127" s="100">
        <v>0</v>
      </c>
      <c r="F127" s="171"/>
      <c r="G127" s="171"/>
      <c r="H127" s="171"/>
      <c r="I127" s="171" t="s">
        <v>6157</v>
      </c>
      <c r="J127" s="171"/>
      <c r="K127" s="171">
        <v>100</v>
      </c>
      <c r="L127" s="171">
        <v>102</v>
      </c>
      <c r="M127" s="171">
        <v>10202</v>
      </c>
      <c r="N127" s="171">
        <v>22003</v>
      </c>
      <c r="O127" s="171" t="s">
        <v>4467</v>
      </c>
      <c r="P127" s="171" t="s">
        <v>6075</v>
      </c>
      <c r="Q127" s="171" t="s">
        <v>4855</v>
      </c>
      <c r="R127" s="171" t="s">
        <v>4848</v>
      </c>
      <c r="S127" s="100">
        <v>6932</v>
      </c>
      <c r="T127" s="100">
        <v>0</v>
      </c>
      <c r="U127" s="100">
        <v>0</v>
      </c>
      <c r="V127" s="100">
        <v>1</v>
      </c>
      <c r="W127" s="100">
        <v>50</v>
      </c>
      <c r="X127" s="100">
        <v>0</v>
      </c>
      <c r="Y127" s="100">
        <v>50</v>
      </c>
      <c r="Z127" s="100">
        <v>0</v>
      </c>
      <c r="AA127" s="100">
        <v>0.01</v>
      </c>
      <c r="AB127" s="100">
        <v>0.42</v>
      </c>
      <c r="AC127" s="171"/>
      <c r="AD127" s="171"/>
      <c r="AE127" s="171"/>
      <c r="AF127" s="171" t="s">
        <v>4849</v>
      </c>
      <c r="AG127" s="171" t="s">
        <v>6157</v>
      </c>
      <c r="AH127" s="171" t="s">
        <v>6157</v>
      </c>
      <c r="AI127" s="171" t="s">
        <v>4850</v>
      </c>
    </row>
    <row r="128" spans="1:35">
      <c r="A128" s="100">
        <v>574048</v>
      </c>
      <c r="B128" s="171"/>
      <c r="C128" s="100">
        <v>1</v>
      </c>
      <c r="D128" s="100">
        <v>0</v>
      </c>
      <c r="E128" s="100">
        <v>0</v>
      </c>
      <c r="F128" s="171"/>
      <c r="G128" s="171"/>
      <c r="H128" s="171"/>
      <c r="I128" s="171" t="s">
        <v>6157</v>
      </c>
      <c r="J128" s="171"/>
      <c r="K128" s="171">
        <v>100</v>
      </c>
      <c r="L128" s="171">
        <v>102</v>
      </c>
      <c r="M128" s="171">
        <v>10202</v>
      </c>
      <c r="N128" s="171">
        <v>10203</v>
      </c>
      <c r="O128" s="171" t="s">
        <v>4468</v>
      </c>
      <c r="P128" s="171" t="s">
        <v>6077</v>
      </c>
      <c r="Q128" s="171" t="s">
        <v>4855</v>
      </c>
      <c r="R128" s="171" t="s">
        <v>4848</v>
      </c>
      <c r="S128" s="100">
        <v>6971</v>
      </c>
      <c r="T128" s="100">
        <v>0</v>
      </c>
      <c r="U128" s="100">
        <v>0</v>
      </c>
      <c r="V128" s="100">
        <v>1</v>
      </c>
      <c r="W128" s="100">
        <v>50</v>
      </c>
      <c r="X128" s="100">
        <v>0</v>
      </c>
      <c r="Y128" s="100">
        <v>50</v>
      </c>
      <c r="Z128" s="100">
        <v>0</v>
      </c>
      <c r="AA128" s="100">
        <v>0.01</v>
      </c>
      <c r="AB128" s="100">
        <v>0.42</v>
      </c>
      <c r="AC128" s="171"/>
      <c r="AD128" s="171"/>
      <c r="AE128" s="171"/>
      <c r="AF128" s="171" t="s">
        <v>4849</v>
      </c>
      <c r="AG128" s="171" t="s">
        <v>6157</v>
      </c>
      <c r="AH128" s="171" t="s">
        <v>6157</v>
      </c>
      <c r="AI128" s="171" t="s">
        <v>4859</v>
      </c>
    </row>
    <row r="129" spans="1:35">
      <c r="A129" s="100">
        <v>574062</v>
      </c>
      <c r="B129" s="171"/>
      <c r="C129" s="100">
        <v>1</v>
      </c>
      <c r="D129" s="100">
        <v>0</v>
      </c>
      <c r="E129" s="100">
        <v>0</v>
      </c>
      <c r="F129" s="171"/>
      <c r="G129" s="171"/>
      <c r="H129" s="171"/>
      <c r="I129" s="171" t="s">
        <v>6170</v>
      </c>
      <c r="J129" s="171"/>
      <c r="K129" s="171">
        <v>100</v>
      </c>
      <c r="L129" s="171">
        <v>102</v>
      </c>
      <c r="M129" s="171">
        <v>10202</v>
      </c>
      <c r="N129" s="171">
        <v>10203</v>
      </c>
      <c r="O129" s="171" t="s">
        <v>4324</v>
      </c>
      <c r="P129" s="171" t="s">
        <v>6090</v>
      </c>
      <c r="Q129" s="171" t="s">
        <v>4855</v>
      </c>
      <c r="R129" s="171" t="s">
        <v>4848</v>
      </c>
      <c r="S129" s="100">
        <v>5593</v>
      </c>
      <c r="T129" s="100">
        <v>0</v>
      </c>
      <c r="U129" s="100">
        <v>0</v>
      </c>
      <c r="V129" s="100">
        <v>1</v>
      </c>
      <c r="W129" s="100">
        <v>80</v>
      </c>
      <c r="X129" s="100">
        <v>0</v>
      </c>
      <c r="Y129" s="100">
        <v>80</v>
      </c>
      <c r="Z129" s="100">
        <v>0</v>
      </c>
      <c r="AA129" s="100">
        <v>0.01</v>
      </c>
      <c r="AB129" s="100">
        <v>0.67</v>
      </c>
      <c r="AC129" s="171"/>
      <c r="AD129" s="171"/>
      <c r="AE129" s="171"/>
      <c r="AF129" s="171" t="s">
        <v>4858</v>
      </c>
      <c r="AG129" s="171" t="s">
        <v>6170</v>
      </c>
      <c r="AH129" s="171" t="s">
        <v>6170</v>
      </c>
      <c r="AI129" s="171" t="s">
        <v>6171</v>
      </c>
    </row>
    <row r="130" spans="1:35">
      <c r="A130" s="100">
        <v>574063</v>
      </c>
      <c r="B130" s="171"/>
      <c r="C130" s="100">
        <v>1</v>
      </c>
      <c r="D130" s="100">
        <v>0</v>
      </c>
      <c r="E130" s="100">
        <v>0</v>
      </c>
      <c r="F130" s="171"/>
      <c r="G130" s="171"/>
      <c r="H130" s="171"/>
      <c r="I130" s="171" t="s">
        <v>6170</v>
      </c>
      <c r="J130" s="171"/>
      <c r="K130" s="171">
        <v>100</v>
      </c>
      <c r="L130" s="171">
        <v>102</v>
      </c>
      <c r="M130" s="171">
        <v>10202</v>
      </c>
      <c r="N130" s="171">
        <v>10203</v>
      </c>
      <c r="O130" s="171" t="s">
        <v>4324</v>
      </c>
      <c r="P130" s="171" t="s">
        <v>6090</v>
      </c>
      <c r="Q130" s="171" t="s">
        <v>4855</v>
      </c>
      <c r="R130" s="171" t="s">
        <v>4848</v>
      </c>
      <c r="S130" s="100">
        <v>5592</v>
      </c>
      <c r="T130" s="100">
        <v>0</v>
      </c>
      <c r="U130" s="100">
        <v>0</v>
      </c>
      <c r="V130" s="100">
        <v>1</v>
      </c>
      <c r="W130" s="100">
        <v>80</v>
      </c>
      <c r="X130" s="100">
        <v>0</v>
      </c>
      <c r="Y130" s="100">
        <v>80</v>
      </c>
      <c r="Z130" s="100">
        <v>0</v>
      </c>
      <c r="AA130" s="100">
        <v>0.01</v>
      </c>
      <c r="AB130" s="100">
        <v>0.67</v>
      </c>
      <c r="AC130" s="171"/>
      <c r="AD130" s="171"/>
      <c r="AE130" s="171"/>
      <c r="AF130" s="171" t="s">
        <v>4858</v>
      </c>
      <c r="AG130" s="171" t="s">
        <v>6170</v>
      </c>
      <c r="AH130" s="171" t="s">
        <v>6170</v>
      </c>
      <c r="AI130" s="171" t="s">
        <v>6171</v>
      </c>
    </row>
    <row r="131" spans="1:35">
      <c r="A131" s="100">
        <v>574216</v>
      </c>
      <c r="B131" s="171"/>
      <c r="C131" s="100">
        <v>1</v>
      </c>
      <c r="D131" s="100">
        <v>0</v>
      </c>
      <c r="E131" s="100">
        <v>0</v>
      </c>
      <c r="F131" s="171"/>
      <c r="G131" s="171"/>
      <c r="H131" s="171"/>
      <c r="I131" s="171" t="s">
        <v>6172</v>
      </c>
      <c r="J131" s="171"/>
      <c r="K131" s="171">
        <v>100</v>
      </c>
      <c r="L131" s="171">
        <v>102</v>
      </c>
      <c r="M131" s="171">
        <v>10202</v>
      </c>
      <c r="N131" s="171">
        <v>10205</v>
      </c>
      <c r="O131" s="171" t="s">
        <v>3064</v>
      </c>
      <c r="P131" s="171" t="s">
        <v>6117</v>
      </c>
      <c r="Q131" s="171"/>
      <c r="R131" s="171" t="s">
        <v>4848</v>
      </c>
      <c r="S131" s="100">
        <v>9455</v>
      </c>
      <c r="T131" s="100">
        <v>0</v>
      </c>
      <c r="U131" s="100">
        <v>0</v>
      </c>
      <c r="V131" s="100">
        <v>1</v>
      </c>
      <c r="W131" s="100">
        <v>24</v>
      </c>
      <c r="X131" s="100">
        <v>0</v>
      </c>
      <c r="Y131" s="100">
        <v>24</v>
      </c>
      <c r="Z131" s="100">
        <v>0</v>
      </c>
      <c r="AA131" s="100">
        <v>0.01</v>
      </c>
      <c r="AB131" s="100">
        <v>0.2</v>
      </c>
      <c r="AC131" s="171"/>
      <c r="AD131" s="171"/>
      <c r="AE131" s="171"/>
      <c r="AF131" s="171" t="s">
        <v>4886</v>
      </c>
      <c r="AG131" s="171" t="s">
        <v>6172</v>
      </c>
      <c r="AH131" s="171" t="s">
        <v>6172</v>
      </c>
      <c r="AI131" s="171" t="s">
        <v>4850</v>
      </c>
    </row>
    <row r="132" spans="1:35">
      <c r="A132" s="100">
        <v>574217</v>
      </c>
      <c r="B132" s="171"/>
      <c r="C132" s="100">
        <v>1</v>
      </c>
      <c r="D132" s="100">
        <v>0</v>
      </c>
      <c r="E132" s="100">
        <v>0</v>
      </c>
      <c r="F132" s="171"/>
      <c r="G132" s="171"/>
      <c r="H132" s="171"/>
      <c r="I132" s="171" t="s">
        <v>6172</v>
      </c>
      <c r="J132" s="171"/>
      <c r="K132" s="171">
        <v>100</v>
      </c>
      <c r="L132" s="171">
        <v>102</v>
      </c>
      <c r="M132" s="171">
        <v>10202</v>
      </c>
      <c r="N132" s="171">
        <v>10205</v>
      </c>
      <c r="O132" s="171" t="s">
        <v>3082</v>
      </c>
      <c r="P132" s="171" t="s">
        <v>6119</v>
      </c>
      <c r="Q132" s="171"/>
      <c r="R132" s="171" t="s">
        <v>4848</v>
      </c>
      <c r="S132" s="100">
        <v>9954</v>
      </c>
      <c r="T132" s="100">
        <v>0</v>
      </c>
      <c r="U132" s="100">
        <v>0</v>
      </c>
      <c r="V132" s="100">
        <v>1</v>
      </c>
      <c r="W132" s="100">
        <v>36</v>
      </c>
      <c r="X132" s="100">
        <v>0</v>
      </c>
      <c r="Y132" s="100">
        <v>36</v>
      </c>
      <c r="Z132" s="100">
        <v>0</v>
      </c>
      <c r="AA132" s="100">
        <v>0.01</v>
      </c>
      <c r="AB132" s="100">
        <v>0.3</v>
      </c>
      <c r="AC132" s="171"/>
      <c r="AD132" s="171"/>
      <c r="AE132" s="171"/>
      <c r="AF132" s="171" t="s">
        <v>4886</v>
      </c>
      <c r="AG132" s="171" t="s">
        <v>6172</v>
      </c>
      <c r="AH132" s="171" t="s">
        <v>6172</v>
      </c>
      <c r="AI132" s="171" t="s">
        <v>4850</v>
      </c>
    </row>
    <row r="133" spans="1:35">
      <c r="A133" s="100">
        <v>576428</v>
      </c>
      <c r="B133" s="171"/>
      <c r="C133" s="100">
        <v>1</v>
      </c>
      <c r="D133" s="100">
        <v>0</v>
      </c>
      <c r="E133" s="100">
        <v>0</v>
      </c>
      <c r="F133" s="171"/>
      <c r="G133" s="171"/>
      <c r="H133" s="171"/>
      <c r="I133" s="171" t="s">
        <v>6160</v>
      </c>
      <c r="J133" s="171"/>
      <c r="K133" s="171">
        <v>100</v>
      </c>
      <c r="L133" s="171">
        <v>102</v>
      </c>
      <c r="M133" s="171">
        <v>10202</v>
      </c>
      <c r="N133" s="171">
        <v>10205</v>
      </c>
      <c r="O133" s="171" t="s">
        <v>3090</v>
      </c>
      <c r="P133" s="171" t="s">
        <v>6150</v>
      </c>
      <c r="Q133" s="171"/>
      <c r="R133" s="171" t="s">
        <v>4848</v>
      </c>
      <c r="S133" s="100">
        <v>9960</v>
      </c>
      <c r="T133" s="100">
        <v>0</v>
      </c>
      <c r="U133" s="100">
        <v>0</v>
      </c>
      <c r="V133" s="100">
        <v>1</v>
      </c>
      <c r="W133" s="100">
        <v>120</v>
      </c>
      <c r="X133" s="100">
        <v>0</v>
      </c>
      <c r="Y133" s="100">
        <v>120</v>
      </c>
      <c r="Z133" s="100">
        <v>0</v>
      </c>
      <c r="AA133" s="100">
        <v>0.01</v>
      </c>
      <c r="AB133" s="100">
        <v>1</v>
      </c>
      <c r="AC133" s="171"/>
      <c r="AD133" s="171"/>
      <c r="AE133" s="171"/>
      <c r="AF133" s="171" t="s">
        <v>4886</v>
      </c>
      <c r="AG133" s="171" t="s">
        <v>6160</v>
      </c>
      <c r="AH133" s="171" t="s">
        <v>6160</v>
      </c>
      <c r="AI133" s="171" t="s">
        <v>4850</v>
      </c>
    </row>
    <row r="134" spans="1:35">
      <c r="A134" s="100">
        <v>576483</v>
      </c>
      <c r="B134" s="171"/>
      <c r="C134" s="100">
        <v>1</v>
      </c>
      <c r="D134" s="100">
        <v>0</v>
      </c>
      <c r="E134" s="100">
        <v>0</v>
      </c>
      <c r="F134" s="171"/>
      <c r="G134" s="171"/>
      <c r="H134" s="171"/>
      <c r="I134" s="171" t="s">
        <v>6173</v>
      </c>
      <c r="J134" s="171"/>
      <c r="K134" s="171">
        <v>100</v>
      </c>
      <c r="L134" s="171">
        <v>102</v>
      </c>
      <c r="M134" s="171">
        <v>10202</v>
      </c>
      <c r="N134" s="171">
        <v>10205</v>
      </c>
      <c r="O134" s="171" t="s">
        <v>3432</v>
      </c>
      <c r="P134" s="171" t="s">
        <v>6155</v>
      </c>
      <c r="Q134" s="171"/>
      <c r="R134" s="171" t="s">
        <v>4848</v>
      </c>
      <c r="S134" s="100">
        <v>9489</v>
      </c>
      <c r="T134" s="100">
        <v>0</v>
      </c>
      <c r="U134" s="100">
        <v>0</v>
      </c>
      <c r="V134" s="100">
        <v>1</v>
      </c>
      <c r="W134" s="100">
        <v>24</v>
      </c>
      <c r="X134" s="100">
        <v>0</v>
      </c>
      <c r="Y134" s="100">
        <v>24</v>
      </c>
      <c r="Z134" s="100">
        <v>0</v>
      </c>
      <c r="AA134" s="100">
        <v>0.02</v>
      </c>
      <c r="AB134" s="100">
        <v>0.4</v>
      </c>
      <c r="AC134" s="171"/>
      <c r="AD134" s="171"/>
      <c r="AE134" s="171"/>
      <c r="AF134" s="171" t="s">
        <v>4886</v>
      </c>
      <c r="AG134" s="171" t="s">
        <v>6173</v>
      </c>
      <c r="AH134" s="171" t="s">
        <v>6173</v>
      </c>
      <c r="AI134" s="171" t="s">
        <v>4850</v>
      </c>
    </row>
    <row r="135" spans="1:35">
      <c r="A135" s="100">
        <v>539679</v>
      </c>
      <c r="B135" s="171"/>
      <c r="C135" s="100">
        <v>1</v>
      </c>
      <c r="D135" s="100">
        <v>0</v>
      </c>
      <c r="E135" s="100">
        <v>0</v>
      </c>
      <c r="F135" s="171"/>
      <c r="G135" s="171"/>
      <c r="H135" s="171"/>
      <c r="I135" s="171" t="s">
        <v>5051</v>
      </c>
      <c r="J135" s="171"/>
      <c r="K135" s="171">
        <v>100</v>
      </c>
      <c r="L135" s="171">
        <v>102</v>
      </c>
      <c r="M135" s="171">
        <v>10205</v>
      </c>
      <c r="N135" s="171">
        <v>22003</v>
      </c>
      <c r="O135" s="171" t="s">
        <v>585</v>
      </c>
      <c r="P135" s="171" t="s">
        <v>5030</v>
      </c>
      <c r="Q135" s="171" t="s">
        <v>4855</v>
      </c>
      <c r="R135" s="171" t="s">
        <v>4848</v>
      </c>
      <c r="S135" s="100">
        <v>10850</v>
      </c>
      <c r="T135" s="100">
        <v>0</v>
      </c>
      <c r="U135" s="100">
        <v>0</v>
      </c>
      <c r="V135" s="100">
        <v>1</v>
      </c>
      <c r="W135" s="100">
        <v>4</v>
      </c>
      <c r="X135" s="100">
        <v>0</v>
      </c>
      <c r="Y135" s="100">
        <v>4</v>
      </c>
      <c r="Z135" s="100">
        <v>0</v>
      </c>
      <c r="AA135" s="100">
        <v>1.33</v>
      </c>
      <c r="AB135" s="100">
        <v>5.33</v>
      </c>
      <c r="AC135" s="171"/>
      <c r="AD135" s="171">
        <v>10205</v>
      </c>
      <c r="AE135" s="171"/>
      <c r="AF135" s="171" t="s">
        <v>4869</v>
      </c>
      <c r="AG135" s="171" t="s">
        <v>5051</v>
      </c>
      <c r="AH135" s="171" t="s">
        <v>5051</v>
      </c>
      <c r="AI135" s="171" t="s">
        <v>5056</v>
      </c>
    </row>
    <row r="136" spans="1:35">
      <c r="A136" s="100">
        <v>539680</v>
      </c>
      <c r="B136" s="171"/>
      <c r="C136" s="100">
        <v>1</v>
      </c>
      <c r="D136" s="100">
        <v>0</v>
      </c>
      <c r="E136" s="100">
        <v>0</v>
      </c>
      <c r="F136" s="171"/>
      <c r="G136" s="171"/>
      <c r="H136" s="171"/>
      <c r="I136" s="171" t="s">
        <v>5051</v>
      </c>
      <c r="J136" s="171"/>
      <c r="K136" s="171">
        <v>100</v>
      </c>
      <c r="L136" s="171">
        <v>102</v>
      </c>
      <c r="M136" s="171">
        <v>10205</v>
      </c>
      <c r="N136" s="171">
        <v>22003</v>
      </c>
      <c r="O136" s="171" t="s">
        <v>584</v>
      </c>
      <c r="P136" s="171" t="s">
        <v>5032</v>
      </c>
      <c r="Q136" s="171" t="s">
        <v>4855</v>
      </c>
      <c r="R136" s="171" t="s">
        <v>4848</v>
      </c>
      <c r="S136" s="100">
        <v>10852</v>
      </c>
      <c r="T136" s="100">
        <v>0</v>
      </c>
      <c r="U136" s="100">
        <v>0</v>
      </c>
      <c r="V136" s="100">
        <v>1</v>
      </c>
      <c r="W136" s="100">
        <v>4</v>
      </c>
      <c r="X136" s="100">
        <v>0</v>
      </c>
      <c r="Y136" s="100">
        <v>4</v>
      </c>
      <c r="Z136" s="100">
        <v>0</v>
      </c>
      <c r="AA136" s="100">
        <v>3.6</v>
      </c>
      <c r="AB136" s="100">
        <v>14.4</v>
      </c>
      <c r="AC136" s="171"/>
      <c r="AD136" s="171">
        <v>10205</v>
      </c>
      <c r="AE136" s="171"/>
      <c r="AF136" s="171" t="s">
        <v>4869</v>
      </c>
      <c r="AG136" s="171" t="s">
        <v>5051</v>
      </c>
      <c r="AH136" s="171" t="s">
        <v>5051</v>
      </c>
      <c r="AI136" s="171" t="s">
        <v>5057</v>
      </c>
    </row>
    <row r="137" spans="1:35">
      <c r="A137" s="100">
        <v>539773</v>
      </c>
      <c r="B137" s="171"/>
      <c r="C137" s="100">
        <v>1</v>
      </c>
      <c r="D137" s="100">
        <v>0</v>
      </c>
      <c r="E137" s="100">
        <v>0</v>
      </c>
      <c r="F137" s="171"/>
      <c r="G137" s="171"/>
      <c r="H137" s="171"/>
      <c r="I137" s="171" t="s">
        <v>5052</v>
      </c>
      <c r="J137" s="171"/>
      <c r="K137" s="171">
        <v>100</v>
      </c>
      <c r="L137" s="171">
        <v>102</v>
      </c>
      <c r="M137" s="171">
        <v>10205</v>
      </c>
      <c r="N137" s="171">
        <v>22003</v>
      </c>
      <c r="O137" s="171" t="s">
        <v>4606</v>
      </c>
      <c r="P137" s="171" t="s">
        <v>5036</v>
      </c>
      <c r="Q137" s="171" t="s">
        <v>4855</v>
      </c>
      <c r="R137" s="171" t="s">
        <v>4848</v>
      </c>
      <c r="S137" s="100">
        <v>13906</v>
      </c>
      <c r="T137" s="100">
        <v>0</v>
      </c>
      <c r="U137" s="100">
        <v>0</v>
      </c>
      <c r="V137" s="100">
        <v>1</v>
      </c>
      <c r="W137" s="100">
        <v>4</v>
      </c>
      <c r="X137" s="100">
        <v>0</v>
      </c>
      <c r="Y137" s="100">
        <v>4</v>
      </c>
      <c r="Z137" s="100">
        <v>0</v>
      </c>
      <c r="AA137" s="100">
        <v>0.5</v>
      </c>
      <c r="AB137" s="100">
        <v>2</v>
      </c>
      <c r="AC137" s="171"/>
      <c r="AD137" s="171"/>
      <c r="AE137" s="171"/>
      <c r="AF137" s="171" t="s">
        <v>4869</v>
      </c>
      <c r="AG137" s="171" t="s">
        <v>5052</v>
      </c>
      <c r="AH137" s="171" t="s">
        <v>5052</v>
      </c>
      <c r="AI137" s="171" t="s">
        <v>5057</v>
      </c>
    </row>
    <row r="138" spans="1:35">
      <c r="A138" s="100">
        <v>555314</v>
      </c>
      <c r="B138" s="171"/>
      <c r="C138" s="100">
        <v>1</v>
      </c>
      <c r="D138" s="100">
        <v>0</v>
      </c>
      <c r="E138" s="100">
        <v>0</v>
      </c>
      <c r="F138" s="171"/>
      <c r="G138" s="171"/>
      <c r="H138" s="171"/>
      <c r="I138" s="171" t="s">
        <v>5760</v>
      </c>
      <c r="J138" s="171"/>
      <c r="K138" s="171">
        <v>100</v>
      </c>
      <c r="L138" s="171">
        <v>102</v>
      </c>
      <c r="M138" s="171">
        <v>10205</v>
      </c>
      <c r="N138" s="171">
        <v>22003</v>
      </c>
      <c r="O138" s="171" t="s">
        <v>4208</v>
      </c>
      <c r="P138" s="171" t="s">
        <v>5702</v>
      </c>
      <c r="Q138" s="171" t="s">
        <v>4855</v>
      </c>
      <c r="R138" s="171" t="s">
        <v>4848</v>
      </c>
      <c r="S138" s="100">
        <v>5215</v>
      </c>
      <c r="T138" s="100">
        <v>0</v>
      </c>
      <c r="U138" s="100">
        <v>0</v>
      </c>
      <c r="V138" s="100">
        <v>1</v>
      </c>
      <c r="W138" s="100">
        <v>100</v>
      </c>
      <c r="X138" s="100">
        <v>0</v>
      </c>
      <c r="Y138" s="100">
        <v>100</v>
      </c>
      <c r="Z138" s="100">
        <v>0</v>
      </c>
      <c r="AA138" s="100">
        <v>0.17</v>
      </c>
      <c r="AB138" s="100">
        <v>16.670000000000002</v>
      </c>
      <c r="AC138" s="171"/>
      <c r="AD138" s="171"/>
      <c r="AE138" s="171"/>
      <c r="AF138" s="171" t="s">
        <v>4849</v>
      </c>
      <c r="AG138" s="171" t="s">
        <v>5760</v>
      </c>
      <c r="AH138" s="171" t="s">
        <v>5760</v>
      </c>
      <c r="AI138" s="171" t="s">
        <v>5342</v>
      </c>
    </row>
    <row r="139" spans="1:35">
      <c r="A139" s="100">
        <v>560043</v>
      </c>
      <c r="B139" s="171"/>
      <c r="C139" s="100">
        <v>1</v>
      </c>
      <c r="D139" s="100">
        <v>0</v>
      </c>
      <c r="E139" s="100">
        <v>0</v>
      </c>
      <c r="F139" s="171"/>
      <c r="G139" s="171"/>
      <c r="H139" s="171"/>
      <c r="I139" s="171" t="s">
        <v>5763</v>
      </c>
      <c r="J139" s="171"/>
      <c r="K139" s="171">
        <v>100</v>
      </c>
      <c r="L139" s="171">
        <v>102</v>
      </c>
      <c r="M139" s="171">
        <v>10205</v>
      </c>
      <c r="N139" s="171">
        <v>22003</v>
      </c>
      <c r="O139" s="171" t="s">
        <v>4425</v>
      </c>
      <c r="P139" s="171" t="s">
        <v>5723</v>
      </c>
      <c r="Q139" s="171" t="s">
        <v>4855</v>
      </c>
      <c r="R139" s="171" t="s">
        <v>4848</v>
      </c>
      <c r="S139" s="100">
        <v>13184</v>
      </c>
      <c r="T139" s="100">
        <v>0</v>
      </c>
      <c r="U139" s="100">
        <v>0</v>
      </c>
      <c r="V139" s="100">
        <v>1</v>
      </c>
      <c r="W139" s="100">
        <v>2800</v>
      </c>
      <c r="X139" s="100">
        <v>0</v>
      </c>
      <c r="Y139" s="100">
        <v>2800</v>
      </c>
      <c r="Z139" s="100">
        <v>0</v>
      </c>
      <c r="AA139" s="100">
        <v>0.03</v>
      </c>
      <c r="AB139" s="100">
        <v>93.33</v>
      </c>
      <c r="AC139" s="171"/>
      <c r="AD139" s="171"/>
      <c r="AE139" s="171"/>
      <c r="AF139" s="171" t="s">
        <v>4862</v>
      </c>
      <c r="AG139" s="171" t="s">
        <v>5763</v>
      </c>
      <c r="AH139" s="171" t="s">
        <v>5763</v>
      </c>
      <c r="AI139" s="171" t="s">
        <v>5342</v>
      </c>
    </row>
    <row r="140" spans="1:35">
      <c r="A140" s="100">
        <v>511461</v>
      </c>
      <c r="B140" s="171"/>
      <c r="C140" s="100">
        <v>1</v>
      </c>
      <c r="D140" s="100">
        <v>0</v>
      </c>
      <c r="E140" s="100">
        <v>1</v>
      </c>
      <c r="F140" s="171"/>
      <c r="G140" s="171" t="s">
        <v>6172</v>
      </c>
      <c r="H140" s="171"/>
      <c r="I140" s="171" t="s">
        <v>4891</v>
      </c>
      <c r="J140" s="171"/>
      <c r="K140" s="171">
        <v>100</v>
      </c>
      <c r="L140" s="171">
        <v>108</v>
      </c>
      <c r="M140" s="171">
        <v>10801</v>
      </c>
      <c r="N140" s="171">
        <v>22004</v>
      </c>
      <c r="O140" s="171" t="s">
        <v>3868</v>
      </c>
      <c r="P140" s="171" t="s">
        <v>528</v>
      </c>
      <c r="Q140" s="171" t="s">
        <v>4853</v>
      </c>
      <c r="R140" s="171" t="s">
        <v>4848</v>
      </c>
      <c r="S140" s="100">
        <v>13167</v>
      </c>
      <c r="T140" s="100">
        <v>0</v>
      </c>
      <c r="U140" s="100">
        <v>0</v>
      </c>
      <c r="V140" s="100">
        <v>1</v>
      </c>
      <c r="W140" s="100">
        <v>40</v>
      </c>
      <c r="X140" s="100">
        <v>40</v>
      </c>
      <c r="Y140" s="100">
        <v>0</v>
      </c>
      <c r="Z140" s="100">
        <v>0</v>
      </c>
      <c r="AA140" s="100">
        <v>0.03</v>
      </c>
      <c r="AB140" s="100">
        <v>1</v>
      </c>
      <c r="AC140" s="171"/>
      <c r="AD140" s="171"/>
      <c r="AE140" s="171"/>
      <c r="AF140" s="171" t="s">
        <v>4886</v>
      </c>
      <c r="AG140" s="171" t="s">
        <v>4891</v>
      </c>
      <c r="AH140" s="171" t="s">
        <v>4891</v>
      </c>
      <c r="AI140" s="171" t="s">
        <v>4892</v>
      </c>
    </row>
    <row r="141" spans="1:35">
      <c r="A141" s="100">
        <v>552426</v>
      </c>
      <c r="B141" s="171"/>
      <c r="C141" s="100">
        <v>1</v>
      </c>
      <c r="D141" s="100">
        <v>0</v>
      </c>
      <c r="E141" s="100">
        <v>1</v>
      </c>
      <c r="F141" s="171"/>
      <c r="G141" s="171" t="s">
        <v>6160</v>
      </c>
      <c r="H141" s="171"/>
      <c r="I141" s="171" t="s">
        <v>5756</v>
      </c>
      <c r="J141" s="171"/>
      <c r="K141" s="171">
        <v>100</v>
      </c>
      <c r="L141" s="171">
        <v>108</v>
      </c>
      <c r="M141" s="171">
        <v>10801</v>
      </c>
      <c r="N141" s="171">
        <v>22004</v>
      </c>
      <c r="O141" s="171" t="s">
        <v>3868</v>
      </c>
      <c r="P141" s="171" t="s">
        <v>528</v>
      </c>
      <c r="Q141" s="171" t="s">
        <v>4853</v>
      </c>
      <c r="R141" s="171" t="s">
        <v>4848</v>
      </c>
      <c r="S141" s="100">
        <v>13168</v>
      </c>
      <c r="T141" s="100">
        <v>0</v>
      </c>
      <c r="U141" s="100">
        <v>0</v>
      </c>
      <c r="V141" s="100">
        <v>1</v>
      </c>
      <c r="W141" s="100">
        <v>40</v>
      </c>
      <c r="X141" s="100">
        <v>40</v>
      </c>
      <c r="Y141" s="100">
        <v>0</v>
      </c>
      <c r="Z141" s="100">
        <v>0</v>
      </c>
      <c r="AA141" s="100">
        <v>0.03</v>
      </c>
      <c r="AB141" s="100">
        <v>1</v>
      </c>
      <c r="AC141" s="171"/>
      <c r="AD141" s="171"/>
      <c r="AE141" s="171"/>
      <c r="AF141" s="171" t="s">
        <v>4866</v>
      </c>
      <c r="AG141" s="171" t="s">
        <v>5756</v>
      </c>
      <c r="AH141" s="171" t="s">
        <v>5756</v>
      </c>
      <c r="AI141" s="171" t="s">
        <v>4892</v>
      </c>
    </row>
    <row r="142" spans="1:35">
      <c r="A142" s="100">
        <v>552416</v>
      </c>
      <c r="B142" s="171"/>
      <c r="C142" s="100">
        <v>1</v>
      </c>
      <c r="D142" s="100">
        <v>0</v>
      </c>
      <c r="E142" s="100">
        <v>111</v>
      </c>
      <c r="F142" s="171"/>
      <c r="G142" s="171" t="s">
        <v>6160</v>
      </c>
      <c r="H142" s="171"/>
      <c r="I142" s="171" t="s">
        <v>5755</v>
      </c>
      <c r="J142" s="171"/>
      <c r="K142" s="171">
        <v>100</v>
      </c>
      <c r="L142" s="171">
        <v>111</v>
      </c>
      <c r="M142" s="171">
        <v>11101</v>
      </c>
      <c r="N142" s="171">
        <v>22001</v>
      </c>
      <c r="O142" s="171" t="s">
        <v>4424</v>
      </c>
      <c r="P142" s="171" t="s">
        <v>5653</v>
      </c>
      <c r="Q142" s="171" t="s">
        <v>4875</v>
      </c>
      <c r="R142" s="171" t="s">
        <v>4848</v>
      </c>
      <c r="S142" s="100">
        <v>7162</v>
      </c>
      <c r="T142" s="100">
        <v>0</v>
      </c>
      <c r="U142" s="100">
        <v>0</v>
      </c>
      <c r="V142" s="100">
        <v>1</v>
      </c>
      <c r="W142" s="100">
        <v>100</v>
      </c>
      <c r="X142" s="100">
        <v>0</v>
      </c>
      <c r="Y142" s="100">
        <v>100</v>
      </c>
      <c r="Z142" s="100">
        <v>0</v>
      </c>
      <c r="AA142" s="100">
        <v>0.35</v>
      </c>
      <c r="AB142" s="100">
        <v>35</v>
      </c>
      <c r="AC142" s="171"/>
      <c r="AD142" s="171"/>
      <c r="AE142" s="171"/>
      <c r="AF142" s="171" t="s">
        <v>4870</v>
      </c>
      <c r="AG142" s="171" t="s">
        <v>5755</v>
      </c>
      <c r="AH142" s="171" t="s">
        <v>5755</v>
      </c>
      <c r="AI142" s="171" t="s">
        <v>5770</v>
      </c>
    </row>
    <row r="143" spans="1:35">
      <c r="A143" s="100">
        <v>559327</v>
      </c>
      <c r="B143" s="171"/>
      <c r="C143" s="100">
        <v>1</v>
      </c>
      <c r="D143" s="100">
        <v>0</v>
      </c>
      <c r="E143" s="100">
        <v>0</v>
      </c>
      <c r="F143" s="171"/>
      <c r="G143" s="171"/>
      <c r="H143" s="171"/>
      <c r="I143" s="171" t="s">
        <v>5763</v>
      </c>
      <c r="J143" s="171"/>
      <c r="K143" s="171">
        <v>100</v>
      </c>
      <c r="L143" s="171">
        <v>111</v>
      </c>
      <c r="M143" s="171">
        <v>11101</v>
      </c>
      <c r="N143" s="171">
        <v>22001</v>
      </c>
      <c r="O143" s="171" t="s">
        <v>839</v>
      </c>
      <c r="P143" s="171" t="s">
        <v>5715</v>
      </c>
      <c r="Q143" s="171" t="s">
        <v>4855</v>
      </c>
      <c r="R143" s="171" t="s">
        <v>4848</v>
      </c>
      <c r="S143" s="100">
        <v>14332</v>
      </c>
      <c r="T143" s="100">
        <v>0</v>
      </c>
      <c r="U143" s="100">
        <v>0</v>
      </c>
      <c r="V143" s="100">
        <v>1</v>
      </c>
      <c r="W143" s="100">
        <v>20</v>
      </c>
      <c r="X143" s="100">
        <v>0</v>
      </c>
      <c r="Y143" s="100">
        <v>20</v>
      </c>
      <c r="Z143" s="100">
        <v>0</v>
      </c>
      <c r="AA143" s="100">
        <v>0.8</v>
      </c>
      <c r="AB143" s="100">
        <v>16</v>
      </c>
      <c r="AC143" s="171"/>
      <c r="AD143" s="171"/>
      <c r="AE143" s="171"/>
      <c r="AF143" s="171" t="s">
        <v>4858</v>
      </c>
      <c r="AG143" s="171" t="s">
        <v>5763</v>
      </c>
      <c r="AH143" s="171" t="s">
        <v>5763</v>
      </c>
      <c r="AI143" s="171" t="s">
        <v>5771</v>
      </c>
    </row>
    <row r="144" spans="1:35">
      <c r="A144" s="100">
        <v>569450</v>
      </c>
      <c r="B144" s="171"/>
      <c r="C144" s="100">
        <v>1</v>
      </c>
      <c r="D144" s="100">
        <v>0</v>
      </c>
      <c r="E144" s="100">
        <v>0</v>
      </c>
      <c r="F144" s="171"/>
      <c r="G144" s="171"/>
      <c r="H144" s="171"/>
      <c r="I144" s="171" t="s">
        <v>6165</v>
      </c>
      <c r="J144" s="171"/>
      <c r="K144" s="171">
        <v>100</v>
      </c>
      <c r="L144" s="171">
        <v>111</v>
      </c>
      <c r="M144" s="171">
        <v>11101</v>
      </c>
      <c r="N144" s="171">
        <v>22001</v>
      </c>
      <c r="O144" s="171" t="s">
        <v>775</v>
      </c>
      <c r="P144" s="171" t="s">
        <v>5983</v>
      </c>
      <c r="Q144" s="171" t="s">
        <v>4855</v>
      </c>
      <c r="R144" s="171" t="s">
        <v>4848</v>
      </c>
      <c r="S144" s="100">
        <v>5410</v>
      </c>
      <c r="T144" s="100">
        <v>0</v>
      </c>
      <c r="U144" s="100">
        <v>0</v>
      </c>
      <c r="V144" s="100">
        <v>1</v>
      </c>
      <c r="W144" s="100">
        <v>16</v>
      </c>
      <c r="X144" s="100">
        <v>0</v>
      </c>
      <c r="Y144" s="100">
        <v>16</v>
      </c>
      <c r="Z144" s="100">
        <v>0</v>
      </c>
      <c r="AA144" s="100">
        <v>0.22</v>
      </c>
      <c r="AB144" s="100">
        <v>3.47</v>
      </c>
      <c r="AC144" s="171"/>
      <c r="AD144" s="171"/>
      <c r="AE144" s="171"/>
      <c r="AF144" s="171" t="s">
        <v>4849</v>
      </c>
      <c r="AG144" s="171" t="s">
        <v>6165</v>
      </c>
      <c r="AH144" s="171" t="s">
        <v>6165</v>
      </c>
      <c r="AI144" s="171" t="s">
        <v>6174</v>
      </c>
    </row>
    <row r="145" spans="1:35">
      <c r="A145" s="100">
        <v>569451</v>
      </c>
      <c r="B145" s="171"/>
      <c r="C145" s="100">
        <v>1</v>
      </c>
      <c r="D145" s="100">
        <v>0</v>
      </c>
      <c r="E145" s="100">
        <v>0</v>
      </c>
      <c r="F145" s="171"/>
      <c r="G145" s="171"/>
      <c r="H145" s="171"/>
      <c r="I145" s="171" t="s">
        <v>6165</v>
      </c>
      <c r="J145" s="171"/>
      <c r="K145" s="171">
        <v>100</v>
      </c>
      <c r="L145" s="171">
        <v>111</v>
      </c>
      <c r="M145" s="171">
        <v>11101</v>
      </c>
      <c r="N145" s="171">
        <v>22001</v>
      </c>
      <c r="O145" s="171" t="s">
        <v>775</v>
      </c>
      <c r="P145" s="171" t="s">
        <v>5983</v>
      </c>
      <c r="Q145" s="171" t="s">
        <v>4855</v>
      </c>
      <c r="R145" s="171" t="s">
        <v>4848</v>
      </c>
      <c r="S145" s="100">
        <v>5409</v>
      </c>
      <c r="T145" s="100">
        <v>0</v>
      </c>
      <c r="U145" s="100">
        <v>0</v>
      </c>
      <c r="V145" s="100">
        <v>1</v>
      </c>
      <c r="W145" s="100">
        <v>16</v>
      </c>
      <c r="X145" s="100">
        <v>0</v>
      </c>
      <c r="Y145" s="100">
        <v>16</v>
      </c>
      <c r="Z145" s="100">
        <v>0</v>
      </c>
      <c r="AA145" s="100">
        <v>0.22</v>
      </c>
      <c r="AB145" s="100">
        <v>3.47</v>
      </c>
      <c r="AC145" s="171"/>
      <c r="AD145" s="171"/>
      <c r="AE145" s="171"/>
      <c r="AF145" s="171" t="s">
        <v>4849</v>
      </c>
      <c r="AG145" s="171" t="s">
        <v>6165</v>
      </c>
      <c r="AH145" s="171" t="s">
        <v>6165</v>
      </c>
      <c r="AI145" s="171" t="s">
        <v>6174</v>
      </c>
    </row>
    <row r="146" spans="1:35">
      <c r="A146" s="100">
        <v>569658</v>
      </c>
      <c r="B146" s="171"/>
      <c r="C146" s="100">
        <v>1</v>
      </c>
      <c r="D146" s="100">
        <v>0</v>
      </c>
      <c r="E146" s="100">
        <v>0</v>
      </c>
      <c r="F146" s="171"/>
      <c r="G146" s="171"/>
      <c r="H146" s="171"/>
      <c r="I146" s="171" t="s">
        <v>6163</v>
      </c>
      <c r="J146" s="171"/>
      <c r="K146" s="171">
        <v>100</v>
      </c>
      <c r="L146" s="171">
        <v>111</v>
      </c>
      <c r="M146" s="171">
        <v>11101</v>
      </c>
      <c r="N146" s="171">
        <v>22001</v>
      </c>
      <c r="O146" s="171" t="s">
        <v>891</v>
      </c>
      <c r="P146" s="171" t="s">
        <v>6010</v>
      </c>
      <c r="Q146" s="171" t="s">
        <v>4855</v>
      </c>
      <c r="R146" s="171" t="s">
        <v>4848</v>
      </c>
      <c r="S146" s="100">
        <v>2786</v>
      </c>
      <c r="T146" s="100">
        <v>0</v>
      </c>
      <c r="U146" s="100">
        <v>0</v>
      </c>
      <c r="V146" s="100">
        <v>1</v>
      </c>
      <c r="W146" s="100">
        <v>100</v>
      </c>
      <c r="X146" s="100">
        <v>0</v>
      </c>
      <c r="Y146" s="100">
        <v>100</v>
      </c>
      <c r="Z146" s="100">
        <v>0</v>
      </c>
      <c r="AA146" s="100">
        <v>0.03</v>
      </c>
      <c r="AB146" s="100">
        <v>3.33</v>
      </c>
      <c r="AC146" s="171"/>
      <c r="AD146" s="171"/>
      <c r="AE146" s="171"/>
      <c r="AF146" s="171" t="s">
        <v>4849</v>
      </c>
      <c r="AG146" s="171" t="s">
        <v>6163</v>
      </c>
      <c r="AH146" s="171" t="s">
        <v>6163</v>
      </c>
      <c r="AI146" s="171" t="s">
        <v>6175</v>
      </c>
    </row>
    <row r="147" spans="1:35">
      <c r="A147" s="100">
        <v>569660</v>
      </c>
      <c r="B147" s="171"/>
      <c r="C147" s="100">
        <v>1</v>
      </c>
      <c r="D147" s="100">
        <v>0</v>
      </c>
      <c r="E147" s="100">
        <v>0</v>
      </c>
      <c r="F147" s="171"/>
      <c r="G147" s="171"/>
      <c r="H147" s="171"/>
      <c r="I147" s="171" t="s">
        <v>6163</v>
      </c>
      <c r="J147" s="171"/>
      <c r="K147" s="171">
        <v>100</v>
      </c>
      <c r="L147" s="171">
        <v>111</v>
      </c>
      <c r="M147" s="171">
        <v>11101</v>
      </c>
      <c r="N147" s="171">
        <v>22001</v>
      </c>
      <c r="O147" s="171" t="s">
        <v>799</v>
      </c>
      <c r="P147" s="171" t="s">
        <v>6014</v>
      </c>
      <c r="Q147" s="171" t="s">
        <v>4855</v>
      </c>
      <c r="R147" s="171" t="s">
        <v>4848</v>
      </c>
      <c r="S147" s="100">
        <v>10791</v>
      </c>
      <c r="T147" s="100">
        <v>0</v>
      </c>
      <c r="U147" s="100">
        <v>0</v>
      </c>
      <c r="V147" s="100">
        <v>1</v>
      </c>
      <c r="W147" s="100">
        <v>16</v>
      </c>
      <c r="X147" s="100">
        <v>0</v>
      </c>
      <c r="Y147" s="100">
        <v>16</v>
      </c>
      <c r="Z147" s="100">
        <v>0</v>
      </c>
      <c r="AA147" s="100">
        <v>0.2</v>
      </c>
      <c r="AB147" s="100">
        <v>3.2</v>
      </c>
      <c r="AC147" s="171"/>
      <c r="AD147" s="171"/>
      <c r="AE147" s="171"/>
      <c r="AF147" s="171" t="s">
        <v>4849</v>
      </c>
      <c r="AG147" s="171" t="s">
        <v>6163</v>
      </c>
      <c r="AH147" s="171" t="s">
        <v>6163</v>
      </c>
      <c r="AI147" s="171" t="s">
        <v>6176</v>
      </c>
    </row>
    <row r="148" spans="1:35">
      <c r="A148" s="100">
        <v>572865</v>
      </c>
      <c r="B148" s="171"/>
      <c r="C148" s="100">
        <v>1</v>
      </c>
      <c r="D148" s="100">
        <v>0</v>
      </c>
      <c r="E148" s="100">
        <v>0</v>
      </c>
      <c r="F148" s="171"/>
      <c r="G148" s="171"/>
      <c r="H148" s="171"/>
      <c r="I148" s="171" t="s">
        <v>6162</v>
      </c>
      <c r="J148" s="171"/>
      <c r="K148" s="171">
        <v>100</v>
      </c>
      <c r="L148" s="171">
        <v>111</v>
      </c>
      <c r="M148" s="171">
        <v>11101</v>
      </c>
      <c r="N148" s="171">
        <v>22001</v>
      </c>
      <c r="O148" s="171" t="s">
        <v>619</v>
      </c>
      <c r="P148" s="171" t="s">
        <v>6050</v>
      </c>
      <c r="Q148" s="171" t="s">
        <v>4855</v>
      </c>
      <c r="R148" s="171" t="s">
        <v>4848</v>
      </c>
      <c r="S148" s="100">
        <v>13975</v>
      </c>
      <c r="T148" s="100">
        <v>0</v>
      </c>
      <c r="U148" s="100">
        <v>0</v>
      </c>
      <c r="V148" s="100">
        <v>1</v>
      </c>
      <c r="W148" s="100">
        <v>20</v>
      </c>
      <c r="X148" s="100">
        <v>0</v>
      </c>
      <c r="Y148" s="100">
        <v>20</v>
      </c>
      <c r="Z148" s="100">
        <v>0</v>
      </c>
      <c r="AA148" s="100">
        <v>0.09</v>
      </c>
      <c r="AB148" s="100">
        <v>1.83</v>
      </c>
      <c r="AC148" s="171"/>
      <c r="AD148" s="171"/>
      <c r="AE148" s="171"/>
      <c r="AF148" s="171" t="s">
        <v>4849</v>
      </c>
      <c r="AG148" s="171" t="s">
        <v>6162</v>
      </c>
      <c r="AH148" s="171" t="s">
        <v>6162</v>
      </c>
      <c r="AI148" s="171" t="s">
        <v>6177</v>
      </c>
    </row>
    <row r="149" spans="1:35">
      <c r="A149" s="100">
        <v>572866</v>
      </c>
      <c r="B149" s="171"/>
      <c r="C149" s="100">
        <v>1</v>
      </c>
      <c r="D149" s="100">
        <v>0</v>
      </c>
      <c r="E149" s="100">
        <v>0</v>
      </c>
      <c r="F149" s="171"/>
      <c r="G149" s="171"/>
      <c r="H149" s="171"/>
      <c r="I149" s="171" t="s">
        <v>6162</v>
      </c>
      <c r="J149" s="171"/>
      <c r="K149" s="171">
        <v>100</v>
      </c>
      <c r="L149" s="171">
        <v>111</v>
      </c>
      <c r="M149" s="171">
        <v>11101</v>
      </c>
      <c r="N149" s="171">
        <v>22001</v>
      </c>
      <c r="O149" s="171" t="s">
        <v>619</v>
      </c>
      <c r="P149" s="171" t="s">
        <v>6050</v>
      </c>
      <c r="Q149" s="171" t="s">
        <v>4855</v>
      </c>
      <c r="R149" s="171" t="s">
        <v>4848</v>
      </c>
      <c r="S149" s="100">
        <v>13974</v>
      </c>
      <c r="T149" s="100">
        <v>0</v>
      </c>
      <c r="U149" s="100">
        <v>0</v>
      </c>
      <c r="V149" s="100">
        <v>1</v>
      </c>
      <c r="W149" s="100">
        <v>20</v>
      </c>
      <c r="X149" s="100">
        <v>0</v>
      </c>
      <c r="Y149" s="100">
        <v>20</v>
      </c>
      <c r="Z149" s="100">
        <v>0</v>
      </c>
      <c r="AA149" s="100">
        <v>0.09</v>
      </c>
      <c r="AB149" s="100">
        <v>1.83</v>
      </c>
      <c r="AC149" s="171"/>
      <c r="AD149" s="171"/>
      <c r="AE149" s="171"/>
      <c r="AF149" s="171" t="s">
        <v>4849</v>
      </c>
      <c r="AG149" s="171" t="s">
        <v>6162</v>
      </c>
      <c r="AH149" s="171" t="s">
        <v>6162</v>
      </c>
      <c r="AI149" s="171" t="s">
        <v>6177</v>
      </c>
    </row>
    <row r="150" spans="1:35">
      <c r="A150" s="100">
        <v>574057</v>
      </c>
      <c r="B150" s="171"/>
      <c r="C150" s="100">
        <v>1</v>
      </c>
      <c r="D150" s="100">
        <v>0</v>
      </c>
      <c r="E150" s="100">
        <v>0</v>
      </c>
      <c r="F150" s="171"/>
      <c r="G150" s="171"/>
      <c r="H150" s="171"/>
      <c r="I150" s="171" t="s">
        <v>6157</v>
      </c>
      <c r="J150" s="171"/>
      <c r="K150" s="171">
        <v>100</v>
      </c>
      <c r="L150" s="171">
        <v>111</v>
      </c>
      <c r="M150" s="171">
        <v>11101</v>
      </c>
      <c r="N150" s="171">
        <v>22001</v>
      </c>
      <c r="O150" s="171" t="s">
        <v>4139</v>
      </c>
      <c r="P150" s="171" t="s">
        <v>6083</v>
      </c>
      <c r="Q150" s="171" t="s">
        <v>4855</v>
      </c>
      <c r="R150" s="171" t="s">
        <v>4848</v>
      </c>
      <c r="S150" s="100">
        <v>6914</v>
      </c>
      <c r="T150" s="100">
        <v>0</v>
      </c>
      <c r="U150" s="100">
        <v>0</v>
      </c>
      <c r="V150" s="100">
        <v>1</v>
      </c>
      <c r="W150" s="100">
        <v>50</v>
      </c>
      <c r="X150" s="100">
        <v>0</v>
      </c>
      <c r="Y150" s="100">
        <v>50</v>
      </c>
      <c r="Z150" s="100">
        <v>0</v>
      </c>
      <c r="AA150" s="100">
        <v>0.28000000000000003</v>
      </c>
      <c r="AB150" s="100">
        <v>14.17</v>
      </c>
      <c r="AC150" s="171"/>
      <c r="AD150" s="171"/>
      <c r="AE150" s="171"/>
      <c r="AF150" s="171" t="s">
        <v>4849</v>
      </c>
      <c r="AG150" s="171" t="s">
        <v>6157</v>
      </c>
      <c r="AH150" s="171" t="s">
        <v>6157</v>
      </c>
      <c r="AI150" s="171" t="s">
        <v>6178</v>
      </c>
    </row>
    <row r="151" spans="1:35">
      <c r="A151" s="100">
        <v>576270</v>
      </c>
      <c r="B151" s="171"/>
      <c r="C151" s="100">
        <v>1</v>
      </c>
      <c r="D151" s="100">
        <v>0</v>
      </c>
      <c r="E151" s="100">
        <v>0</v>
      </c>
      <c r="F151" s="171"/>
      <c r="G151" s="171"/>
      <c r="H151" s="171"/>
      <c r="I151" s="171" t="s">
        <v>6160</v>
      </c>
      <c r="J151" s="171"/>
      <c r="K151" s="171">
        <v>100</v>
      </c>
      <c r="L151" s="171">
        <v>111</v>
      </c>
      <c r="M151" s="171">
        <v>11101</v>
      </c>
      <c r="N151" s="171">
        <v>22001</v>
      </c>
      <c r="O151" s="171" t="s">
        <v>4424</v>
      </c>
      <c r="P151" s="171" t="s">
        <v>5653</v>
      </c>
      <c r="Q151" s="171" t="s">
        <v>4855</v>
      </c>
      <c r="R151" s="171" t="s">
        <v>4848</v>
      </c>
      <c r="S151" s="100">
        <v>7163</v>
      </c>
      <c r="T151" s="100">
        <v>0</v>
      </c>
      <c r="U151" s="100">
        <v>0</v>
      </c>
      <c r="V151" s="100">
        <v>1</v>
      </c>
      <c r="W151" s="100">
        <v>100</v>
      </c>
      <c r="X151" s="100">
        <v>0</v>
      </c>
      <c r="Y151" s="100">
        <v>100</v>
      </c>
      <c r="Z151" s="100">
        <v>0</v>
      </c>
      <c r="AA151" s="100">
        <v>0.35</v>
      </c>
      <c r="AB151" s="100">
        <v>35</v>
      </c>
      <c r="AC151" s="171"/>
      <c r="AD151" s="171"/>
      <c r="AE151" s="171"/>
      <c r="AF151" s="171" t="s">
        <v>4870</v>
      </c>
      <c r="AG151" s="171" t="s">
        <v>6160</v>
      </c>
      <c r="AH151" s="171" t="s">
        <v>6160</v>
      </c>
      <c r="AI151" s="171" t="s">
        <v>5770</v>
      </c>
    </row>
    <row r="152" spans="1:35">
      <c r="A152" s="100">
        <v>576429</v>
      </c>
      <c r="B152" s="171"/>
      <c r="C152" s="100">
        <v>1</v>
      </c>
      <c r="D152" s="100">
        <v>0</v>
      </c>
      <c r="E152" s="100">
        <v>0</v>
      </c>
      <c r="F152" s="171"/>
      <c r="G152" s="171"/>
      <c r="H152" s="171"/>
      <c r="I152" s="171" t="s">
        <v>6160</v>
      </c>
      <c r="J152" s="171"/>
      <c r="K152" s="171">
        <v>100</v>
      </c>
      <c r="L152" s="171">
        <v>111</v>
      </c>
      <c r="M152" s="171">
        <v>11101</v>
      </c>
      <c r="N152" s="171">
        <v>22001</v>
      </c>
      <c r="O152" s="171" t="s">
        <v>2223</v>
      </c>
      <c r="P152" s="171" t="s">
        <v>6152</v>
      </c>
      <c r="Q152" s="171"/>
      <c r="R152" s="171" t="s">
        <v>4848</v>
      </c>
      <c r="S152" s="100">
        <v>10313</v>
      </c>
      <c r="T152" s="100">
        <v>0</v>
      </c>
      <c r="U152" s="100">
        <v>0</v>
      </c>
      <c r="V152" s="100">
        <v>1</v>
      </c>
      <c r="W152" s="100">
        <v>560</v>
      </c>
      <c r="X152" s="100">
        <v>0</v>
      </c>
      <c r="Y152" s="100">
        <v>560</v>
      </c>
      <c r="Z152" s="100">
        <v>0</v>
      </c>
      <c r="AA152" s="100">
        <v>0.03</v>
      </c>
      <c r="AB152" s="100">
        <v>18.670000000000002</v>
      </c>
      <c r="AC152" s="171"/>
      <c r="AD152" s="171"/>
      <c r="AE152" s="171"/>
      <c r="AF152" s="171" t="s">
        <v>4886</v>
      </c>
      <c r="AG152" s="171" t="s">
        <v>6160</v>
      </c>
      <c r="AH152" s="171" t="s">
        <v>6160</v>
      </c>
      <c r="AI152" s="171" t="s">
        <v>6179</v>
      </c>
    </row>
    <row r="153" spans="1:35">
      <c r="A153" s="100">
        <v>541452</v>
      </c>
      <c r="B153" s="171"/>
      <c r="C153" s="100">
        <v>1</v>
      </c>
      <c r="D153" s="100">
        <v>0</v>
      </c>
      <c r="E153" s="100">
        <v>111</v>
      </c>
      <c r="F153" s="171"/>
      <c r="G153" s="171" t="s">
        <v>5346</v>
      </c>
      <c r="H153" s="171"/>
      <c r="I153" s="171" t="s">
        <v>5226</v>
      </c>
      <c r="J153" s="171"/>
      <c r="K153" s="171">
        <v>100</v>
      </c>
      <c r="L153" s="171">
        <v>111</v>
      </c>
      <c r="M153" s="171">
        <v>11103</v>
      </c>
      <c r="N153" s="171">
        <v>11101</v>
      </c>
      <c r="O153" s="171" t="s">
        <v>794</v>
      </c>
      <c r="P153" s="171" t="s">
        <v>5211</v>
      </c>
      <c r="Q153" s="171" t="s">
        <v>4853</v>
      </c>
      <c r="R153" s="171" t="s">
        <v>4848</v>
      </c>
      <c r="S153" s="100">
        <v>14031</v>
      </c>
      <c r="T153" s="100">
        <v>0</v>
      </c>
      <c r="U153" s="100">
        <v>0</v>
      </c>
      <c r="V153" s="100">
        <v>1</v>
      </c>
      <c r="W153" s="100">
        <v>20</v>
      </c>
      <c r="X153" s="100">
        <v>20</v>
      </c>
      <c r="Y153" s="100">
        <v>0</v>
      </c>
      <c r="Z153" s="100">
        <v>0</v>
      </c>
      <c r="AA153" s="100">
        <v>0.03</v>
      </c>
      <c r="AB153" s="100">
        <v>0.5</v>
      </c>
      <c r="AC153" s="171"/>
      <c r="AD153" s="171"/>
      <c r="AE153" s="171"/>
      <c r="AF153" s="171" t="s">
        <v>4849</v>
      </c>
      <c r="AG153" s="171" t="s">
        <v>5226</v>
      </c>
      <c r="AH153" s="171" t="s">
        <v>5226</v>
      </c>
      <c r="AI153" s="171" t="s">
        <v>4859</v>
      </c>
    </row>
    <row r="154" spans="1:35">
      <c r="A154" s="100">
        <v>541453</v>
      </c>
      <c r="B154" s="171"/>
      <c r="C154" s="100">
        <v>1</v>
      </c>
      <c r="D154" s="100">
        <v>0</v>
      </c>
      <c r="E154" s="100">
        <v>111</v>
      </c>
      <c r="F154" s="171"/>
      <c r="G154" s="171" t="s">
        <v>5346</v>
      </c>
      <c r="H154" s="171"/>
      <c r="I154" s="171" t="s">
        <v>5226</v>
      </c>
      <c r="J154" s="171"/>
      <c r="K154" s="171">
        <v>100</v>
      </c>
      <c r="L154" s="171">
        <v>111</v>
      </c>
      <c r="M154" s="171">
        <v>11103</v>
      </c>
      <c r="N154" s="171">
        <v>11101</v>
      </c>
      <c r="O154" s="171" t="s">
        <v>793</v>
      </c>
      <c r="P154" s="171" t="s">
        <v>5213</v>
      </c>
      <c r="Q154" s="171" t="s">
        <v>4853</v>
      </c>
      <c r="R154" s="171" t="s">
        <v>4848</v>
      </c>
      <c r="S154" s="100">
        <v>14030</v>
      </c>
      <c r="T154" s="100">
        <v>0</v>
      </c>
      <c r="U154" s="100">
        <v>0</v>
      </c>
      <c r="V154" s="100">
        <v>1</v>
      </c>
      <c r="W154" s="100">
        <v>20</v>
      </c>
      <c r="X154" s="100">
        <v>20</v>
      </c>
      <c r="Y154" s="100">
        <v>0</v>
      </c>
      <c r="Z154" s="100">
        <v>0</v>
      </c>
      <c r="AA154" s="100">
        <v>0.02</v>
      </c>
      <c r="AB154" s="100">
        <v>0.33</v>
      </c>
      <c r="AC154" s="171"/>
      <c r="AD154" s="171"/>
      <c r="AE154" s="171"/>
      <c r="AF154" s="171" t="s">
        <v>4849</v>
      </c>
      <c r="AG154" s="171" t="s">
        <v>5226</v>
      </c>
      <c r="AH154" s="171" t="s">
        <v>5226</v>
      </c>
      <c r="AI154" s="171" t="s">
        <v>4859</v>
      </c>
    </row>
    <row r="155" spans="1:35">
      <c r="A155" s="100">
        <v>548724</v>
      </c>
      <c r="B155" s="171"/>
      <c r="C155" s="100">
        <v>1</v>
      </c>
      <c r="D155" s="100">
        <v>0</v>
      </c>
      <c r="E155" s="100">
        <v>111</v>
      </c>
      <c r="F155" s="171"/>
      <c r="G155" s="171" t="s">
        <v>5759</v>
      </c>
      <c r="H155" s="171"/>
      <c r="I155" s="171" t="s">
        <v>5341</v>
      </c>
      <c r="J155" s="171"/>
      <c r="K155" s="171">
        <v>100</v>
      </c>
      <c r="L155" s="171">
        <v>111</v>
      </c>
      <c r="M155" s="171">
        <v>11103</v>
      </c>
      <c r="N155" s="171">
        <v>11101</v>
      </c>
      <c r="O155" s="171" t="s">
        <v>2603</v>
      </c>
      <c r="P155" s="171" t="s">
        <v>5048</v>
      </c>
      <c r="Q155" s="171" t="s">
        <v>4853</v>
      </c>
      <c r="R155" s="171" t="s">
        <v>4848</v>
      </c>
      <c r="S155" s="100">
        <v>12004</v>
      </c>
      <c r="T155" s="100">
        <v>0</v>
      </c>
      <c r="U155" s="100">
        <v>0</v>
      </c>
      <c r="V155" s="100">
        <v>1</v>
      </c>
      <c r="W155" s="100">
        <v>576</v>
      </c>
      <c r="X155" s="100">
        <v>576</v>
      </c>
      <c r="Y155" s="100">
        <v>0</v>
      </c>
      <c r="Z155" s="100">
        <v>0</v>
      </c>
      <c r="AA155" s="100">
        <v>0.03</v>
      </c>
      <c r="AB155" s="100">
        <v>14.4</v>
      </c>
      <c r="AC155" s="171"/>
      <c r="AD155" s="171"/>
      <c r="AE155" s="171"/>
      <c r="AF155" s="171" t="s">
        <v>4866</v>
      </c>
      <c r="AG155" s="171" t="s">
        <v>5341</v>
      </c>
      <c r="AH155" s="171" t="s">
        <v>5341</v>
      </c>
      <c r="AI155" s="171" t="s">
        <v>4850</v>
      </c>
    </row>
    <row r="156" spans="1:35">
      <c r="A156" s="100">
        <v>552420</v>
      </c>
      <c r="B156" s="171"/>
      <c r="C156" s="100">
        <v>1</v>
      </c>
      <c r="D156" s="100">
        <v>0</v>
      </c>
      <c r="E156" s="100">
        <v>0</v>
      </c>
      <c r="F156" s="171"/>
      <c r="G156" s="171"/>
      <c r="H156" s="171"/>
      <c r="I156" s="171" t="s">
        <v>5755</v>
      </c>
      <c r="J156" s="171"/>
      <c r="K156" s="171">
        <v>100</v>
      </c>
      <c r="L156" s="171">
        <v>111</v>
      </c>
      <c r="M156" s="171">
        <v>11103</v>
      </c>
      <c r="N156" s="171">
        <v>11101</v>
      </c>
      <c r="O156" s="171" t="s">
        <v>4434</v>
      </c>
      <c r="P156" s="171" t="s">
        <v>5329</v>
      </c>
      <c r="Q156" s="171" t="s">
        <v>4855</v>
      </c>
      <c r="R156" s="171" t="s">
        <v>4848</v>
      </c>
      <c r="S156" s="100">
        <v>7196</v>
      </c>
      <c r="T156" s="100">
        <v>0</v>
      </c>
      <c r="U156" s="100">
        <v>0</v>
      </c>
      <c r="V156" s="100">
        <v>1</v>
      </c>
      <c r="W156" s="100">
        <v>300</v>
      </c>
      <c r="X156" s="100">
        <v>0</v>
      </c>
      <c r="Y156" s="100">
        <v>300</v>
      </c>
      <c r="Z156" s="100">
        <v>0</v>
      </c>
      <c r="AA156" s="100">
        <v>7.0000000000000007E-2</v>
      </c>
      <c r="AB156" s="100">
        <v>20</v>
      </c>
      <c r="AC156" s="171"/>
      <c r="AD156" s="171"/>
      <c r="AE156" s="171"/>
      <c r="AF156" s="171" t="s">
        <v>4870</v>
      </c>
      <c r="AG156" s="171" t="s">
        <v>5755</v>
      </c>
      <c r="AH156" s="171" t="s">
        <v>5755</v>
      </c>
      <c r="AI156" s="171" t="s">
        <v>4863</v>
      </c>
    </row>
    <row r="157" spans="1:35">
      <c r="A157" s="100">
        <v>552421</v>
      </c>
      <c r="B157" s="171"/>
      <c r="C157" s="100">
        <v>1</v>
      </c>
      <c r="D157" s="100">
        <v>0</v>
      </c>
      <c r="E157" s="100">
        <v>0</v>
      </c>
      <c r="F157" s="171"/>
      <c r="G157" s="171"/>
      <c r="H157" s="171"/>
      <c r="I157" s="171" t="s">
        <v>5756</v>
      </c>
      <c r="J157" s="171"/>
      <c r="K157" s="171">
        <v>100</v>
      </c>
      <c r="L157" s="171">
        <v>111</v>
      </c>
      <c r="M157" s="171">
        <v>11103</v>
      </c>
      <c r="N157" s="171">
        <v>11101</v>
      </c>
      <c r="O157" s="171" t="s">
        <v>4254</v>
      </c>
      <c r="P157" s="171" t="s">
        <v>5656</v>
      </c>
      <c r="Q157" s="171" t="s">
        <v>4855</v>
      </c>
      <c r="R157" s="171" t="s">
        <v>4848</v>
      </c>
      <c r="S157" s="100">
        <v>7155</v>
      </c>
      <c r="T157" s="100">
        <v>0</v>
      </c>
      <c r="U157" s="100">
        <v>0</v>
      </c>
      <c r="V157" s="100">
        <v>1</v>
      </c>
      <c r="W157" s="100">
        <v>250</v>
      </c>
      <c r="X157" s="100">
        <v>0</v>
      </c>
      <c r="Y157" s="100">
        <v>250</v>
      </c>
      <c r="Z157" s="100">
        <v>0</v>
      </c>
      <c r="AA157" s="100">
        <v>0.03</v>
      </c>
      <c r="AB157" s="100">
        <v>8.33</v>
      </c>
      <c r="AC157" s="171"/>
      <c r="AD157" s="171"/>
      <c r="AE157" s="171"/>
      <c r="AF157" s="171" t="s">
        <v>4870</v>
      </c>
      <c r="AG157" s="171" t="s">
        <v>5756</v>
      </c>
      <c r="AH157" s="171" t="s">
        <v>5756</v>
      </c>
      <c r="AI157" s="171" t="s">
        <v>4850</v>
      </c>
    </row>
    <row r="158" spans="1:35">
      <c r="A158" s="100">
        <v>552550</v>
      </c>
      <c r="B158" s="171"/>
      <c r="C158" s="100">
        <v>1</v>
      </c>
      <c r="D158" s="100">
        <v>0</v>
      </c>
      <c r="E158" s="100">
        <v>0</v>
      </c>
      <c r="F158" s="171"/>
      <c r="G158" s="171"/>
      <c r="H158" s="171"/>
      <c r="I158" s="171" t="s">
        <v>5756</v>
      </c>
      <c r="J158" s="171"/>
      <c r="K158" s="171">
        <v>100</v>
      </c>
      <c r="L158" s="171">
        <v>111</v>
      </c>
      <c r="M158" s="171">
        <v>11103</v>
      </c>
      <c r="N158" s="171">
        <v>11101</v>
      </c>
      <c r="O158" s="171" t="s">
        <v>4335</v>
      </c>
      <c r="P158" s="171" t="s">
        <v>5660</v>
      </c>
      <c r="Q158" s="171" t="s">
        <v>4855</v>
      </c>
      <c r="R158" s="171" t="s">
        <v>4848</v>
      </c>
      <c r="S158" s="100">
        <v>6938</v>
      </c>
      <c r="T158" s="100">
        <v>0</v>
      </c>
      <c r="U158" s="100">
        <v>0</v>
      </c>
      <c r="V158" s="100">
        <v>1</v>
      </c>
      <c r="W158" s="100">
        <v>50</v>
      </c>
      <c r="X158" s="100">
        <v>0</v>
      </c>
      <c r="Y158" s="100">
        <v>50</v>
      </c>
      <c r="Z158" s="100">
        <v>0</v>
      </c>
      <c r="AA158" s="100">
        <v>0.05</v>
      </c>
      <c r="AB158" s="100">
        <v>2.5</v>
      </c>
      <c r="AC158" s="171"/>
      <c r="AD158" s="171"/>
      <c r="AE158" s="171"/>
      <c r="AF158" s="171" t="s">
        <v>4870</v>
      </c>
      <c r="AG158" s="171" t="s">
        <v>5756</v>
      </c>
      <c r="AH158" s="171" t="s">
        <v>5756</v>
      </c>
      <c r="AI158" s="171" t="s">
        <v>4877</v>
      </c>
    </row>
    <row r="159" spans="1:35">
      <c r="A159" s="100">
        <v>552963</v>
      </c>
      <c r="B159" s="171"/>
      <c r="C159" s="100">
        <v>1</v>
      </c>
      <c r="D159" s="100">
        <v>0</v>
      </c>
      <c r="E159" s="100">
        <v>0</v>
      </c>
      <c r="F159" s="171"/>
      <c r="G159" s="171"/>
      <c r="H159" s="171"/>
      <c r="I159" s="171" t="s">
        <v>5758</v>
      </c>
      <c r="J159" s="171"/>
      <c r="K159" s="171">
        <v>100</v>
      </c>
      <c r="L159" s="171">
        <v>111</v>
      </c>
      <c r="M159" s="171">
        <v>11103</v>
      </c>
      <c r="N159" s="171">
        <v>11101</v>
      </c>
      <c r="O159" s="171" t="s">
        <v>901</v>
      </c>
      <c r="P159" s="171" t="s">
        <v>5680</v>
      </c>
      <c r="Q159" s="171" t="s">
        <v>4855</v>
      </c>
      <c r="R159" s="171" t="s">
        <v>4848</v>
      </c>
      <c r="S159" s="100">
        <v>1206</v>
      </c>
      <c r="T159" s="100">
        <v>0</v>
      </c>
      <c r="U159" s="100">
        <v>0</v>
      </c>
      <c r="V159" s="100">
        <v>1</v>
      </c>
      <c r="W159" s="100">
        <v>600</v>
      </c>
      <c r="X159" s="100">
        <v>0</v>
      </c>
      <c r="Y159" s="100">
        <v>600</v>
      </c>
      <c r="Z159" s="100">
        <v>0</v>
      </c>
      <c r="AA159" s="100">
        <v>0.01</v>
      </c>
      <c r="AB159" s="100">
        <v>5</v>
      </c>
      <c r="AC159" s="171"/>
      <c r="AD159" s="171"/>
      <c r="AE159" s="171"/>
      <c r="AF159" s="171" t="s">
        <v>4849</v>
      </c>
      <c r="AG159" s="171" t="s">
        <v>5758</v>
      </c>
      <c r="AH159" s="171" t="s">
        <v>5758</v>
      </c>
      <c r="AI159" s="171" t="s">
        <v>4859</v>
      </c>
    </row>
    <row r="160" spans="1:35">
      <c r="A160" s="100">
        <v>572372</v>
      </c>
      <c r="B160" s="171"/>
      <c r="C160" s="100">
        <v>1</v>
      </c>
      <c r="D160" s="100">
        <v>0</v>
      </c>
      <c r="E160" s="100">
        <v>0</v>
      </c>
      <c r="F160" s="171"/>
      <c r="G160" s="171"/>
      <c r="H160" s="171"/>
      <c r="I160" s="171" t="s">
        <v>6169</v>
      </c>
      <c r="J160" s="171"/>
      <c r="K160" s="171">
        <v>100</v>
      </c>
      <c r="L160" s="171">
        <v>111</v>
      </c>
      <c r="M160" s="171">
        <v>11103</v>
      </c>
      <c r="N160" s="171">
        <v>11101</v>
      </c>
      <c r="O160" s="171" t="s">
        <v>4436</v>
      </c>
      <c r="P160" s="171" t="s">
        <v>5657</v>
      </c>
      <c r="Q160" s="171" t="s">
        <v>4855</v>
      </c>
      <c r="R160" s="171" t="s">
        <v>4848</v>
      </c>
      <c r="S160" s="100">
        <v>7131</v>
      </c>
      <c r="T160" s="100">
        <v>0</v>
      </c>
      <c r="U160" s="100">
        <v>0</v>
      </c>
      <c r="V160" s="100">
        <v>1</v>
      </c>
      <c r="W160" s="100">
        <v>500</v>
      </c>
      <c r="X160" s="100">
        <v>0</v>
      </c>
      <c r="Y160" s="100">
        <v>500</v>
      </c>
      <c r="Z160" s="100">
        <v>0</v>
      </c>
      <c r="AA160" s="100">
        <v>0.03</v>
      </c>
      <c r="AB160" s="100">
        <v>16.670000000000002</v>
      </c>
      <c r="AC160" s="171"/>
      <c r="AD160" s="171"/>
      <c r="AE160" s="171"/>
      <c r="AF160" s="171" t="s">
        <v>4849</v>
      </c>
      <c r="AG160" s="171" t="s">
        <v>6169</v>
      </c>
      <c r="AH160" s="171" t="s">
        <v>6169</v>
      </c>
      <c r="AI160" s="171" t="s">
        <v>4850</v>
      </c>
    </row>
    <row r="161" spans="1:35">
      <c r="A161" s="100">
        <v>460506</v>
      </c>
      <c r="B161" s="171"/>
      <c r="C161" s="100">
        <v>1</v>
      </c>
      <c r="D161" s="100">
        <v>0</v>
      </c>
      <c r="E161" s="100">
        <v>0</v>
      </c>
      <c r="F161" s="171"/>
      <c r="G161" s="171"/>
      <c r="H161" s="171"/>
      <c r="I161" s="171" t="s">
        <v>4894</v>
      </c>
      <c r="J161" s="171"/>
      <c r="K161" s="171">
        <v>100</v>
      </c>
      <c r="L161" s="171">
        <v>114</v>
      </c>
      <c r="M161" s="171">
        <v>11401</v>
      </c>
      <c r="N161" s="171">
        <v>22002</v>
      </c>
      <c r="O161" s="171" t="s">
        <v>4895</v>
      </c>
      <c r="P161" s="171" t="s">
        <v>553</v>
      </c>
      <c r="Q161" s="171"/>
      <c r="R161" s="171" t="s">
        <v>4848</v>
      </c>
      <c r="S161" s="100">
        <v>0</v>
      </c>
      <c r="T161" s="100">
        <v>0</v>
      </c>
      <c r="U161" s="100">
        <v>0</v>
      </c>
      <c r="V161" s="100">
        <v>1</v>
      </c>
      <c r="W161" s="100">
        <v>150</v>
      </c>
      <c r="X161" s="100">
        <v>0</v>
      </c>
      <c r="Y161" s="100">
        <v>150</v>
      </c>
      <c r="Z161" s="100">
        <v>0</v>
      </c>
      <c r="AA161" s="100">
        <v>0.01</v>
      </c>
      <c r="AB161" s="100">
        <v>1.25</v>
      </c>
      <c r="AC161" s="171"/>
      <c r="AD161" s="171"/>
      <c r="AE161" s="171"/>
      <c r="AF161" s="171" t="s">
        <v>4869</v>
      </c>
      <c r="AG161" s="171" t="s">
        <v>4894</v>
      </c>
      <c r="AH161" s="171" t="s">
        <v>4894</v>
      </c>
      <c r="AI161" s="171" t="s">
        <v>4896</v>
      </c>
    </row>
    <row r="162" spans="1:35">
      <c r="A162" s="100">
        <v>538365</v>
      </c>
      <c r="B162" s="171"/>
      <c r="C162" s="100">
        <v>1</v>
      </c>
      <c r="D162" s="100">
        <v>0</v>
      </c>
      <c r="E162" s="100">
        <v>0</v>
      </c>
      <c r="F162" s="171"/>
      <c r="G162" s="171"/>
      <c r="H162" s="171"/>
      <c r="I162" s="171" t="s">
        <v>4876</v>
      </c>
      <c r="J162" s="171"/>
      <c r="K162" s="171">
        <v>100</v>
      </c>
      <c r="L162" s="171">
        <v>114</v>
      </c>
      <c r="M162" s="171">
        <v>11401</v>
      </c>
      <c r="N162" s="171">
        <v>22002</v>
      </c>
      <c r="O162" s="171" t="s">
        <v>4897</v>
      </c>
      <c r="P162" s="171" t="s">
        <v>4812</v>
      </c>
      <c r="Q162" s="171" t="s">
        <v>4855</v>
      </c>
      <c r="R162" s="171" t="s">
        <v>4848</v>
      </c>
      <c r="S162" s="100">
        <v>9303</v>
      </c>
      <c r="T162" s="100">
        <v>0</v>
      </c>
      <c r="U162" s="100">
        <v>0</v>
      </c>
      <c r="V162" s="100">
        <v>1</v>
      </c>
      <c r="W162" s="100">
        <v>360</v>
      </c>
      <c r="X162" s="100">
        <v>0</v>
      </c>
      <c r="Y162" s="100">
        <v>360</v>
      </c>
      <c r="Z162" s="100">
        <v>0</v>
      </c>
      <c r="AA162" s="100">
        <v>0.01</v>
      </c>
      <c r="AB162" s="100">
        <v>3</v>
      </c>
      <c r="AC162" s="171"/>
      <c r="AD162" s="171"/>
      <c r="AE162" s="171"/>
      <c r="AF162" s="171" t="s">
        <v>4852</v>
      </c>
      <c r="AG162" s="171" t="s">
        <v>4876</v>
      </c>
      <c r="AH162" s="171" t="s">
        <v>4876</v>
      </c>
      <c r="AI162" s="171" t="s">
        <v>4896</v>
      </c>
    </row>
    <row r="163" spans="1:35">
      <c r="A163" s="100">
        <v>539661</v>
      </c>
      <c r="B163" s="171"/>
      <c r="C163" s="100">
        <v>1</v>
      </c>
      <c r="D163" s="100">
        <v>0</v>
      </c>
      <c r="E163" s="100">
        <v>1</v>
      </c>
      <c r="F163" s="171"/>
      <c r="G163" s="171" t="s">
        <v>5079</v>
      </c>
      <c r="H163" s="171"/>
      <c r="I163" s="171" t="s">
        <v>5051</v>
      </c>
      <c r="J163" s="171"/>
      <c r="K163" s="171">
        <v>100</v>
      </c>
      <c r="L163" s="171">
        <v>114</v>
      </c>
      <c r="M163" s="171">
        <v>11401</v>
      </c>
      <c r="N163" s="171">
        <v>11405</v>
      </c>
      <c r="O163" s="171" t="s">
        <v>695</v>
      </c>
      <c r="P163" s="171" t="s">
        <v>5003</v>
      </c>
      <c r="Q163" s="171" t="s">
        <v>4853</v>
      </c>
      <c r="R163" s="171" t="s">
        <v>4848</v>
      </c>
      <c r="S163" s="100">
        <v>13969</v>
      </c>
      <c r="T163" s="100">
        <v>0</v>
      </c>
      <c r="U163" s="100">
        <v>0</v>
      </c>
      <c r="V163" s="100">
        <v>1</v>
      </c>
      <c r="W163" s="100">
        <v>4</v>
      </c>
      <c r="X163" s="100">
        <v>4</v>
      </c>
      <c r="Y163" s="100">
        <v>0</v>
      </c>
      <c r="Z163" s="100">
        <v>0</v>
      </c>
      <c r="AA163" s="100">
        <v>0.11</v>
      </c>
      <c r="AB163" s="100">
        <v>0.44</v>
      </c>
      <c r="AC163" s="171"/>
      <c r="AD163" s="171"/>
      <c r="AE163" s="171"/>
      <c r="AF163" s="171" t="s">
        <v>4869</v>
      </c>
      <c r="AG163" s="171" t="s">
        <v>5051</v>
      </c>
      <c r="AH163" s="171" t="s">
        <v>5051</v>
      </c>
      <c r="AI163" s="171" t="s">
        <v>4896</v>
      </c>
    </row>
    <row r="164" spans="1:35">
      <c r="A164" s="100">
        <v>539664</v>
      </c>
      <c r="B164" s="171"/>
      <c r="C164" s="100">
        <v>1</v>
      </c>
      <c r="D164" s="100">
        <v>0</v>
      </c>
      <c r="E164" s="100">
        <v>1</v>
      </c>
      <c r="F164" s="171"/>
      <c r="G164" s="171" t="s">
        <v>5079</v>
      </c>
      <c r="H164" s="171"/>
      <c r="I164" s="171" t="s">
        <v>5051</v>
      </c>
      <c r="J164" s="171"/>
      <c r="K164" s="171">
        <v>100</v>
      </c>
      <c r="L164" s="171">
        <v>114</v>
      </c>
      <c r="M164" s="171">
        <v>11401</v>
      </c>
      <c r="N164" s="171">
        <v>11405</v>
      </c>
      <c r="O164" s="171" t="s">
        <v>3035</v>
      </c>
      <c r="P164" s="171" t="s">
        <v>5005</v>
      </c>
      <c r="Q164" s="171" t="s">
        <v>4853</v>
      </c>
      <c r="R164" s="171" t="s">
        <v>4848</v>
      </c>
      <c r="S164" s="100">
        <v>1911</v>
      </c>
      <c r="T164" s="100">
        <v>0</v>
      </c>
      <c r="U164" s="100">
        <v>0</v>
      </c>
      <c r="V164" s="100">
        <v>1</v>
      </c>
      <c r="W164" s="100">
        <v>4</v>
      </c>
      <c r="X164" s="100">
        <v>4</v>
      </c>
      <c r="Y164" s="100">
        <v>0</v>
      </c>
      <c r="Z164" s="100">
        <v>0</v>
      </c>
      <c r="AA164" s="100">
        <v>0.02</v>
      </c>
      <c r="AB164" s="100">
        <v>0.08</v>
      </c>
      <c r="AC164" s="171"/>
      <c r="AD164" s="171"/>
      <c r="AE164" s="171"/>
      <c r="AF164" s="171" t="s">
        <v>4869</v>
      </c>
      <c r="AG164" s="171" t="s">
        <v>5051</v>
      </c>
      <c r="AH164" s="171" t="s">
        <v>5051</v>
      </c>
      <c r="AI164" s="171" t="s">
        <v>4896</v>
      </c>
    </row>
    <row r="165" spans="1:35">
      <c r="A165" s="100">
        <v>539670</v>
      </c>
      <c r="B165" s="171"/>
      <c r="C165" s="100">
        <v>1</v>
      </c>
      <c r="D165" s="100">
        <v>0</v>
      </c>
      <c r="E165" s="100">
        <v>1</v>
      </c>
      <c r="F165" s="171"/>
      <c r="G165" s="171" t="s">
        <v>5079</v>
      </c>
      <c r="H165" s="171"/>
      <c r="I165" s="171" t="s">
        <v>5079</v>
      </c>
      <c r="J165" s="171"/>
      <c r="K165" s="171">
        <v>100</v>
      </c>
      <c r="L165" s="171">
        <v>114</v>
      </c>
      <c r="M165" s="171">
        <v>11401</v>
      </c>
      <c r="N165" s="171">
        <v>11405</v>
      </c>
      <c r="O165" s="171" t="s">
        <v>691</v>
      </c>
      <c r="P165" s="171" t="s">
        <v>5012</v>
      </c>
      <c r="Q165" s="171" t="s">
        <v>4853</v>
      </c>
      <c r="R165" s="171" t="s">
        <v>4848</v>
      </c>
      <c r="S165" s="100">
        <v>0</v>
      </c>
      <c r="T165" s="100">
        <v>0</v>
      </c>
      <c r="U165" s="100">
        <v>0</v>
      </c>
      <c r="V165" s="100">
        <v>1</v>
      </c>
      <c r="W165" s="100">
        <v>4</v>
      </c>
      <c r="X165" s="100">
        <v>4</v>
      </c>
      <c r="Y165" s="100">
        <v>0</v>
      </c>
      <c r="Z165" s="100">
        <v>0</v>
      </c>
      <c r="AA165" s="100">
        <v>0.03</v>
      </c>
      <c r="AB165" s="100">
        <v>0.1</v>
      </c>
      <c r="AC165" s="171"/>
      <c r="AD165" s="171"/>
      <c r="AE165" s="171"/>
      <c r="AF165" s="171" t="s">
        <v>4869</v>
      </c>
      <c r="AG165" s="171" t="s">
        <v>5079</v>
      </c>
      <c r="AH165" s="171" t="s">
        <v>5079</v>
      </c>
      <c r="AI165" s="171" t="s">
        <v>4896</v>
      </c>
    </row>
    <row r="166" spans="1:35">
      <c r="A166" s="100">
        <v>542119</v>
      </c>
      <c r="B166" s="171"/>
      <c r="C166" s="100">
        <v>1</v>
      </c>
      <c r="D166" s="100">
        <v>0</v>
      </c>
      <c r="E166" s="100">
        <v>0</v>
      </c>
      <c r="F166" s="171"/>
      <c r="G166" s="171"/>
      <c r="H166" s="171"/>
      <c r="I166" s="171" t="s">
        <v>5231</v>
      </c>
      <c r="J166" s="171"/>
      <c r="K166" s="171">
        <v>100</v>
      </c>
      <c r="L166" s="171">
        <v>114</v>
      </c>
      <c r="M166" s="171">
        <v>11401</v>
      </c>
      <c r="N166" s="171">
        <v>22002</v>
      </c>
      <c r="O166" s="171" t="s">
        <v>4358</v>
      </c>
      <c r="P166" s="171" t="s">
        <v>5217</v>
      </c>
      <c r="Q166" s="171" t="s">
        <v>4855</v>
      </c>
      <c r="R166" s="171" t="s">
        <v>4848</v>
      </c>
      <c r="S166" s="100">
        <v>5372</v>
      </c>
      <c r="T166" s="100">
        <v>0</v>
      </c>
      <c r="U166" s="100">
        <v>0</v>
      </c>
      <c r="V166" s="100">
        <v>1</v>
      </c>
      <c r="W166" s="100">
        <v>50</v>
      </c>
      <c r="X166" s="100">
        <v>0</v>
      </c>
      <c r="Y166" s="100">
        <v>50</v>
      </c>
      <c r="Z166" s="100">
        <v>0</v>
      </c>
      <c r="AA166" s="100">
        <v>0.01</v>
      </c>
      <c r="AB166" s="100">
        <v>0.25</v>
      </c>
      <c r="AC166" s="171"/>
      <c r="AD166" s="171"/>
      <c r="AE166" s="171"/>
      <c r="AF166" s="171" t="s">
        <v>4849</v>
      </c>
      <c r="AG166" s="171" t="s">
        <v>5231</v>
      </c>
      <c r="AH166" s="171" t="s">
        <v>5231</v>
      </c>
      <c r="AI166" s="171" t="s">
        <v>4896</v>
      </c>
    </row>
    <row r="167" spans="1:35">
      <c r="A167" s="100">
        <v>545334</v>
      </c>
      <c r="B167" s="171"/>
      <c r="C167" s="100">
        <v>1</v>
      </c>
      <c r="D167" s="100">
        <v>0</v>
      </c>
      <c r="E167" s="100">
        <v>1</v>
      </c>
      <c r="F167" s="171"/>
      <c r="G167" s="171" t="s">
        <v>6172</v>
      </c>
      <c r="H167" s="171"/>
      <c r="I167" s="171" t="s">
        <v>5272</v>
      </c>
      <c r="J167" s="171"/>
      <c r="K167" s="171">
        <v>100</v>
      </c>
      <c r="L167" s="171">
        <v>114</v>
      </c>
      <c r="M167" s="171">
        <v>11401</v>
      </c>
      <c r="N167" s="171">
        <v>22002</v>
      </c>
      <c r="O167" s="171" t="s">
        <v>4368</v>
      </c>
      <c r="P167" s="171" t="s">
        <v>5266</v>
      </c>
      <c r="Q167" s="171" t="s">
        <v>4875</v>
      </c>
      <c r="R167" s="171" t="s">
        <v>4848</v>
      </c>
      <c r="S167" s="100">
        <v>5349</v>
      </c>
      <c r="T167" s="100">
        <v>0</v>
      </c>
      <c r="U167" s="100">
        <v>0</v>
      </c>
      <c r="V167" s="100">
        <v>1</v>
      </c>
      <c r="W167" s="100">
        <v>100</v>
      </c>
      <c r="X167" s="100">
        <v>0</v>
      </c>
      <c r="Y167" s="100">
        <v>100</v>
      </c>
      <c r="Z167" s="100">
        <v>0</v>
      </c>
      <c r="AA167" s="100">
        <v>0.01</v>
      </c>
      <c r="AB167" s="100">
        <v>0.5</v>
      </c>
      <c r="AC167" s="171"/>
      <c r="AD167" s="171"/>
      <c r="AE167" s="171"/>
      <c r="AF167" s="171" t="s">
        <v>4849</v>
      </c>
      <c r="AG167" s="171" t="s">
        <v>5272</v>
      </c>
      <c r="AH167" s="171" t="s">
        <v>5272</v>
      </c>
      <c r="AI167" s="171" t="s">
        <v>4896</v>
      </c>
    </row>
    <row r="168" spans="1:35">
      <c r="A168" s="100">
        <v>549884</v>
      </c>
      <c r="B168" s="171"/>
      <c r="C168" s="100">
        <v>1</v>
      </c>
      <c r="D168" s="100">
        <v>0</v>
      </c>
      <c r="E168" s="100">
        <v>1</v>
      </c>
      <c r="F168" s="171"/>
      <c r="G168" s="171" t="s">
        <v>6172</v>
      </c>
      <c r="H168" s="171"/>
      <c r="I168" s="171" t="s">
        <v>5346</v>
      </c>
      <c r="J168" s="171"/>
      <c r="K168" s="171">
        <v>100</v>
      </c>
      <c r="L168" s="171">
        <v>114</v>
      </c>
      <c r="M168" s="171">
        <v>11401</v>
      </c>
      <c r="N168" s="171">
        <v>22002</v>
      </c>
      <c r="O168" s="171" t="s">
        <v>4368</v>
      </c>
      <c r="P168" s="171" t="s">
        <v>5266</v>
      </c>
      <c r="Q168" s="171" t="s">
        <v>4875</v>
      </c>
      <c r="R168" s="171" t="s">
        <v>4848</v>
      </c>
      <c r="S168" s="100">
        <v>5350</v>
      </c>
      <c r="T168" s="100">
        <v>0</v>
      </c>
      <c r="U168" s="100">
        <v>0</v>
      </c>
      <c r="V168" s="100">
        <v>1</v>
      </c>
      <c r="W168" s="100">
        <v>100</v>
      </c>
      <c r="X168" s="100">
        <v>0</v>
      </c>
      <c r="Y168" s="100">
        <v>100</v>
      </c>
      <c r="Z168" s="100">
        <v>0</v>
      </c>
      <c r="AA168" s="100">
        <v>0.01</v>
      </c>
      <c r="AB168" s="100">
        <v>0.5</v>
      </c>
      <c r="AC168" s="171"/>
      <c r="AD168" s="171"/>
      <c r="AE168" s="171"/>
      <c r="AF168" s="171" t="s">
        <v>4849</v>
      </c>
      <c r="AG168" s="171" t="s">
        <v>5346</v>
      </c>
      <c r="AH168" s="171" t="s">
        <v>5346</v>
      </c>
      <c r="AI168" s="171" t="s">
        <v>4896</v>
      </c>
    </row>
    <row r="169" spans="1:35">
      <c r="A169" s="100">
        <v>553058</v>
      </c>
      <c r="B169" s="171"/>
      <c r="C169" s="100">
        <v>1</v>
      </c>
      <c r="D169" s="100">
        <v>0</v>
      </c>
      <c r="E169" s="100">
        <v>0</v>
      </c>
      <c r="F169" s="171"/>
      <c r="G169" s="171"/>
      <c r="H169" s="171"/>
      <c r="I169" s="171" t="s">
        <v>5758</v>
      </c>
      <c r="J169" s="171"/>
      <c r="K169" s="171">
        <v>100</v>
      </c>
      <c r="L169" s="171">
        <v>114</v>
      </c>
      <c r="M169" s="171">
        <v>11401</v>
      </c>
      <c r="N169" s="171">
        <v>22002</v>
      </c>
      <c r="O169" s="171" t="s">
        <v>2919</v>
      </c>
      <c r="P169" s="171" t="s">
        <v>5682</v>
      </c>
      <c r="Q169" s="171" t="s">
        <v>4855</v>
      </c>
      <c r="R169" s="171" t="s">
        <v>4848</v>
      </c>
      <c r="S169" s="100">
        <v>2661</v>
      </c>
      <c r="T169" s="100">
        <v>0</v>
      </c>
      <c r="U169" s="100">
        <v>0</v>
      </c>
      <c r="V169" s="100">
        <v>1</v>
      </c>
      <c r="W169" s="100">
        <v>30</v>
      </c>
      <c r="X169" s="100">
        <v>0</v>
      </c>
      <c r="Y169" s="100">
        <v>30</v>
      </c>
      <c r="Z169" s="100">
        <v>0</v>
      </c>
      <c r="AA169" s="100">
        <v>0.01</v>
      </c>
      <c r="AB169" s="100">
        <v>0.25</v>
      </c>
      <c r="AC169" s="171"/>
      <c r="AD169" s="171"/>
      <c r="AE169" s="171"/>
      <c r="AF169" s="171" t="s">
        <v>4849</v>
      </c>
      <c r="AG169" s="171" t="s">
        <v>5758</v>
      </c>
      <c r="AH169" s="171" t="s">
        <v>5758</v>
      </c>
      <c r="AI169" s="171" t="s">
        <v>4896</v>
      </c>
    </row>
    <row r="170" spans="1:35">
      <c r="A170" s="100">
        <v>553059</v>
      </c>
      <c r="B170" s="171"/>
      <c r="C170" s="100">
        <v>1</v>
      </c>
      <c r="D170" s="100">
        <v>0</v>
      </c>
      <c r="E170" s="100">
        <v>0</v>
      </c>
      <c r="F170" s="171"/>
      <c r="G170" s="171"/>
      <c r="H170" s="171"/>
      <c r="I170" s="171" t="s">
        <v>5758</v>
      </c>
      <c r="J170" s="171"/>
      <c r="K170" s="171">
        <v>100</v>
      </c>
      <c r="L170" s="171">
        <v>114</v>
      </c>
      <c r="M170" s="171">
        <v>11401</v>
      </c>
      <c r="N170" s="171">
        <v>11405</v>
      </c>
      <c r="O170" s="171" t="s">
        <v>4604</v>
      </c>
      <c r="P170" s="171" t="s">
        <v>5684</v>
      </c>
      <c r="Q170" s="171" t="s">
        <v>4855</v>
      </c>
      <c r="R170" s="171" t="s">
        <v>4848</v>
      </c>
      <c r="S170" s="100">
        <v>3022</v>
      </c>
      <c r="T170" s="100">
        <v>0</v>
      </c>
      <c r="U170" s="100">
        <v>0</v>
      </c>
      <c r="V170" s="100">
        <v>1</v>
      </c>
      <c r="W170" s="100">
        <v>50</v>
      </c>
      <c r="X170" s="100">
        <v>0</v>
      </c>
      <c r="Y170" s="100">
        <v>50</v>
      </c>
      <c r="Z170" s="100">
        <v>0</v>
      </c>
      <c r="AA170" s="100">
        <v>0.01</v>
      </c>
      <c r="AB170" s="100">
        <v>0.42</v>
      </c>
      <c r="AC170" s="171"/>
      <c r="AD170" s="171"/>
      <c r="AE170" s="171"/>
      <c r="AF170" s="171" t="s">
        <v>4849</v>
      </c>
      <c r="AG170" s="171" t="s">
        <v>5758</v>
      </c>
      <c r="AH170" s="171" t="s">
        <v>5758</v>
      </c>
      <c r="AI170" s="171" t="s">
        <v>4896</v>
      </c>
    </row>
    <row r="171" spans="1:35">
      <c r="A171" s="100">
        <v>553063</v>
      </c>
      <c r="B171" s="171"/>
      <c r="C171" s="100">
        <v>1</v>
      </c>
      <c r="D171" s="100">
        <v>0</v>
      </c>
      <c r="E171" s="100">
        <v>0</v>
      </c>
      <c r="F171" s="171"/>
      <c r="G171" s="171"/>
      <c r="H171" s="171"/>
      <c r="I171" s="171" t="s">
        <v>5759</v>
      </c>
      <c r="J171" s="171"/>
      <c r="K171" s="171">
        <v>100</v>
      </c>
      <c r="L171" s="171">
        <v>114</v>
      </c>
      <c r="M171" s="171">
        <v>11401</v>
      </c>
      <c r="N171" s="171">
        <v>22002</v>
      </c>
      <c r="O171" s="171" t="s">
        <v>4379</v>
      </c>
      <c r="P171" s="171" t="s">
        <v>5332</v>
      </c>
      <c r="Q171" s="171" t="s">
        <v>4855</v>
      </c>
      <c r="R171" s="171" t="s">
        <v>4848</v>
      </c>
      <c r="S171" s="100">
        <v>7775</v>
      </c>
      <c r="T171" s="100">
        <v>0</v>
      </c>
      <c r="U171" s="100">
        <v>0</v>
      </c>
      <c r="V171" s="100">
        <v>1</v>
      </c>
      <c r="W171" s="100">
        <v>50</v>
      </c>
      <c r="X171" s="100">
        <v>0</v>
      </c>
      <c r="Y171" s="100">
        <v>50</v>
      </c>
      <c r="Z171" s="100">
        <v>0</v>
      </c>
      <c r="AA171" s="100">
        <v>0.01</v>
      </c>
      <c r="AB171" s="100">
        <v>0.42</v>
      </c>
      <c r="AC171" s="171"/>
      <c r="AD171" s="171"/>
      <c r="AE171" s="171"/>
      <c r="AF171" s="171" t="s">
        <v>4870</v>
      </c>
      <c r="AG171" s="171" t="s">
        <v>5759</v>
      </c>
      <c r="AH171" s="171" t="s">
        <v>5759</v>
      </c>
      <c r="AI171" s="171" t="s">
        <v>4896</v>
      </c>
    </row>
    <row r="172" spans="1:35">
      <c r="A172" s="100">
        <v>555320</v>
      </c>
      <c r="B172" s="171"/>
      <c r="C172" s="100">
        <v>1</v>
      </c>
      <c r="D172" s="100">
        <v>0</v>
      </c>
      <c r="E172" s="100">
        <v>0</v>
      </c>
      <c r="F172" s="171"/>
      <c r="G172" s="171"/>
      <c r="H172" s="171"/>
      <c r="I172" s="171" t="s">
        <v>5760</v>
      </c>
      <c r="J172" s="171"/>
      <c r="K172" s="171">
        <v>100</v>
      </c>
      <c r="L172" s="171">
        <v>114</v>
      </c>
      <c r="M172" s="171">
        <v>11401</v>
      </c>
      <c r="N172" s="171">
        <v>22002</v>
      </c>
      <c r="O172" s="171" t="s">
        <v>4316</v>
      </c>
      <c r="P172" s="171" t="s">
        <v>5269</v>
      </c>
      <c r="Q172" s="171" t="s">
        <v>4855</v>
      </c>
      <c r="R172" s="171" t="s">
        <v>4848</v>
      </c>
      <c r="S172" s="100">
        <v>14374</v>
      </c>
      <c r="T172" s="100">
        <v>0</v>
      </c>
      <c r="U172" s="100">
        <v>0</v>
      </c>
      <c r="V172" s="100">
        <v>1</v>
      </c>
      <c r="W172" s="100">
        <v>40</v>
      </c>
      <c r="X172" s="100">
        <v>0</v>
      </c>
      <c r="Y172" s="100">
        <v>40</v>
      </c>
      <c r="Z172" s="100">
        <v>0</v>
      </c>
      <c r="AA172" s="100">
        <v>0.01</v>
      </c>
      <c r="AB172" s="100">
        <v>0.33</v>
      </c>
      <c r="AC172" s="171"/>
      <c r="AD172" s="171"/>
      <c r="AE172" s="171"/>
      <c r="AF172" s="171" t="s">
        <v>4849</v>
      </c>
      <c r="AG172" s="171" t="s">
        <v>5760</v>
      </c>
      <c r="AH172" s="171" t="s">
        <v>5760</v>
      </c>
      <c r="AI172" s="171" t="s">
        <v>4896</v>
      </c>
    </row>
    <row r="173" spans="1:35">
      <c r="A173" s="100">
        <v>556945</v>
      </c>
      <c r="B173" s="171"/>
      <c r="C173" s="100">
        <v>1</v>
      </c>
      <c r="D173" s="100">
        <v>0</v>
      </c>
      <c r="E173" s="100">
        <v>0</v>
      </c>
      <c r="F173" s="171"/>
      <c r="G173" s="171"/>
      <c r="H173" s="171"/>
      <c r="I173" s="171" t="s">
        <v>5768</v>
      </c>
      <c r="J173" s="171"/>
      <c r="K173" s="171">
        <v>100</v>
      </c>
      <c r="L173" s="171">
        <v>114</v>
      </c>
      <c r="M173" s="171">
        <v>11401</v>
      </c>
      <c r="N173" s="171">
        <v>22002</v>
      </c>
      <c r="O173" s="171" t="s">
        <v>4379</v>
      </c>
      <c r="P173" s="171" t="s">
        <v>5332</v>
      </c>
      <c r="Q173" s="171" t="s">
        <v>4855</v>
      </c>
      <c r="R173" s="171" t="s">
        <v>4848</v>
      </c>
      <c r="S173" s="100">
        <v>7776</v>
      </c>
      <c r="T173" s="100">
        <v>0</v>
      </c>
      <c r="U173" s="100">
        <v>0</v>
      </c>
      <c r="V173" s="100">
        <v>1</v>
      </c>
      <c r="W173" s="100">
        <v>50</v>
      </c>
      <c r="X173" s="100">
        <v>0</v>
      </c>
      <c r="Y173" s="100">
        <v>50</v>
      </c>
      <c r="Z173" s="100">
        <v>0</v>
      </c>
      <c r="AA173" s="100">
        <v>0.01</v>
      </c>
      <c r="AB173" s="100">
        <v>0.42</v>
      </c>
      <c r="AC173" s="171"/>
      <c r="AD173" s="171"/>
      <c r="AE173" s="171"/>
      <c r="AF173" s="171" t="s">
        <v>4849</v>
      </c>
      <c r="AG173" s="171" t="s">
        <v>5768</v>
      </c>
      <c r="AH173" s="171" t="s">
        <v>5768</v>
      </c>
      <c r="AI173" s="171" t="s">
        <v>4896</v>
      </c>
    </row>
    <row r="174" spans="1:35">
      <c r="A174" s="100">
        <v>556946</v>
      </c>
      <c r="B174" s="171"/>
      <c r="C174" s="100">
        <v>1</v>
      </c>
      <c r="D174" s="100">
        <v>0</v>
      </c>
      <c r="E174" s="100">
        <v>0</v>
      </c>
      <c r="F174" s="171"/>
      <c r="G174" s="171"/>
      <c r="H174" s="171"/>
      <c r="I174" s="171" t="s">
        <v>5768</v>
      </c>
      <c r="J174" s="171"/>
      <c r="K174" s="171">
        <v>100</v>
      </c>
      <c r="L174" s="171">
        <v>114</v>
      </c>
      <c r="M174" s="171">
        <v>11401</v>
      </c>
      <c r="N174" s="171">
        <v>22002</v>
      </c>
      <c r="O174" s="171" t="s">
        <v>4379</v>
      </c>
      <c r="P174" s="171" t="s">
        <v>5332</v>
      </c>
      <c r="Q174" s="171" t="s">
        <v>4855</v>
      </c>
      <c r="R174" s="171" t="s">
        <v>4848</v>
      </c>
      <c r="S174" s="100">
        <v>7868</v>
      </c>
      <c r="T174" s="100">
        <v>0</v>
      </c>
      <c r="U174" s="100">
        <v>0</v>
      </c>
      <c r="V174" s="100">
        <v>1</v>
      </c>
      <c r="W174" s="100">
        <v>100</v>
      </c>
      <c r="X174" s="100">
        <v>0</v>
      </c>
      <c r="Y174" s="100">
        <v>100</v>
      </c>
      <c r="Z174" s="100">
        <v>0</v>
      </c>
      <c r="AA174" s="100">
        <v>0.01</v>
      </c>
      <c r="AB174" s="100">
        <v>0.83</v>
      </c>
      <c r="AC174" s="171"/>
      <c r="AD174" s="171"/>
      <c r="AE174" s="171"/>
      <c r="AF174" s="171" t="s">
        <v>4849</v>
      </c>
      <c r="AG174" s="171" t="s">
        <v>5768</v>
      </c>
      <c r="AH174" s="171" t="s">
        <v>5768</v>
      </c>
      <c r="AI174" s="171" t="s">
        <v>4896</v>
      </c>
    </row>
    <row r="175" spans="1:35">
      <c r="A175" s="100">
        <v>556948</v>
      </c>
      <c r="B175" s="171"/>
      <c r="C175" s="100">
        <v>1</v>
      </c>
      <c r="D175" s="100">
        <v>0</v>
      </c>
      <c r="E175" s="100">
        <v>0</v>
      </c>
      <c r="F175" s="171"/>
      <c r="G175" s="171"/>
      <c r="H175" s="171"/>
      <c r="I175" s="171" t="s">
        <v>5768</v>
      </c>
      <c r="J175" s="171"/>
      <c r="K175" s="171">
        <v>100</v>
      </c>
      <c r="L175" s="171">
        <v>114</v>
      </c>
      <c r="M175" s="171">
        <v>11401</v>
      </c>
      <c r="N175" s="171">
        <v>22002</v>
      </c>
      <c r="O175" s="171" t="s">
        <v>4379</v>
      </c>
      <c r="P175" s="171" t="s">
        <v>5332</v>
      </c>
      <c r="Q175" s="171" t="s">
        <v>4855</v>
      </c>
      <c r="R175" s="171" t="s">
        <v>4848</v>
      </c>
      <c r="S175" s="100">
        <v>7867</v>
      </c>
      <c r="T175" s="100">
        <v>0</v>
      </c>
      <c r="U175" s="100">
        <v>0</v>
      </c>
      <c r="V175" s="100">
        <v>1</v>
      </c>
      <c r="W175" s="100">
        <v>100</v>
      </c>
      <c r="X175" s="100">
        <v>0</v>
      </c>
      <c r="Y175" s="100">
        <v>100</v>
      </c>
      <c r="Z175" s="100">
        <v>0</v>
      </c>
      <c r="AA175" s="100">
        <v>0.01</v>
      </c>
      <c r="AB175" s="100">
        <v>0.83</v>
      </c>
      <c r="AC175" s="171"/>
      <c r="AD175" s="171"/>
      <c r="AE175" s="171"/>
      <c r="AF175" s="171" t="s">
        <v>4849</v>
      </c>
      <c r="AG175" s="171" t="s">
        <v>5768</v>
      </c>
      <c r="AH175" s="171" t="s">
        <v>5768</v>
      </c>
      <c r="AI175" s="171" t="s">
        <v>4896</v>
      </c>
    </row>
    <row r="176" spans="1:35">
      <c r="A176" s="100">
        <v>560036</v>
      </c>
      <c r="B176" s="171"/>
      <c r="C176" s="100">
        <v>1</v>
      </c>
      <c r="D176" s="100">
        <v>0</v>
      </c>
      <c r="E176" s="100">
        <v>1</v>
      </c>
      <c r="F176" s="171"/>
      <c r="G176" s="171" t="s">
        <v>6180</v>
      </c>
      <c r="H176" s="171"/>
      <c r="I176" s="171" t="s">
        <v>5763</v>
      </c>
      <c r="J176" s="171"/>
      <c r="K176" s="171">
        <v>100</v>
      </c>
      <c r="L176" s="171">
        <v>114</v>
      </c>
      <c r="M176" s="171">
        <v>11401</v>
      </c>
      <c r="N176" s="171">
        <v>22002</v>
      </c>
      <c r="O176" s="171" t="s">
        <v>4441</v>
      </c>
      <c r="P176" s="171" t="s">
        <v>5717</v>
      </c>
      <c r="Q176" s="171" t="s">
        <v>4853</v>
      </c>
      <c r="R176" s="171" t="s">
        <v>4848</v>
      </c>
      <c r="S176" s="100">
        <v>5844</v>
      </c>
      <c r="T176" s="100">
        <v>0</v>
      </c>
      <c r="U176" s="100">
        <v>0</v>
      </c>
      <c r="V176" s="100">
        <v>1</v>
      </c>
      <c r="W176" s="100">
        <v>100</v>
      </c>
      <c r="X176" s="100">
        <v>100</v>
      </c>
      <c r="Y176" s="100">
        <v>0</v>
      </c>
      <c r="Z176" s="100">
        <v>0</v>
      </c>
      <c r="AA176" s="100">
        <v>0.02</v>
      </c>
      <c r="AB176" s="100">
        <v>1.72</v>
      </c>
      <c r="AC176" s="171"/>
      <c r="AD176" s="171"/>
      <c r="AE176" s="171"/>
      <c r="AF176" s="171" t="s">
        <v>4862</v>
      </c>
      <c r="AG176" s="171" t="s">
        <v>5763</v>
      </c>
      <c r="AH176" s="171" t="s">
        <v>5763</v>
      </c>
      <c r="AI176" s="171" t="s">
        <v>4896</v>
      </c>
    </row>
    <row r="177" spans="1:35">
      <c r="A177" s="100">
        <v>564018</v>
      </c>
      <c r="B177" s="171"/>
      <c r="C177" s="100">
        <v>1</v>
      </c>
      <c r="D177" s="100">
        <v>0</v>
      </c>
      <c r="E177" s="100">
        <v>0</v>
      </c>
      <c r="F177" s="171"/>
      <c r="G177" s="171"/>
      <c r="H177" s="171"/>
      <c r="I177" s="171" t="s">
        <v>5761</v>
      </c>
      <c r="J177" s="171"/>
      <c r="K177" s="171">
        <v>100</v>
      </c>
      <c r="L177" s="171">
        <v>114</v>
      </c>
      <c r="M177" s="171">
        <v>11401</v>
      </c>
      <c r="N177" s="171">
        <v>22002</v>
      </c>
      <c r="O177" s="171" t="s">
        <v>4315</v>
      </c>
      <c r="P177" s="171" t="s">
        <v>5733</v>
      </c>
      <c r="Q177" s="171" t="s">
        <v>4855</v>
      </c>
      <c r="R177" s="171" t="s">
        <v>4848</v>
      </c>
      <c r="S177" s="100">
        <v>14371</v>
      </c>
      <c r="T177" s="100">
        <v>0</v>
      </c>
      <c r="U177" s="100">
        <v>0</v>
      </c>
      <c r="V177" s="100">
        <v>1</v>
      </c>
      <c r="W177" s="100">
        <v>120</v>
      </c>
      <c r="X177" s="100">
        <v>0</v>
      </c>
      <c r="Y177" s="100">
        <v>120</v>
      </c>
      <c r="Z177" s="100">
        <v>0</v>
      </c>
      <c r="AA177" s="100">
        <v>0.01</v>
      </c>
      <c r="AB177" s="100">
        <v>1</v>
      </c>
      <c r="AC177" s="171"/>
      <c r="AD177" s="171"/>
      <c r="AE177" s="171"/>
      <c r="AF177" s="171" t="s">
        <v>4849</v>
      </c>
      <c r="AG177" s="171" t="s">
        <v>5761</v>
      </c>
      <c r="AH177" s="171" t="s">
        <v>5761</v>
      </c>
      <c r="AI177" s="171" t="s">
        <v>4896</v>
      </c>
    </row>
    <row r="178" spans="1:35">
      <c r="A178" s="100">
        <v>564020</v>
      </c>
      <c r="B178" s="171"/>
      <c r="C178" s="100">
        <v>1</v>
      </c>
      <c r="D178" s="100">
        <v>0</v>
      </c>
      <c r="E178" s="100">
        <v>0</v>
      </c>
      <c r="F178" s="171"/>
      <c r="G178" s="171"/>
      <c r="H178" s="171"/>
      <c r="I178" s="171" t="s">
        <v>5761</v>
      </c>
      <c r="J178" s="171"/>
      <c r="K178" s="171">
        <v>100</v>
      </c>
      <c r="L178" s="171">
        <v>114</v>
      </c>
      <c r="M178" s="171">
        <v>11401</v>
      </c>
      <c r="N178" s="171">
        <v>22002</v>
      </c>
      <c r="O178" s="171" t="s">
        <v>4315</v>
      </c>
      <c r="P178" s="171" t="s">
        <v>5733</v>
      </c>
      <c r="Q178" s="171" t="s">
        <v>4855</v>
      </c>
      <c r="R178" s="171" t="s">
        <v>4848</v>
      </c>
      <c r="S178" s="100">
        <v>14372</v>
      </c>
      <c r="T178" s="100">
        <v>0</v>
      </c>
      <c r="U178" s="100">
        <v>0</v>
      </c>
      <c r="V178" s="100">
        <v>1</v>
      </c>
      <c r="W178" s="100">
        <v>120</v>
      </c>
      <c r="X178" s="100">
        <v>0</v>
      </c>
      <c r="Y178" s="100">
        <v>120</v>
      </c>
      <c r="Z178" s="100">
        <v>0</v>
      </c>
      <c r="AA178" s="100">
        <v>0.01</v>
      </c>
      <c r="AB178" s="100">
        <v>1</v>
      </c>
      <c r="AC178" s="171"/>
      <c r="AD178" s="171"/>
      <c r="AE178" s="171"/>
      <c r="AF178" s="171" t="s">
        <v>4849</v>
      </c>
      <c r="AG178" s="171" t="s">
        <v>5761</v>
      </c>
      <c r="AH178" s="171" t="s">
        <v>5761</v>
      </c>
      <c r="AI178" s="171" t="s">
        <v>4896</v>
      </c>
    </row>
    <row r="179" spans="1:35">
      <c r="A179" s="100">
        <v>569229</v>
      </c>
      <c r="B179" s="171"/>
      <c r="C179" s="100">
        <v>1</v>
      </c>
      <c r="D179" s="100">
        <v>0</v>
      </c>
      <c r="E179" s="100">
        <v>0</v>
      </c>
      <c r="F179" s="171"/>
      <c r="G179" s="171"/>
      <c r="H179" s="171"/>
      <c r="I179" s="171" t="s">
        <v>5762</v>
      </c>
      <c r="J179" s="171"/>
      <c r="K179" s="171">
        <v>100</v>
      </c>
      <c r="L179" s="171">
        <v>114</v>
      </c>
      <c r="M179" s="171">
        <v>11401</v>
      </c>
      <c r="N179" s="171">
        <v>22002</v>
      </c>
      <c r="O179" s="171" t="s">
        <v>4316</v>
      </c>
      <c r="P179" s="171" t="s">
        <v>5269</v>
      </c>
      <c r="Q179" s="171" t="s">
        <v>4855</v>
      </c>
      <c r="R179" s="171" t="s">
        <v>4848</v>
      </c>
      <c r="S179" s="100">
        <v>14373</v>
      </c>
      <c r="T179" s="100">
        <v>0</v>
      </c>
      <c r="U179" s="100">
        <v>0</v>
      </c>
      <c r="V179" s="100">
        <v>1</v>
      </c>
      <c r="W179" s="100">
        <v>40</v>
      </c>
      <c r="X179" s="100">
        <v>0</v>
      </c>
      <c r="Y179" s="100">
        <v>40</v>
      </c>
      <c r="Z179" s="100">
        <v>0</v>
      </c>
      <c r="AA179" s="100">
        <v>0.01</v>
      </c>
      <c r="AB179" s="100">
        <v>0.33</v>
      </c>
      <c r="AC179" s="171"/>
      <c r="AD179" s="171"/>
      <c r="AE179" s="171"/>
      <c r="AF179" s="171" t="s">
        <v>4849</v>
      </c>
      <c r="AG179" s="171" t="s">
        <v>5762</v>
      </c>
      <c r="AH179" s="171" t="s">
        <v>5762</v>
      </c>
      <c r="AI179" s="171" t="s">
        <v>4896</v>
      </c>
    </row>
    <row r="180" spans="1:35">
      <c r="A180" s="100">
        <v>569313</v>
      </c>
      <c r="B180" s="171"/>
      <c r="C180" s="100">
        <v>1</v>
      </c>
      <c r="D180" s="100">
        <v>0</v>
      </c>
      <c r="E180" s="100">
        <v>0</v>
      </c>
      <c r="F180" s="171"/>
      <c r="G180" s="171"/>
      <c r="H180" s="171"/>
      <c r="I180" s="171" t="s">
        <v>6165</v>
      </c>
      <c r="J180" s="171"/>
      <c r="K180" s="171">
        <v>100</v>
      </c>
      <c r="L180" s="171">
        <v>114</v>
      </c>
      <c r="M180" s="171">
        <v>11401</v>
      </c>
      <c r="N180" s="171">
        <v>22002</v>
      </c>
      <c r="O180" s="171" t="s">
        <v>6181</v>
      </c>
      <c r="P180" s="171" t="s">
        <v>5979</v>
      </c>
      <c r="Q180" s="171" t="s">
        <v>4855</v>
      </c>
      <c r="R180" s="171" t="s">
        <v>4848</v>
      </c>
      <c r="S180" s="100">
        <v>10451</v>
      </c>
      <c r="T180" s="100">
        <v>0</v>
      </c>
      <c r="U180" s="100">
        <v>0</v>
      </c>
      <c r="V180" s="100">
        <v>1</v>
      </c>
      <c r="W180" s="100">
        <v>30</v>
      </c>
      <c r="X180" s="100">
        <v>0</v>
      </c>
      <c r="Y180" s="100">
        <v>30</v>
      </c>
      <c r="Z180" s="100">
        <v>0</v>
      </c>
      <c r="AA180" s="100">
        <v>0.01</v>
      </c>
      <c r="AB180" s="100">
        <v>0.19</v>
      </c>
      <c r="AC180" s="171"/>
      <c r="AD180" s="171"/>
      <c r="AE180" s="171"/>
      <c r="AF180" s="171" t="s">
        <v>4852</v>
      </c>
      <c r="AG180" s="171" t="s">
        <v>6165</v>
      </c>
      <c r="AH180" s="171" t="s">
        <v>6165</v>
      </c>
      <c r="AI180" s="171" t="s">
        <v>4896</v>
      </c>
    </row>
    <row r="181" spans="1:35">
      <c r="A181" s="100">
        <v>569452</v>
      </c>
      <c r="B181" s="171"/>
      <c r="C181" s="100">
        <v>1</v>
      </c>
      <c r="D181" s="100">
        <v>0</v>
      </c>
      <c r="E181" s="100">
        <v>0</v>
      </c>
      <c r="F181" s="171"/>
      <c r="G181" s="171"/>
      <c r="H181" s="171"/>
      <c r="I181" s="171" t="s">
        <v>6165</v>
      </c>
      <c r="J181" s="171"/>
      <c r="K181" s="171">
        <v>100</v>
      </c>
      <c r="L181" s="171">
        <v>114</v>
      </c>
      <c r="M181" s="171">
        <v>11401</v>
      </c>
      <c r="N181" s="171">
        <v>22002</v>
      </c>
      <c r="O181" s="171" t="s">
        <v>4358</v>
      </c>
      <c r="P181" s="171" t="s">
        <v>5217</v>
      </c>
      <c r="Q181" s="171" t="s">
        <v>4855</v>
      </c>
      <c r="R181" s="171" t="s">
        <v>4848</v>
      </c>
      <c r="S181" s="100">
        <v>5371</v>
      </c>
      <c r="T181" s="100">
        <v>0</v>
      </c>
      <c r="U181" s="100">
        <v>0</v>
      </c>
      <c r="V181" s="100">
        <v>1</v>
      </c>
      <c r="W181" s="100">
        <v>50</v>
      </c>
      <c r="X181" s="100">
        <v>0</v>
      </c>
      <c r="Y181" s="100">
        <v>50</v>
      </c>
      <c r="Z181" s="100">
        <v>0</v>
      </c>
      <c r="AA181" s="100">
        <v>0.01</v>
      </c>
      <c r="AB181" s="100">
        <v>0.25</v>
      </c>
      <c r="AC181" s="171"/>
      <c r="AD181" s="171"/>
      <c r="AE181" s="171"/>
      <c r="AF181" s="171" t="s">
        <v>4849</v>
      </c>
      <c r="AG181" s="171" t="s">
        <v>6165</v>
      </c>
      <c r="AH181" s="171" t="s">
        <v>6165</v>
      </c>
      <c r="AI181" s="171" t="s">
        <v>4896</v>
      </c>
    </row>
    <row r="182" spans="1:35">
      <c r="A182" s="100">
        <v>569458</v>
      </c>
      <c r="B182" s="171"/>
      <c r="C182" s="100">
        <v>1</v>
      </c>
      <c r="D182" s="100">
        <v>0</v>
      </c>
      <c r="E182" s="100">
        <v>1</v>
      </c>
      <c r="F182" s="171"/>
      <c r="G182" s="171" t="s">
        <v>6180</v>
      </c>
      <c r="H182" s="171"/>
      <c r="I182" s="171" t="s">
        <v>6166</v>
      </c>
      <c r="J182" s="171"/>
      <c r="K182" s="171">
        <v>100</v>
      </c>
      <c r="L182" s="171">
        <v>114</v>
      </c>
      <c r="M182" s="171">
        <v>11401</v>
      </c>
      <c r="N182" s="171">
        <v>22002</v>
      </c>
      <c r="O182" s="171" t="s">
        <v>3834</v>
      </c>
      <c r="P182" s="171" t="s">
        <v>6182</v>
      </c>
      <c r="Q182" s="171" t="s">
        <v>4853</v>
      </c>
      <c r="R182" s="171" t="s">
        <v>4848</v>
      </c>
      <c r="S182" s="100">
        <v>13149</v>
      </c>
      <c r="T182" s="100">
        <v>0</v>
      </c>
      <c r="U182" s="100">
        <v>0</v>
      </c>
      <c r="V182" s="100">
        <v>1</v>
      </c>
      <c r="W182" s="100">
        <v>70</v>
      </c>
      <c r="X182" s="100">
        <v>70</v>
      </c>
      <c r="Y182" s="100">
        <v>0</v>
      </c>
      <c r="Z182" s="100">
        <v>0</v>
      </c>
      <c r="AA182" s="100">
        <v>0.01</v>
      </c>
      <c r="AB182" s="100">
        <v>0.57999999999999996</v>
      </c>
      <c r="AC182" s="171"/>
      <c r="AD182" s="171"/>
      <c r="AE182" s="171"/>
      <c r="AF182" s="171" t="s">
        <v>4852</v>
      </c>
      <c r="AG182" s="171" t="s">
        <v>6166</v>
      </c>
      <c r="AH182" s="171" t="s">
        <v>6166</v>
      </c>
      <c r="AI182" s="171" t="s">
        <v>4896</v>
      </c>
    </row>
    <row r="183" spans="1:35">
      <c r="A183" s="100">
        <v>569461</v>
      </c>
      <c r="B183" s="171"/>
      <c r="C183" s="100">
        <v>1</v>
      </c>
      <c r="D183" s="100">
        <v>0</v>
      </c>
      <c r="E183" s="100">
        <v>1</v>
      </c>
      <c r="F183" s="171"/>
      <c r="G183" s="171" t="s">
        <v>6180</v>
      </c>
      <c r="H183" s="171"/>
      <c r="I183" s="171" t="s">
        <v>6166</v>
      </c>
      <c r="J183" s="171"/>
      <c r="K183" s="171">
        <v>100</v>
      </c>
      <c r="L183" s="171">
        <v>114</v>
      </c>
      <c r="M183" s="171">
        <v>11401</v>
      </c>
      <c r="N183" s="171">
        <v>22002</v>
      </c>
      <c r="O183" s="171" t="s">
        <v>3838</v>
      </c>
      <c r="P183" s="171" t="s">
        <v>6183</v>
      </c>
      <c r="Q183" s="171" t="s">
        <v>4853</v>
      </c>
      <c r="R183" s="171" t="s">
        <v>4848</v>
      </c>
      <c r="S183" s="100">
        <v>13158</v>
      </c>
      <c r="T183" s="100">
        <v>0</v>
      </c>
      <c r="U183" s="100">
        <v>0</v>
      </c>
      <c r="V183" s="100">
        <v>1</v>
      </c>
      <c r="W183" s="100">
        <v>20</v>
      </c>
      <c r="X183" s="100">
        <v>20</v>
      </c>
      <c r="Y183" s="100">
        <v>0</v>
      </c>
      <c r="Z183" s="100">
        <v>0</v>
      </c>
      <c r="AA183" s="100">
        <v>0.01</v>
      </c>
      <c r="AB183" s="100">
        <v>0.17</v>
      </c>
      <c r="AC183" s="171"/>
      <c r="AD183" s="171"/>
      <c r="AE183" s="171"/>
      <c r="AF183" s="171" t="s">
        <v>4852</v>
      </c>
      <c r="AG183" s="171" t="s">
        <v>6166</v>
      </c>
      <c r="AH183" s="171" t="s">
        <v>6166</v>
      </c>
      <c r="AI183" s="171" t="s">
        <v>4896</v>
      </c>
    </row>
    <row r="184" spans="1:35">
      <c r="A184" s="100">
        <v>569651</v>
      </c>
      <c r="B184" s="171"/>
      <c r="C184" s="100">
        <v>1</v>
      </c>
      <c r="D184" s="100">
        <v>0</v>
      </c>
      <c r="E184" s="100">
        <v>0</v>
      </c>
      <c r="F184" s="171"/>
      <c r="G184" s="171"/>
      <c r="H184" s="171"/>
      <c r="I184" s="171" t="s">
        <v>6163</v>
      </c>
      <c r="J184" s="171"/>
      <c r="K184" s="171">
        <v>100</v>
      </c>
      <c r="L184" s="171">
        <v>114</v>
      </c>
      <c r="M184" s="171">
        <v>11401</v>
      </c>
      <c r="N184" s="171">
        <v>22002</v>
      </c>
      <c r="O184" s="171" t="s">
        <v>4380</v>
      </c>
      <c r="P184" s="171" t="s">
        <v>6007</v>
      </c>
      <c r="Q184" s="171" t="s">
        <v>4855</v>
      </c>
      <c r="R184" s="171" t="s">
        <v>4848</v>
      </c>
      <c r="S184" s="100">
        <v>7865</v>
      </c>
      <c r="T184" s="100">
        <v>0</v>
      </c>
      <c r="U184" s="100">
        <v>0</v>
      </c>
      <c r="V184" s="100">
        <v>1</v>
      </c>
      <c r="W184" s="100">
        <v>50</v>
      </c>
      <c r="X184" s="100">
        <v>0</v>
      </c>
      <c r="Y184" s="100">
        <v>50</v>
      </c>
      <c r="Z184" s="100">
        <v>0</v>
      </c>
      <c r="AA184" s="100">
        <v>0.01</v>
      </c>
      <c r="AB184" s="100">
        <v>0.42</v>
      </c>
      <c r="AC184" s="171"/>
      <c r="AD184" s="171"/>
      <c r="AE184" s="171"/>
      <c r="AF184" s="171" t="s">
        <v>4849</v>
      </c>
      <c r="AG184" s="171" t="s">
        <v>6163</v>
      </c>
      <c r="AH184" s="171" t="s">
        <v>6163</v>
      </c>
      <c r="AI184" s="171" t="s">
        <v>4896</v>
      </c>
    </row>
    <row r="185" spans="1:35">
      <c r="A185" s="100">
        <v>569654</v>
      </c>
      <c r="B185" s="171"/>
      <c r="C185" s="100">
        <v>1</v>
      </c>
      <c r="D185" s="100">
        <v>0</v>
      </c>
      <c r="E185" s="100">
        <v>0</v>
      </c>
      <c r="F185" s="171"/>
      <c r="G185" s="171"/>
      <c r="H185" s="171"/>
      <c r="I185" s="171" t="s">
        <v>6163</v>
      </c>
      <c r="J185" s="171"/>
      <c r="K185" s="171">
        <v>100</v>
      </c>
      <c r="L185" s="171">
        <v>114</v>
      </c>
      <c r="M185" s="171">
        <v>11401</v>
      </c>
      <c r="N185" s="171">
        <v>22002</v>
      </c>
      <c r="O185" s="171" t="s">
        <v>4368</v>
      </c>
      <c r="P185" s="171" t="s">
        <v>5266</v>
      </c>
      <c r="Q185" s="171" t="s">
        <v>4855</v>
      </c>
      <c r="R185" s="171" t="s">
        <v>4848</v>
      </c>
      <c r="S185" s="100">
        <v>7008</v>
      </c>
      <c r="T185" s="100">
        <v>0</v>
      </c>
      <c r="U185" s="100">
        <v>0</v>
      </c>
      <c r="V185" s="100">
        <v>1</v>
      </c>
      <c r="W185" s="100">
        <v>100</v>
      </c>
      <c r="X185" s="100">
        <v>0</v>
      </c>
      <c r="Y185" s="100">
        <v>100</v>
      </c>
      <c r="Z185" s="100">
        <v>0</v>
      </c>
      <c r="AA185" s="100">
        <v>0.01</v>
      </c>
      <c r="AB185" s="100">
        <v>0.5</v>
      </c>
      <c r="AC185" s="171"/>
      <c r="AD185" s="171"/>
      <c r="AE185" s="171"/>
      <c r="AF185" s="171" t="s">
        <v>4849</v>
      </c>
      <c r="AG185" s="171" t="s">
        <v>6163</v>
      </c>
      <c r="AH185" s="171" t="s">
        <v>6163</v>
      </c>
      <c r="AI185" s="171" t="s">
        <v>4896</v>
      </c>
    </row>
    <row r="186" spans="1:35">
      <c r="A186" s="100">
        <v>569690</v>
      </c>
      <c r="B186" s="171"/>
      <c r="C186" s="100">
        <v>1</v>
      </c>
      <c r="D186" s="100">
        <v>0</v>
      </c>
      <c r="E186" s="100">
        <v>0</v>
      </c>
      <c r="F186" s="171"/>
      <c r="G186" s="171"/>
      <c r="H186" s="171"/>
      <c r="I186" s="171" t="s">
        <v>5408</v>
      </c>
      <c r="J186" s="171"/>
      <c r="K186" s="171">
        <v>100</v>
      </c>
      <c r="L186" s="171">
        <v>114</v>
      </c>
      <c r="M186" s="171">
        <v>11401</v>
      </c>
      <c r="N186" s="171">
        <v>22002</v>
      </c>
      <c r="O186" s="171" t="s">
        <v>2927</v>
      </c>
      <c r="P186" s="171" t="s">
        <v>6020</v>
      </c>
      <c r="Q186" s="171" t="s">
        <v>4855</v>
      </c>
      <c r="R186" s="171" t="s">
        <v>4848</v>
      </c>
      <c r="S186" s="100">
        <v>6426</v>
      </c>
      <c r="T186" s="100">
        <v>0</v>
      </c>
      <c r="U186" s="100">
        <v>0</v>
      </c>
      <c r="V186" s="100">
        <v>1</v>
      </c>
      <c r="W186" s="100">
        <v>50</v>
      </c>
      <c r="X186" s="100">
        <v>0</v>
      </c>
      <c r="Y186" s="100">
        <v>50</v>
      </c>
      <c r="Z186" s="100">
        <v>0</v>
      </c>
      <c r="AA186" s="100">
        <v>0.01</v>
      </c>
      <c r="AB186" s="100">
        <v>0.42</v>
      </c>
      <c r="AC186" s="171"/>
      <c r="AD186" s="171"/>
      <c r="AE186" s="171"/>
      <c r="AF186" s="171" t="s">
        <v>4849</v>
      </c>
      <c r="AG186" s="171" t="s">
        <v>5408</v>
      </c>
      <c r="AH186" s="171" t="s">
        <v>5408</v>
      </c>
      <c r="AI186" s="171" t="s">
        <v>4896</v>
      </c>
    </row>
    <row r="187" spans="1:35">
      <c r="A187" s="100">
        <v>571778</v>
      </c>
      <c r="B187" s="171"/>
      <c r="C187" s="100">
        <v>1</v>
      </c>
      <c r="D187" s="100">
        <v>0</v>
      </c>
      <c r="E187" s="100">
        <v>0</v>
      </c>
      <c r="F187" s="171"/>
      <c r="G187" s="171"/>
      <c r="H187" s="171"/>
      <c r="I187" s="171" t="s">
        <v>6169</v>
      </c>
      <c r="J187" s="171"/>
      <c r="K187" s="171">
        <v>100</v>
      </c>
      <c r="L187" s="171">
        <v>114</v>
      </c>
      <c r="M187" s="171">
        <v>11401</v>
      </c>
      <c r="N187" s="171">
        <v>22002</v>
      </c>
      <c r="O187" s="171" t="s">
        <v>3079</v>
      </c>
      <c r="P187" s="171" t="s">
        <v>6024</v>
      </c>
      <c r="Q187" s="171" t="s">
        <v>4855</v>
      </c>
      <c r="R187" s="171" t="s">
        <v>4848</v>
      </c>
      <c r="S187" s="100">
        <v>9758</v>
      </c>
      <c r="T187" s="100">
        <v>0</v>
      </c>
      <c r="U187" s="100">
        <v>0</v>
      </c>
      <c r="V187" s="100">
        <v>1</v>
      </c>
      <c r="W187" s="100">
        <v>30</v>
      </c>
      <c r="X187" s="100">
        <v>0</v>
      </c>
      <c r="Y187" s="100">
        <v>30</v>
      </c>
      <c r="Z187" s="100">
        <v>0</v>
      </c>
      <c r="AA187" s="100">
        <v>0</v>
      </c>
      <c r="AB187" s="100">
        <v>0.13</v>
      </c>
      <c r="AC187" s="171"/>
      <c r="AD187" s="171"/>
      <c r="AE187" s="171"/>
      <c r="AF187" s="171" t="s">
        <v>4886</v>
      </c>
      <c r="AG187" s="171" t="s">
        <v>6169</v>
      </c>
      <c r="AH187" s="171" t="s">
        <v>6169</v>
      </c>
      <c r="AI187" s="171" t="s">
        <v>4896</v>
      </c>
    </row>
    <row r="188" spans="1:35">
      <c r="A188" s="100">
        <v>571780</v>
      </c>
      <c r="B188" s="171"/>
      <c r="C188" s="100">
        <v>1</v>
      </c>
      <c r="D188" s="100">
        <v>0</v>
      </c>
      <c r="E188" s="100">
        <v>0</v>
      </c>
      <c r="F188" s="171"/>
      <c r="G188" s="171"/>
      <c r="H188" s="171"/>
      <c r="I188" s="171" t="s">
        <v>6169</v>
      </c>
      <c r="J188" s="171"/>
      <c r="K188" s="171">
        <v>100</v>
      </c>
      <c r="L188" s="171">
        <v>114</v>
      </c>
      <c r="M188" s="171">
        <v>11401</v>
      </c>
      <c r="N188" s="171">
        <v>22002</v>
      </c>
      <c r="O188" s="171" t="s">
        <v>4371</v>
      </c>
      <c r="P188" s="171" t="s">
        <v>4910</v>
      </c>
      <c r="Q188" s="171" t="s">
        <v>4855</v>
      </c>
      <c r="R188" s="171" t="s">
        <v>4848</v>
      </c>
      <c r="S188" s="100">
        <v>7342</v>
      </c>
      <c r="T188" s="100">
        <v>0</v>
      </c>
      <c r="U188" s="100">
        <v>0</v>
      </c>
      <c r="V188" s="100">
        <v>1</v>
      </c>
      <c r="W188" s="100">
        <v>100</v>
      </c>
      <c r="X188" s="100">
        <v>0</v>
      </c>
      <c r="Y188" s="100">
        <v>100</v>
      </c>
      <c r="Z188" s="100">
        <v>0</v>
      </c>
      <c r="AA188" s="100">
        <v>0.01</v>
      </c>
      <c r="AB188" s="100">
        <v>0.5</v>
      </c>
      <c r="AC188" s="171"/>
      <c r="AD188" s="171"/>
      <c r="AE188" s="171"/>
      <c r="AF188" s="171" t="s">
        <v>4849</v>
      </c>
      <c r="AG188" s="171" t="s">
        <v>6169</v>
      </c>
      <c r="AH188" s="171" t="s">
        <v>6169</v>
      </c>
      <c r="AI188" s="171" t="s">
        <v>4896</v>
      </c>
    </row>
    <row r="189" spans="1:35">
      <c r="A189" s="100">
        <v>572384</v>
      </c>
      <c r="B189" s="171"/>
      <c r="C189" s="100">
        <v>1</v>
      </c>
      <c r="D189" s="100">
        <v>0</v>
      </c>
      <c r="E189" s="100">
        <v>0</v>
      </c>
      <c r="F189" s="171"/>
      <c r="G189" s="171"/>
      <c r="H189" s="171"/>
      <c r="I189" s="171" t="s">
        <v>6162</v>
      </c>
      <c r="J189" s="171"/>
      <c r="K189" s="171">
        <v>100</v>
      </c>
      <c r="L189" s="171">
        <v>114</v>
      </c>
      <c r="M189" s="171">
        <v>11401</v>
      </c>
      <c r="N189" s="171">
        <v>22002</v>
      </c>
      <c r="O189" s="171" t="s">
        <v>3820</v>
      </c>
      <c r="P189" s="171" t="s">
        <v>6040</v>
      </c>
      <c r="Q189" s="171" t="s">
        <v>4855</v>
      </c>
      <c r="R189" s="171" t="s">
        <v>4848</v>
      </c>
      <c r="S189" s="100">
        <v>12498</v>
      </c>
      <c r="T189" s="100">
        <v>0</v>
      </c>
      <c r="U189" s="100">
        <v>0</v>
      </c>
      <c r="V189" s="100">
        <v>1</v>
      </c>
      <c r="W189" s="100">
        <v>350</v>
      </c>
      <c r="X189" s="100">
        <v>0</v>
      </c>
      <c r="Y189" s="100">
        <v>350</v>
      </c>
      <c r="Z189" s="100">
        <v>0</v>
      </c>
      <c r="AA189" s="100">
        <v>0.01</v>
      </c>
      <c r="AB189" s="100">
        <v>2.63</v>
      </c>
      <c r="AC189" s="171"/>
      <c r="AD189" s="171"/>
      <c r="AE189" s="171"/>
      <c r="AF189" s="171" t="s">
        <v>4886</v>
      </c>
      <c r="AG189" s="171" t="s">
        <v>6162</v>
      </c>
      <c r="AH189" s="171" t="s">
        <v>6162</v>
      </c>
      <c r="AI189" s="171" t="s">
        <v>4896</v>
      </c>
    </row>
    <row r="190" spans="1:35">
      <c r="A190" s="100">
        <v>572877</v>
      </c>
      <c r="B190" s="171"/>
      <c r="C190" s="100">
        <v>1</v>
      </c>
      <c r="D190" s="100">
        <v>0</v>
      </c>
      <c r="E190" s="100">
        <v>0</v>
      </c>
      <c r="F190" s="171"/>
      <c r="G190" s="171"/>
      <c r="H190" s="171"/>
      <c r="I190" s="171" t="s">
        <v>6162</v>
      </c>
      <c r="J190" s="171"/>
      <c r="K190" s="171">
        <v>100</v>
      </c>
      <c r="L190" s="171">
        <v>114</v>
      </c>
      <c r="M190" s="171">
        <v>11401</v>
      </c>
      <c r="N190" s="171">
        <v>22002</v>
      </c>
      <c r="O190" s="171" t="s">
        <v>4112</v>
      </c>
      <c r="P190" s="171" t="s">
        <v>5078</v>
      </c>
      <c r="Q190" s="171" t="s">
        <v>4855</v>
      </c>
      <c r="R190" s="171" t="s">
        <v>4848</v>
      </c>
      <c r="S190" s="100">
        <v>3008</v>
      </c>
      <c r="T190" s="100">
        <v>0</v>
      </c>
      <c r="U190" s="100">
        <v>0</v>
      </c>
      <c r="V190" s="100">
        <v>1</v>
      </c>
      <c r="W190" s="100">
        <v>50</v>
      </c>
      <c r="X190" s="100">
        <v>0</v>
      </c>
      <c r="Y190" s="100">
        <v>50</v>
      </c>
      <c r="Z190" s="100">
        <v>0</v>
      </c>
      <c r="AA190" s="100">
        <v>0.04</v>
      </c>
      <c r="AB190" s="100">
        <v>1.89</v>
      </c>
      <c r="AC190" s="171"/>
      <c r="AD190" s="171"/>
      <c r="AE190" s="171"/>
      <c r="AF190" s="171" t="s">
        <v>4849</v>
      </c>
      <c r="AG190" s="171" t="s">
        <v>6162</v>
      </c>
      <c r="AH190" s="171" t="s">
        <v>6162</v>
      </c>
      <c r="AI190" s="171" t="s">
        <v>4896</v>
      </c>
    </row>
    <row r="191" spans="1:35">
      <c r="A191" s="100">
        <v>573886</v>
      </c>
      <c r="B191" s="171"/>
      <c r="C191" s="100">
        <v>1</v>
      </c>
      <c r="D191" s="100">
        <v>0</v>
      </c>
      <c r="E191" s="100">
        <v>0</v>
      </c>
      <c r="F191" s="171"/>
      <c r="G191" s="171"/>
      <c r="H191" s="171"/>
      <c r="I191" s="171" t="s">
        <v>6159</v>
      </c>
      <c r="J191" s="171"/>
      <c r="K191" s="171">
        <v>100</v>
      </c>
      <c r="L191" s="171">
        <v>114</v>
      </c>
      <c r="M191" s="171">
        <v>11401</v>
      </c>
      <c r="N191" s="171">
        <v>22002</v>
      </c>
      <c r="O191" s="171" t="s">
        <v>4264</v>
      </c>
      <c r="P191" s="171" t="s">
        <v>6062</v>
      </c>
      <c r="Q191" s="171" t="s">
        <v>4855</v>
      </c>
      <c r="R191" s="171" t="s">
        <v>4848</v>
      </c>
      <c r="S191" s="100">
        <v>7067</v>
      </c>
      <c r="T191" s="100">
        <v>0</v>
      </c>
      <c r="U191" s="100">
        <v>0</v>
      </c>
      <c r="V191" s="100">
        <v>1</v>
      </c>
      <c r="W191" s="100">
        <v>350</v>
      </c>
      <c r="X191" s="100">
        <v>0</v>
      </c>
      <c r="Y191" s="100">
        <v>350</v>
      </c>
      <c r="Z191" s="100">
        <v>0</v>
      </c>
      <c r="AA191" s="100">
        <v>0.01</v>
      </c>
      <c r="AB191" s="100">
        <v>4.67</v>
      </c>
      <c r="AC191" s="171"/>
      <c r="AD191" s="171"/>
      <c r="AE191" s="171"/>
      <c r="AF191" s="171" t="s">
        <v>4849</v>
      </c>
      <c r="AG191" s="171" t="s">
        <v>6159</v>
      </c>
      <c r="AH191" s="171" t="s">
        <v>6159</v>
      </c>
      <c r="AI191" s="171" t="s">
        <v>4896</v>
      </c>
    </row>
    <row r="192" spans="1:35">
      <c r="A192" s="100">
        <v>573888</v>
      </c>
      <c r="B192" s="171"/>
      <c r="C192" s="100">
        <v>1</v>
      </c>
      <c r="D192" s="100">
        <v>0</v>
      </c>
      <c r="E192" s="100">
        <v>0</v>
      </c>
      <c r="F192" s="171"/>
      <c r="G192" s="171"/>
      <c r="H192" s="171"/>
      <c r="I192" s="171" t="s">
        <v>6159</v>
      </c>
      <c r="J192" s="171"/>
      <c r="K192" s="171">
        <v>100</v>
      </c>
      <c r="L192" s="171">
        <v>114</v>
      </c>
      <c r="M192" s="171">
        <v>11401</v>
      </c>
      <c r="N192" s="171">
        <v>22002</v>
      </c>
      <c r="O192" s="171" t="s">
        <v>4374</v>
      </c>
      <c r="P192" s="171" t="s">
        <v>6064</v>
      </c>
      <c r="Q192" s="171" t="s">
        <v>4855</v>
      </c>
      <c r="R192" s="171" t="s">
        <v>4848</v>
      </c>
      <c r="S192" s="100">
        <v>7804</v>
      </c>
      <c r="T192" s="100">
        <v>0</v>
      </c>
      <c r="U192" s="100">
        <v>0</v>
      </c>
      <c r="V192" s="100">
        <v>1</v>
      </c>
      <c r="W192" s="100">
        <v>100</v>
      </c>
      <c r="X192" s="100">
        <v>0</v>
      </c>
      <c r="Y192" s="100">
        <v>100</v>
      </c>
      <c r="Z192" s="100">
        <v>0</v>
      </c>
      <c r="AA192" s="100">
        <v>0.01</v>
      </c>
      <c r="AB192" s="100">
        <v>0.5</v>
      </c>
      <c r="AC192" s="171"/>
      <c r="AD192" s="171"/>
      <c r="AE192" s="171"/>
      <c r="AF192" s="171" t="s">
        <v>4849</v>
      </c>
      <c r="AG192" s="171" t="s">
        <v>6159</v>
      </c>
      <c r="AH192" s="171" t="s">
        <v>6159</v>
      </c>
      <c r="AI192" s="171" t="s">
        <v>4896</v>
      </c>
    </row>
    <row r="193" spans="1:35">
      <c r="A193" s="100">
        <v>574039</v>
      </c>
      <c r="B193" s="171"/>
      <c r="C193" s="100">
        <v>1</v>
      </c>
      <c r="D193" s="100">
        <v>0</v>
      </c>
      <c r="E193" s="100">
        <v>0</v>
      </c>
      <c r="F193" s="171"/>
      <c r="G193" s="171"/>
      <c r="H193" s="171"/>
      <c r="I193" s="171" t="s">
        <v>6157</v>
      </c>
      <c r="J193" s="171"/>
      <c r="K193" s="171">
        <v>100</v>
      </c>
      <c r="L193" s="171">
        <v>114</v>
      </c>
      <c r="M193" s="171">
        <v>11401</v>
      </c>
      <c r="N193" s="171">
        <v>22002</v>
      </c>
      <c r="O193" s="171" t="s">
        <v>3005</v>
      </c>
      <c r="P193" s="171" t="s">
        <v>6070</v>
      </c>
      <c r="Q193" s="171" t="s">
        <v>4855</v>
      </c>
      <c r="R193" s="171" t="s">
        <v>4848</v>
      </c>
      <c r="S193" s="100">
        <v>10668</v>
      </c>
      <c r="T193" s="100">
        <v>0</v>
      </c>
      <c r="U193" s="100">
        <v>0</v>
      </c>
      <c r="V193" s="100">
        <v>1</v>
      </c>
      <c r="W193" s="100">
        <v>72</v>
      </c>
      <c r="X193" s="100">
        <v>0</v>
      </c>
      <c r="Y193" s="100">
        <v>72</v>
      </c>
      <c r="Z193" s="100">
        <v>0</v>
      </c>
      <c r="AA193" s="100">
        <v>0.01</v>
      </c>
      <c r="AB193" s="100">
        <v>0.6</v>
      </c>
      <c r="AC193" s="171"/>
      <c r="AD193" s="171"/>
      <c r="AE193" s="171"/>
      <c r="AF193" s="171" t="s">
        <v>4886</v>
      </c>
      <c r="AG193" s="171" t="s">
        <v>6157</v>
      </c>
      <c r="AH193" s="171" t="s">
        <v>6157</v>
      </c>
      <c r="AI193" s="171" t="s">
        <v>4896</v>
      </c>
    </row>
    <row r="194" spans="1:35">
      <c r="A194" s="100">
        <v>574059</v>
      </c>
      <c r="B194" s="171"/>
      <c r="C194" s="100">
        <v>1</v>
      </c>
      <c r="D194" s="100">
        <v>0</v>
      </c>
      <c r="E194" s="100">
        <v>0</v>
      </c>
      <c r="F194" s="171"/>
      <c r="G194" s="171"/>
      <c r="H194" s="171"/>
      <c r="I194" s="171" t="s">
        <v>6157</v>
      </c>
      <c r="J194" s="171"/>
      <c r="K194" s="171">
        <v>100</v>
      </c>
      <c r="L194" s="171">
        <v>114</v>
      </c>
      <c r="M194" s="171">
        <v>11401</v>
      </c>
      <c r="N194" s="171">
        <v>22002</v>
      </c>
      <c r="O194" s="171" t="s">
        <v>4293</v>
      </c>
      <c r="P194" s="171" t="s">
        <v>6087</v>
      </c>
      <c r="Q194" s="171" t="s">
        <v>4855</v>
      </c>
      <c r="R194" s="171" t="s">
        <v>4848</v>
      </c>
      <c r="S194" s="100">
        <v>7168</v>
      </c>
      <c r="T194" s="100">
        <v>0</v>
      </c>
      <c r="U194" s="100">
        <v>0</v>
      </c>
      <c r="V194" s="100">
        <v>1</v>
      </c>
      <c r="W194" s="100">
        <v>100</v>
      </c>
      <c r="X194" s="100">
        <v>0</v>
      </c>
      <c r="Y194" s="100">
        <v>100</v>
      </c>
      <c r="Z194" s="100">
        <v>0</v>
      </c>
      <c r="AA194" s="100">
        <v>0.02</v>
      </c>
      <c r="AB194" s="100">
        <v>1.67</v>
      </c>
      <c r="AC194" s="171"/>
      <c r="AD194" s="171"/>
      <c r="AE194" s="171"/>
      <c r="AF194" s="171" t="s">
        <v>4849</v>
      </c>
      <c r="AG194" s="171" t="s">
        <v>6157</v>
      </c>
      <c r="AH194" s="171" t="s">
        <v>6157</v>
      </c>
      <c r="AI194" s="171" t="s">
        <v>4896</v>
      </c>
    </row>
    <row r="195" spans="1:35">
      <c r="A195" s="100">
        <v>574060</v>
      </c>
      <c r="B195" s="171"/>
      <c r="C195" s="100">
        <v>1</v>
      </c>
      <c r="D195" s="100">
        <v>0</v>
      </c>
      <c r="E195" s="100">
        <v>0</v>
      </c>
      <c r="F195" s="171"/>
      <c r="G195" s="171"/>
      <c r="H195" s="171"/>
      <c r="I195" s="171" t="s">
        <v>6157</v>
      </c>
      <c r="J195" s="171"/>
      <c r="K195" s="171">
        <v>100</v>
      </c>
      <c r="L195" s="171">
        <v>114</v>
      </c>
      <c r="M195" s="171">
        <v>11401</v>
      </c>
      <c r="N195" s="171">
        <v>22002</v>
      </c>
      <c r="O195" s="171" t="s">
        <v>4368</v>
      </c>
      <c r="P195" s="171" t="s">
        <v>5266</v>
      </c>
      <c r="Q195" s="171" t="s">
        <v>4855</v>
      </c>
      <c r="R195" s="171" t="s">
        <v>4848</v>
      </c>
      <c r="S195" s="100">
        <v>7009</v>
      </c>
      <c r="T195" s="100">
        <v>0</v>
      </c>
      <c r="U195" s="100">
        <v>0</v>
      </c>
      <c r="V195" s="100">
        <v>1</v>
      </c>
      <c r="W195" s="100">
        <v>100</v>
      </c>
      <c r="X195" s="100">
        <v>0</v>
      </c>
      <c r="Y195" s="100">
        <v>100</v>
      </c>
      <c r="Z195" s="100">
        <v>0</v>
      </c>
      <c r="AA195" s="100">
        <v>0.01</v>
      </c>
      <c r="AB195" s="100">
        <v>0.5</v>
      </c>
      <c r="AC195" s="171"/>
      <c r="AD195" s="171"/>
      <c r="AE195" s="171"/>
      <c r="AF195" s="171" t="s">
        <v>4849</v>
      </c>
      <c r="AG195" s="171" t="s">
        <v>6157</v>
      </c>
      <c r="AH195" s="171" t="s">
        <v>6157</v>
      </c>
      <c r="AI195" s="171" t="s">
        <v>4896</v>
      </c>
    </row>
    <row r="196" spans="1:35">
      <c r="A196" s="100">
        <v>574215</v>
      </c>
      <c r="B196" s="171"/>
      <c r="C196" s="100">
        <v>1</v>
      </c>
      <c r="D196" s="100">
        <v>0</v>
      </c>
      <c r="E196" s="100">
        <v>0</v>
      </c>
      <c r="F196" s="171"/>
      <c r="G196" s="171"/>
      <c r="H196" s="171"/>
      <c r="I196" s="171" t="s">
        <v>6172</v>
      </c>
      <c r="J196" s="171"/>
      <c r="K196" s="171">
        <v>100</v>
      </c>
      <c r="L196" s="171">
        <v>114</v>
      </c>
      <c r="M196" s="171">
        <v>11401</v>
      </c>
      <c r="N196" s="171">
        <v>22002</v>
      </c>
      <c r="O196" s="171" t="s">
        <v>4392</v>
      </c>
      <c r="P196" s="171" t="s">
        <v>6184</v>
      </c>
      <c r="Q196" s="171" t="s">
        <v>4855</v>
      </c>
      <c r="R196" s="171" t="s">
        <v>4848</v>
      </c>
      <c r="S196" s="100">
        <v>9917</v>
      </c>
      <c r="T196" s="100">
        <v>0</v>
      </c>
      <c r="U196" s="100">
        <v>0</v>
      </c>
      <c r="V196" s="100">
        <v>1</v>
      </c>
      <c r="W196" s="100">
        <v>744</v>
      </c>
      <c r="X196" s="100">
        <v>0</v>
      </c>
      <c r="Y196" s="100">
        <v>744</v>
      </c>
      <c r="Z196" s="100">
        <v>0</v>
      </c>
      <c r="AA196" s="100">
        <v>0.01</v>
      </c>
      <c r="AB196" s="100">
        <v>6.2</v>
      </c>
      <c r="AC196" s="171"/>
      <c r="AD196" s="171"/>
      <c r="AE196" s="171"/>
      <c r="AF196" s="171" t="s">
        <v>4886</v>
      </c>
      <c r="AG196" s="171" t="s">
        <v>6172</v>
      </c>
      <c r="AH196" s="171" t="s">
        <v>6172</v>
      </c>
      <c r="AI196" s="171" t="s">
        <v>4896</v>
      </c>
    </row>
    <row r="197" spans="1:35">
      <c r="A197" s="100">
        <v>574219</v>
      </c>
      <c r="B197" s="171"/>
      <c r="C197" s="100">
        <v>1</v>
      </c>
      <c r="D197" s="100">
        <v>0</v>
      </c>
      <c r="E197" s="100">
        <v>0</v>
      </c>
      <c r="F197" s="171"/>
      <c r="G197" s="171"/>
      <c r="H197" s="171"/>
      <c r="I197" s="171" t="s">
        <v>6172</v>
      </c>
      <c r="J197" s="171"/>
      <c r="K197" s="171">
        <v>100</v>
      </c>
      <c r="L197" s="171">
        <v>114</v>
      </c>
      <c r="M197" s="171">
        <v>11401</v>
      </c>
      <c r="N197" s="171">
        <v>22002</v>
      </c>
      <c r="O197" s="171" t="s">
        <v>4363</v>
      </c>
      <c r="P197" s="171" t="s">
        <v>6121</v>
      </c>
      <c r="Q197" s="171" t="s">
        <v>4855</v>
      </c>
      <c r="R197" s="171" t="s">
        <v>4848</v>
      </c>
      <c r="S197" s="100">
        <v>9383</v>
      </c>
      <c r="T197" s="100">
        <v>0</v>
      </c>
      <c r="U197" s="100">
        <v>0</v>
      </c>
      <c r="V197" s="100">
        <v>1</v>
      </c>
      <c r="W197" s="100">
        <v>156</v>
      </c>
      <c r="X197" s="100">
        <v>0</v>
      </c>
      <c r="Y197" s="100">
        <v>156</v>
      </c>
      <c r="Z197" s="100">
        <v>0</v>
      </c>
      <c r="AA197" s="100">
        <v>0.01</v>
      </c>
      <c r="AB197" s="100">
        <v>0.78</v>
      </c>
      <c r="AC197" s="171"/>
      <c r="AD197" s="171"/>
      <c r="AE197" s="171"/>
      <c r="AF197" s="171" t="s">
        <v>4886</v>
      </c>
      <c r="AG197" s="171" t="s">
        <v>6172</v>
      </c>
      <c r="AH197" s="171" t="s">
        <v>6172</v>
      </c>
      <c r="AI197" s="171" t="s">
        <v>4896</v>
      </c>
    </row>
    <row r="198" spans="1:35">
      <c r="A198" s="100">
        <v>576233</v>
      </c>
      <c r="B198" s="171"/>
      <c r="C198" s="100">
        <v>1</v>
      </c>
      <c r="D198" s="100">
        <v>0</v>
      </c>
      <c r="E198" s="100">
        <v>0</v>
      </c>
      <c r="F198" s="171"/>
      <c r="G198" s="171"/>
      <c r="H198" s="171"/>
      <c r="I198" s="171" t="s">
        <v>6160</v>
      </c>
      <c r="J198" s="171"/>
      <c r="K198" s="171">
        <v>100</v>
      </c>
      <c r="L198" s="171">
        <v>114</v>
      </c>
      <c r="M198" s="171">
        <v>11401</v>
      </c>
      <c r="N198" s="171">
        <v>22002</v>
      </c>
      <c r="O198" s="171" t="s">
        <v>3892</v>
      </c>
      <c r="P198" s="171" t="s">
        <v>6126</v>
      </c>
      <c r="Q198" s="171" t="s">
        <v>4855</v>
      </c>
      <c r="R198" s="171" t="s">
        <v>4848</v>
      </c>
      <c r="S198" s="100">
        <v>13221</v>
      </c>
      <c r="T198" s="100">
        <v>0</v>
      </c>
      <c r="U198" s="100">
        <v>0</v>
      </c>
      <c r="V198" s="100">
        <v>1</v>
      </c>
      <c r="W198" s="100">
        <v>30</v>
      </c>
      <c r="X198" s="100">
        <v>0</v>
      </c>
      <c r="Y198" s="100">
        <v>30</v>
      </c>
      <c r="Z198" s="100">
        <v>0</v>
      </c>
      <c r="AA198" s="100">
        <v>0.01</v>
      </c>
      <c r="AB198" s="100">
        <v>0.25</v>
      </c>
      <c r="AC198" s="171"/>
      <c r="AD198" s="171"/>
      <c r="AE198" s="171"/>
      <c r="AF198" s="171" t="s">
        <v>4852</v>
      </c>
      <c r="AG198" s="171" t="s">
        <v>6160</v>
      </c>
      <c r="AH198" s="171" t="s">
        <v>6160</v>
      </c>
      <c r="AI198" s="171" t="s">
        <v>4896</v>
      </c>
    </row>
    <row r="199" spans="1:35">
      <c r="A199" s="100">
        <v>576234</v>
      </c>
      <c r="B199" s="171"/>
      <c r="C199" s="100">
        <v>1</v>
      </c>
      <c r="D199" s="100">
        <v>0</v>
      </c>
      <c r="E199" s="100">
        <v>0</v>
      </c>
      <c r="F199" s="171"/>
      <c r="G199" s="171"/>
      <c r="H199" s="171"/>
      <c r="I199" s="171" t="s">
        <v>6160</v>
      </c>
      <c r="J199" s="171"/>
      <c r="K199" s="171">
        <v>100</v>
      </c>
      <c r="L199" s="171">
        <v>114</v>
      </c>
      <c r="M199" s="171">
        <v>11401</v>
      </c>
      <c r="N199" s="171">
        <v>22002</v>
      </c>
      <c r="O199" s="171" t="s">
        <v>3837</v>
      </c>
      <c r="P199" s="171" t="s">
        <v>6128</v>
      </c>
      <c r="Q199" s="171" t="s">
        <v>4855</v>
      </c>
      <c r="R199" s="171" t="s">
        <v>4848</v>
      </c>
      <c r="S199" s="100">
        <v>13155</v>
      </c>
      <c r="T199" s="100">
        <v>0</v>
      </c>
      <c r="U199" s="100">
        <v>0</v>
      </c>
      <c r="V199" s="100">
        <v>1</v>
      </c>
      <c r="W199" s="100">
        <v>40</v>
      </c>
      <c r="X199" s="100">
        <v>0</v>
      </c>
      <c r="Y199" s="100">
        <v>40</v>
      </c>
      <c r="Z199" s="100">
        <v>0</v>
      </c>
      <c r="AA199" s="100">
        <v>0.01</v>
      </c>
      <c r="AB199" s="100">
        <v>0.33</v>
      </c>
      <c r="AC199" s="171"/>
      <c r="AD199" s="171"/>
      <c r="AE199" s="171"/>
      <c r="AF199" s="171" t="s">
        <v>4852</v>
      </c>
      <c r="AG199" s="171" t="s">
        <v>6160</v>
      </c>
      <c r="AH199" s="171" t="s">
        <v>6160</v>
      </c>
      <c r="AI199" s="171" t="s">
        <v>4896</v>
      </c>
    </row>
    <row r="200" spans="1:35">
      <c r="A200" s="100">
        <v>576235</v>
      </c>
      <c r="B200" s="171"/>
      <c r="C200" s="100">
        <v>1</v>
      </c>
      <c r="D200" s="100">
        <v>0</v>
      </c>
      <c r="E200" s="100">
        <v>0</v>
      </c>
      <c r="F200" s="171"/>
      <c r="G200" s="171"/>
      <c r="H200" s="171"/>
      <c r="I200" s="171" t="s">
        <v>6160</v>
      </c>
      <c r="J200" s="171"/>
      <c r="K200" s="171">
        <v>100</v>
      </c>
      <c r="L200" s="171">
        <v>114</v>
      </c>
      <c r="M200" s="171">
        <v>11401</v>
      </c>
      <c r="N200" s="171">
        <v>22002</v>
      </c>
      <c r="O200" s="171" t="s">
        <v>3835</v>
      </c>
      <c r="P200" s="171" t="s">
        <v>6130</v>
      </c>
      <c r="Q200" s="171" t="s">
        <v>4855</v>
      </c>
      <c r="R200" s="171" t="s">
        <v>4848</v>
      </c>
      <c r="S200" s="100">
        <v>13152</v>
      </c>
      <c r="T200" s="100">
        <v>0</v>
      </c>
      <c r="U200" s="100">
        <v>0</v>
      </c>
      <c r="V200" s="100">
        <v>1</v>
      </c>
      <c r="W200" s="100">
        <v>40</v>
      </c>
      <c r="X200" s="100">
        <v>0</v>
      </c>
      <c r="Y200" s="100">
        <v>40</v>
      </c>
      <c r="Z200" s="100">
        <v>0</v>
      </c>
      <c r="AA200" s="100">
        <v>0.01</v>
      </c>
      <c r="AB200" s="100">
        <v>0.33</v>
      </c>
      <c r="AC200" s="171"/>
      <c r="AD200" s="171"/>
      <c r="AE200" s="171"/>
      <c r="AF200" s="171" t="s">
        <v>4852</v>
      </c>
      <c r="AG200" s="171" t="s">
        <v>6160</v>
      </c>
      <c r="AH200" s="171" t="s">
        <v>6160</v>
      </c>
      <c r="AI200" s="171" t="s">
        <v>4896</v>
      </c>
    </row>
    <row r="201" spans="1:35">
      <c r="A201" s="100">
        <v>576236</v>
      </c>
      <c r="B201" s="171"/>
      <c r="C201" s="100">
        <v>1</v>
      </c>
      <c r="D201" s="100">
        <v>0</v>
      </c>
      <c r="E201" s="100">
        <v>0</v>
      </c>
      <c r="F201" s="171"/>
      <c r="G201" s="171"/>
      <c r="H201" s="171"/>
      <c r="I201" s="171" t="s">
        <v>6160</v>
      </c>
      <c r="J201" s="171"/>
      <c r="K201" s="171">
        <v>100</v>
      </c>
      <c r="L201" s="171">
        <v>114</v>
      </c>
      <c r="M201" s="171">
        <v>11401</v>
      </c>
      <c r="N201" s="171">
        <v>22002</v>
      </c>
      <c r="O201" s="171" t="s">
        <v>3841</v>
      </c>
      <c r="P201" s="171" t="s">
        <v>6132</v>
      </c>
      <c r="Q201" s="171" t="s">
        <v>4855</v>
      </c>
      <c r="R201" s="171" t="s">
        <v>4848</v>
      </c>
      <c r="S201" s="100">
        <v>13200</v>
      </c>
      <c r="T201" s="100">
        <v>0</v>
      </c>
      <c r="U201" s="100">
        <v>0</v>
      </c>
      <c r="V201" s="100">
        <v>1</v>
      </c>
      <c r="W201" s="100">
        <v>60</v>
      </c>
      <c r="X201" s="100">
        <v>0</v>
      </c>
      <c r="Y201" s="100">
        <v>60</v>
      </c>
      <c r="Z201" s="100">
        <v>0</v>
      </c>
      <c r="AA201" s="100">
        <v>0</v>
      </c>
      <c r="AB201" s="100">
        <v>0.23</v>
      </c>
      <c r="AC201" s="171"/>
      <c r="AD201" s="171"/>
      <c r="AE201" s="171"/>
      <c r="AF201" s="171" t="s">
        <v>4852</v>
      </c>
      <c r="AG201" s="171" t="s">
        <v>6160</v>
      </c>
      <c r="AH201" s="171" t="s">
        <v>6160</v>
      </c>
      <c r="AI201" s="171" t="s">
        <v>4896</v>
      </c>
    </row>
    <row r="202" spans="1:35">
      <c r="A202" s="100">
        <v>576237</v>
      </c>
      <c r="B202" s="171"/>
      <c r="C202" s="100">
        <v>1</v>
      </c>
      <c r="D202" s="100">
        <v>0</v>
      </c>
      <c r="E202" s="100">
        <v>0</v>
      </c>
      <c r="F202" s="171"/>
      <c r="G202" s="171"/>
      <c r="H202" s="171"/>
      <c r="I202" s="171" t="s">
        <v>6160</v>
      </c>
      <c r="J202" s="171"/>
      <c r="K202" s="171">
        <v>100</v>
      </c>
      <c r="L202" s="171">
        <v>114</v>
      </c>
      <c r="M202" s="171">
        <v>11401</v>
      </c>
      <c r="N202" s="171">
        <v>22002</v>
      </c>
      <c r="O202" s="171" t="s">
        <v>3836</v>
      </c>
      <c r="P202" s="171" t="s">
        <v>6134</v>
      </c>
      <c r="Q202" s="171" t="s">
        <v>4855</v>
      </c>
      <c r="R202" s="171" t="s">
        <v>4848</v>
      </c>
      <c r="S202" s="100">
        <v>13153</v>
      </c>
      <c r="T202" s="100">
        <v>0</v>
      </c>
      <c r="U202" s="100">
        <v>0</v>
      </c>
      <c r="V202" s="100">
        <v>1</v>
      </c>
      <c r="W202" s="100">
        <v>100</v>
      </c>
      <c r="X202" s="100">
        <v>0</v>
      </c>
      <c r="Y202" s="100">
        <v>100</v>
      </c>
      <c r="Z202" s="100">
        <v>0</v>
      </c>
      <c r="AA202" s="100">
        <v>0.01</v>
      </c>
      <c r="AB202" s="100">
        <v>0.83</v>
      </c>
      <c r="AC202" s="171"/>
      <c r="AD202" s="171"/>
      <c r="AE202" s="171"/>
      <c r="AF202" s="171" t="s">
        <v>4852</v>
      </c>
      <c r="AG202" s="171" t="s">
        <v>6160</v>
      </c>
      <c r="AH202" s="171" t="s">
        <v>6160</v>
      </c>
      <c r="AI202" s="171" t="s">
        <v>4896</v>
      </c>
    </row>
    <row r="203" spans="1:35">
      <c r="A203" s="100">
        <v>576238</v>
      </c>
      <c r="B203" s="171"/>
      <c r="C203" s="100">
        <v>1</v>
      </c>
      <c r="D203" s="100">
        <v>0</v>
      </c>
      <c r="E203" s="100">
        <v>0</v>
      </c>
      <c r="F203" s="171"/>
      <c r="G203" s="171"/>
      <c r="H203" s="171"/>
      <c r="I203" s="171" t="s">
        <v>6160</v>
      </c>
      <c r="J203" s="171"/>
      <c r="K203" s="171">
        <v>100</v>
      </c>
      <c r="L203" s="171">
        <v>114</v>
      </c>
      <c r="M203" s="171">
        <v>11401</v>
      </c>
      <c r="N203" s="171">
        <v>22002</v>
      </c>
      <c r="O203" s="171" t="s">
        <v>3850</v>
      </c>
      <c r="P203" s="171" t="s">
        <v>6136</v>
      </c>
      <c r="Q203" s="171" t="s">
        <v>4855</v>
      </c>
      <c r="R203" s="171" t="s">
        <v>4848</v>
      </c>
      <c r="S203" s="100">
        <v>13718</v>
      </c>
      <c r="T203" s="100">
        <v>0</v>
      </c>
      <c r="U203" s="100">
        <v>0</v>
      </c>
      <c r="V203" s="100">
        <v>1</v>
      </c>
      <c r="W203" s="100">
        <v>20</v>
      </c>
      <c r="X203" s="100">
        <v>0</v>
      </c>
      <c r="Y203" s="100">
        <v>20</v>
      </c>
      <c r="Z203" s="100">
        <v>0</v>
      </c>
      <c r="AA203" s="100">
        <v>0.01</v>
      </c>
      <c r="AB203" s="100">
        <v>0.17</v>
      </c>
      <c r="AC203" s="171"/>
      <c r="AD203" s="171"/>
      <c r="AE203" s="171"/>
      <c r="AF203" s="171" t="s">
        <v>4852</v>
      </c>
      <c r="AG203" s="171" t="s">
        <v>6160</v>
      </c>
      <c r="AH203" s="171" t="s">
        <v>6160</v>
      </c>
      <c r="AI203" s="171" t="s">
        <v>4896</v>
      </c>
    </row>
    <row r="204" spans="1:35">
      <c r="A204" s="100">
        <v>576239</v>
      </c>
      <c r="B204" s="171"/>
      <c r="C204" s="100">
        <v>1</v>
      </c>
      <c r="D204" s="100">
        <v>0</v>
      </c>
      <c r="E204" s="100">
        <v>1</v>
      </c>
      <c r="F204" s="171"/>
      <c r="G204" s="171" t="s">
        <v>6173</v>
      </c>
      <c r="H204" s="171"/>
      <c r="I204" s="171" t="s">
        <v>6160</v>
      </c>
      <c r="J204" s="171"/>
      <c r="K204" s="171">
        <v>100</v>
      </c>
      <c r="L204" s="171">
        <v>114</v>
      </c>
      <c r="M204" s="171">
        <v>11401</v>
      </c>
      <c r="N204" s="171">
        <v>22002</v>
      </c>
      <c r="O204" s="171" t="s">
        <v>3888</v>
      </c>
      <c r="P204" s="171" t="s">
        <v>5971</v>
      </c>
      <c r="Q204" s="171" t="s">
        <v>4853</v>
      </c>
      <c r="R204" s="171" t="s">
        <v>4848</v>
      </c>
      <c r="S204" s="100">
        <v>13161</v>
      </c>
      <c r="T204" s="100">
        <v>0</v>
      </c>
      <c r="U204" s="100">
        <v>0</v>
      </c>
      <c r="V204" s="100">
        <v>1</v>
      </c>
      <c r="W204" s="100">
        <v>100</v>
      </c>
      <c r="X204" s="100">
        <v>100</v>
      </c>
      <c r="Y204" s="100">
        <v>0</v>
      </c>
      <c r="Z204" s="100">
        <v>0</v>
      </c>
      <c r="AA204" s="100">
        <v>0.01</v>
      </c>
      <c r="AB204" s="100">
        <v>0.83</v>
      </c>
      <c r="AC204" s="171"/>
      <c r="AD204" s="171"/>
      <c r="AE204" s="171"/>
      <c r="AF204" s="171" t="s">
        <v>4852</v>
      </c>
      <c r="AG204" s="171" t="s">
        <v>6160</v>
      </c>
      <c r="AH204" s="171" t="s">
        <v>6160</v>
      </c>
      <c r="AI204" s="171" t="s">
        <v>4896</v>
      </c>
    </row>
    <row r="205" spans="1:35">
      <c r="A205" s="100">
        <v>576240</v>
      </c>
      <c r="B205" s="171"/>
      <c r="C205" s="100">
        <v>1</v>
      </c>
      <c r="D205" s="100">
        <v>0</v>
      </c>
      <c r="E205" s="100">
        <v>1791992197</v>
      </c>
      <c r="F205" s="171"/>
      <c r="G205" s="171" t="s">
        <v>6173</v>
      </c>
      <c r="H205" s="171"/>
      <c r="I205" s="171" t="s">
        <v>6160</v>
      </c>
      <c r="J205" s="171"/>
      <c r="K205" s="171">
        <v>100</v>
      </c>
      <c r="L205" s="171">
        <v>114</v>
      </c>
      <c r="M205" s="171">
        <v>11401</v>
      </c>
      <c r="N205" s="171">
        <v>22002</v>
      </c>
      <c r="O205" s="171" t="s">
        <v>3888</v>
      </c>
      <c r="P205" s="171" t="s">
        <v>5971</v>
      </c>
      <c r="Q205" s="171" t="s">
        <v>4853</v>
      </c>
      <c r="R205" s="171" t="s">
        <v>4848</v>
      </c>
      <c r="S205" s="100">
        <v>13162</v>
      </c>
      <c r="T205" s="100">
        <v>0</v>
      </c>
      <c r="U205" s="100">
        <v>0</v>
      </c>
      <c r="V205" s="100">
        <v>1</v>
      </c>
      <c r="W205" s="100">
        <v>100</v>
      </c>
      <c r="X205" s="100">
        <v>100</v>
      </c>
      <c r="Y205" s="100">
        <v>0</v>
      </c>
      <c r="Z205" s="100">
        <v>0</v>
      </c>
      <c r="AA205" s="100">
        <v>0.01</v>
      </c>
      <c r="AB205" s="100">
        <v>0.83</v>
      </c>
      <c r="AC205" s="171"/>
      <c r="AD205" s="171"/>
      <c r="AE205" s="171"/>
      <c r="AF205" s="171" t="s">
        <v>4852</v>
      </c>
      <c r="AG205" s="171" t="s">
        <v>6160</v>
      </c>
      <c r="AH205" s="171" t="s">
        <v>6160</v>
      </c>
      <c r="AI205" s="171" t="s">
        <v>4896</v>
      </c>
    </row>
    <row r="206" spans="1:35">
      <c r="A206" s="100">
        <v>576241</v>
      </c>
      <c r="B206" s="171"/>
      <c r="C206" s="100">
        <v>1</v>
      </c>
      <c r="D206" s="100">
        <v>0</v>
      </c>
      <c r="E206" s="100">
        <v>0</v>
      </c>
      <c r="F206" s="171"/>
      <c r="G206" s="171"/>
      <c r="H206" s="171"/>
      <c r="I206" s="171" t="s">
        <v>6160</v>
      </c>
      <c r="J206" s="171"/>
      <c r="K206" s="171">
        <v>100</v>
      </c>
      <c r="L206" s="171">
        <v>114</v>
      </c>
      <c r="M206" s="171">
        <v>11401</v>
      </c>
      <c r="N206" s="171">
        <v>22002</v>
      </c>
      <c r="O206" s="171" t="s">
        <v>3851</v>
      </c>
      <c r="P206" s="171" t="s">
        <v>6138</v>
      </c>
      <c r="Q206" s="171" t="s">
        <v>4855</v>
      </c>
      <c r="R206" s="171" t="s">
        <v>4848</v>
      </c>
      <c r="S206" s="100">
        <v>13721</v>
      </c>
      <c r="T206" s="100">
        <v>0</v>
      </c>
      <c r="U206" s="100">
        <v>0</v>
      </c>
      <c r="V206" s="100">
        <v>1</v>
      </c>
      <c r="W206" s="100">
        <v>100</v>
      </c>
      <c r="X206" s="100">
        <v>0</v>
      </c>
      <c r="Y206" s="100">
        <v>100</v>
      </c>
      <c r="Z206" s="100">
        <v>0</v>
      </c>
      <c r="AA206" s="100">
        <v>0.01</v>
      </c>
      <c r="AB206" s="100">
        <v>0.83</v>
      </c>
      <c r="AC206" s="171"/>
      <c r="AD206" s="171"/>
      <c r="AE206" s="171"/>
      <c r="AF206" s="171" t="s">
        <v>4852</v>
      </c>
      <c r="AG206" s="171" t="s">
        <v>6160</v>
      </c>
      <c r="AH206" s="171" t="s">
        <v>6160</v>
      </c>
      <c r="AI206" s="171" t="s">
        <v>4896</v>
      </c>
    </row>
    <row r="207" spans="1:35">
      <c r="A207" s="100">
        <v>576242</v>
      </c>
      <c r="B207" s="171"/>
      <c r="C207" s="100">
        <v>1</v>
      </c>
      <c r="D207" s="100">
        <v>0</v>
      </c>
      <c r="E207" s="100">
        <v>0</v>
      </c>
      <c r="F207" s="171"/>
      <c r="G207" s="171"/>
      <c r="H207" s="171"/>
      <c r="I207" s="171" t="s">
        <v>6160</v>
      </c>
      <c r="J207" s="171"/>
      <c r="K207" s="171">
        <v>100</v>
      </c>
      <c r="L207" s="171">
        <v>114</v>
      </c>
      <c r="M207" s="171">
        <v>11401</v>
      </c>
      <c r="N207" s="171">
        <v>22002</v>
      </c>
      <c r="O207" s="171" t="s">
        <v>3849</v>
      </c>
      <c r="P207" s="171" t="s">
        <v>6140</v>
      </c>
      <c r="Q207" s="171" t="s">
        <v>4855</v>
      </c>
      <c r="R207" s="171" t="s">
        <v>4848</v>
      </c>
      <c r="S207" s="100">
        <v>13673</v>
      </c>
      <c r="T207" s="100">
        <v>0</v>
      </c>
      <c r="U207" s="100">
        <v>0</v>
      </c>
      <c r="V207" s="100">
        <v>1</v>
      </c>
      <c r="W207" s="100">
        <v>70</v>
      </c>
      <c r="X207" s="100">
        <v>0</v>
      </c>
      <c r="Y207" s="100">
        <v>70</v>
      </c>
      <c r="Z207" s="100">
        <v>0</v>
      </c>
      <c r="AA207" s="100">
        <v>0.01</v>
      </c>
      <c r="AB207" s="100">
        <v>0.57999999999999996</v>
      </c>
      <c r="AC207" s="171"/>
      <c r="AD207" s="171"/>
      <c r="AE207" s="171"/>
      <c r="AF207" s="171" t="s">
        <v>4852</v>
      </c>
      <c r="AG207" s="171" t="s">
        <v>6160</v>
      </c>
      <c r="AH207" s="171" t="s">
        <v>6160</v>
      </c>
      <c r="AI207" s="171" t="s">
        <v>4896</v>
      </c>
    </row>
    <row r="208" spans="1:35">
      <c r="A208" s="100">
        <v>576243</v>
      </c>
      <c r="B208" s="171"/>
      <c r="C208" s="100">
        <v>1</v>
      </c>
      <c r="D208" s="100">
        <v>0</v>
      </c>
      <c r="E208" s="100">
        <v>0</v>
      </c>
      <c r="F208" s="171"/>
      <c r="G208" s="171"/>
      <c r="H208" s="171"/>
      <c r="I208" s="171" t="s">
        <v>6160</v>
      </c>
      <c r="J208" s="171"/>
      <c r="K208" s="171">
        <v>100</v>
      </c>
      <c r="L208" s="171">
        <v>114</v>
      </c>
      <c r="M208" s="171">
        <v>11401</v>
      </c>
      <c r="N208" s="171">
        <v>22002</v>
      </c>
      <c r="O208" s="171" t="s">
        <v>3890</v>
      </c>
      <c r="P208" s="171" t="s">
        <v>6142</v>
      </c>
      <c r="Q208" s="171" t="s">
        <v>4855</v>
      </c>
      <c r="R208" s="171" t="s">
        <v>4848</v>
      </c>
      <c r="S208" s="100">
        <v>13223</v>
      </c>
      <c r="T208" s="100">
        <v>0</v>
      </c>
      <c r="U208" s="100">
        <v>0</v>
      </c>
      <c r="V208" s="100">
        <v>1</v>
      </c>
      <c r="W208" s="100">
        <v>110</v>
      </c>
      <c r="X208" s="100">
        <v>0</v>
      </c>
      <c r="Y208" s="100">
        <v>110</v>
      </c>
      <c r="Z208" s="100">
        <v>0</v>
      </c>
      <c r="AA208" s="100">
        <v>0.01</v>
      </c>
      <c r="AB208" s="100">
        <v>0.92</v>
      </c>
      <c r="AC208" s="171"/>
      <c r="AD208" s="171"/>
      <c r="AE208" s="171"/>
      <c r="AF208" s="171" t="s">
        <v>4852</v>
      </c>
      <c r="AG208" s="171" t="s">
        <v>6160</v>
      </c>
      <c r="AH208" s="171" t="s">
        <v>6160</v>
      </c>
      <c r="AI208" s="171" t="s">
        <v>4896</v>
      </c>
    </row>
    <row r="209" spans="1:35">
      <c r="A209" s="100">
        <v>576244</v>
      </c>
      <c r="B209" s="171"/>
      <c r="C209" s="100">
        <v>1</v>
      </c>
      <c r="D209" s="100">
        <v>0</v>
      </c>
      <c r="E209" s="100">
        <v>0</v>
      </c>
      <c r="F209" s="171"/>
      <c r="G209" s="171"/>
      <c r="H209" s="171"/>
      <c r="I209" s="171" t="s">
        <v>6160</v>
      </c>
      <c r="J209" s="171"/>
      <c r="K209" s="171">
        <v>100</v>
      </c>
      <c r="L209" s="171">
        <v>114</v>
      </c>
      <c r="M209" s="171">
        <v>11401</v>
      </c>
      <c r="N209" s="171">
        <v>22002</v>
      </c>
      <c r="O209" s="171" t="s">
        <v>2107</v>
      </c>
      <c r="P209" s="171" t="s">
        <v>6144</v>
      </c>
      <c r="Q209" s="171" t="s">
        <v>4855</v>
      </c>
      <c r="R209" s="171" t="s">
        <v>4848</v>
      </c>
      <c r="S209" s="100">
        <v>11742</v>
      </c>
      <c r="T209" s="100">
        <v>0</v>
      </c>
      <c r="U209" s="100">
        <v>0</v>
      </c>
      <c r="V209" s="100">
        <v>1</v>
      </c>
      <c r="W209" s="100">
        <v>252</v>
      </c>
      <c r="X209" s="100">
        <v>0</v>
      </c>
      <c r="Y209" s="100">
        <v>252</v>
      </c>
      <c r="Z209" s="100">
        <v>0</v>
      </c>
      <c r="AA209" s="100">
        <v>0.01</v>
      </c>
      <c r="AB209" s="100">
        <v>1.68</v>
      </c>
      <c r="AC209" s="171"/>
      <c r="AD209" s="171"/>
      <c r="AE209" s="171"/>
      <c r="AF209" s="171" t="s">
        <v>4866</v>
      </c>
      <c r="AG209" s="171" t="s">
        <v>6160</v>
      </c>
      <c r="AH209" s="171" t="s">
        <v>6160</v>
      </c>
      <c r="AI209" s="171" t="s">
        <v>4896</v>
      </c>
    </row>
    <row r="210" spans="1:35">
      <c r="A210" s="100">
        <v>576245</v>
      </c>
      <c r="B210" s="171"/>
      <c r="C210" s="100">
        <v>1</v>
      </c>
      <c r="D210" s="100">
        <v>0</v>
      </c>
      <c r="E210" s="100">
        <v>0</v>
      </c>
      <c r="F210" s="171"/>
      <c r="G210" s="171"/>
      <c r="H210" s="171"/>
      <c r="I210" s="171" t="s">
        <v>6160</v>
      </c>
      <c r="J210" s="171"/>
      <c r="K210" s="171">
        <v>100</v>
      </c>
      <c r="L210" s="171">
        <v>114</v>
      </c>
      <c r="M210" s="171">
        <v>11401</v>
      </c>
      <c r="N210" s="171">
        <v>22002</v>
      </c>
      <c r="O210" s="171" t="s">
        <v>3335</v>
      </c>
      <c r="P210" s="171" t="s">
        <v>6147</v>
      </c>
      <c r="Q210" s="171" t="s">
        <v>4855</v>
      </c>
      <c r="R210" s="171" t="s">
        <v>4848</v>
      </c>
      <c r="S210" s="100">
        <v>11709</v>
      </c>
      <c r="T210" s="100">
        <v>0</v>
      </c>
      <c r="U210" s="100">
        <v>0</v>
      </c>
      <c r="V210" s="100">
        <v>1</v>
      </c>
      <c r="W210" s="100">
        <v>192</v>
      </c>
      <c r="X210" s="100">
        <v>0</v>
      </c>
      <c r="Y210" s="100">
        <v>192</v>
      </c>
      <c r="Z210" s="100">
        <v>0</v>
      </c>
      <c r="AA210" s="100">
        <v>0.01</v>
      </c>
      <c r="AB210" s="100">
        <v>1.28</v>
      </c>
      <c r="AC210" s="171"/>
      <c r="AD210" s="171"/>
      <c r="AE210" s="171"/>
      <c r="AF210" s="171" t="s">
        <v>4866</v>
      </c>
      <c r="AG210" s="171" t="s">
        <v>6160</v>
      </c>
      <c r="AH210" s="171" t="s">
        <v>6160</v>
      </c>
      <c r="AI210" s="171" t="s">
        <v>4896</v>
      </c>
    </row>
    <row r="211" spans="1:35">
      <c r="A211" s="100">
        <v>576484</v>
      </c>
      <c r="B211" s="171"/>
      <c r="C211" s="100">
        <v>1</v>
      </c>
      <c r="D211" s="100">
        <v>0</v>
      </c>
      <c r="E211" s="100">
        <v>0</v>
      </c>
      <c r="F211" s="171"/>
      <c r="G211" s="171"/>
      <c r="H211" s="171"/>
      <c r="I211" s="171" t="s">
        <v>6173</v>
      </c>
      <c r="J211" s="171"/>
      <c r="K211" s="171">
        <v>100</v>
      </c>
      <c r="L211" s="171">
        <v>114</v>
      </c>
      <c r="M211" s="171">
        <v>11401</v>
      </c>
      <c r="N211" s="171">
        <v>22002</v>
      </c>
      <c r="O211" s="171" t="s">
        <v>4112</v>
      </c>
      <c r="P211" s="171" t="s">
        <v>5078</v>
      </c>
      <c r="Q211" s="171" t="s">
        <v>4855</v>
      </c>
      <c r="R211" s="171" t="s">
        <v>4848</v>
      </c>
      <c r="S211" s="100">
        <v>9713</v>
      </c>
      <c r="T211" s="100">
        <v>0</v>
      </c>
      <c r="U211" s="100">
        <v>0</v>
      </c>
      <c r="V211" s="100">
        <v>1</v>
      </c>
      <c r="W211" s="100">
        <v>12</v>
      </c>
      <c r="X211" s="100">
        <v>0</v>
      </c>
      <c r="Y211" s="100">
        <v>12</v>
      </c>
      <c r="Z211" s="100">
        <v>0</v>
      </c>
      <c r="AA211" s="100">
        <v>0.04</v>
      </c>
      <c r="AB211" s="100">
        <v>0.45</v>
      </c>
      <c r="AC211" s="171"/>
      <c r="AD211" s="171"/>
      <c r="AE211" s="171"/>
      <c r="AF211" s="171" t="s">
        <v>4886</v>
      </c>
      <c r="AG211" s="171" t="s">
        <v>6173</v>
      </c>
      <c r="AH211" s="171" t="s">
        <v>6173</v>
      </c>
      <c r="AI211" s="171" t="s">
        <v>4896</v>
      </c>
    </row>
    <row r="212" spans="1:35">
      <c r="A212" s="100">
        <v>495645</v>
      </c>
      <c r="B212" s="171"/>
      <c r="C212" s="100">
        <v>1</v>
      </c>
      <c r="D212" s="100">
        <v>0</v>
      </c>
      <c r="E212" s="100">
        <v>114</v>
      </c>
      <c r="F212" s="171"/>
      <c r="G212" s="171" t="s">
        <v>4898</v>
      </c>
      <c r="H212" s="171"/>
      <c r="I212" s="171" t="s">
        <v>4899</v>
      </c>
      <c r="J212" s="171"/>
      <c r="K212" s="171">
        <v>100</v>
      </c>
      <c r="L212" s="171">
        <v>114</v>
      </c>
      <c r="M212" s="171">
        <v>11402</v>
      </c>
      <c r="N212" s="171">
        <v>10102</v>
      </c>
      <c r="O212" s="171" t="s">
        <v>2123</v>
      </c>
      <c r="P212" s="171" t="s">
        <v>510</v>
      </c>
      <c r="Q212" s="171" t="s">
        <v>4853</v>
      </c>
      <c r="R212" s="171" t="s">
        <v>4848</v>
      </c>
      <c r="S212" s="100">
        <v>10162</v>
      </c>
      <c r="T212" s="100">
        <v>0</v>
      </c>
      <c r="U212" s="100">
        <v>0</v>
      </c>
      <c r="V212" s="100">
        <v>1</v>
      </c>
      <c r="W212" s="100">
        <v>105</v>
      </c>
      <c r="X212" s="100">
        <v>105</v>
      </c>
      <c r="Y212" s="100">
        <v>0</v>
      </c>
      <c r="Z212" s="100">
        <v>0</v>
      </c>
      <c r="AA212" s="100">
        <v>0.05</v>
      </c>
      <c r="AB212" s="100">
        <v>5.25</v>
      </c>
      <c r="AC212" s="171"/>
      <c r="AD212" s="171"/>
      <c r="AE212" s="171"/>
      <c r="AF212" s="171" t="s">
        <v>4886</v>
      </c>
      <c r="AG212" s="171" t="s">
        <v>4899</v>
      </c>
      <c r="AH212" s="171" t="s">
        <v>4899</v>
      </c>
      <c r="AI212" s="171" t="s">
        <v>4900</v>
      </c>
    </row>
    <row r="213" spans="1:35">
      <c r="A213" s="100">
        <v>495647</v>
      </c>
      <c r="B213" s="171"/>
      <c r="C213" s="100">
        <v>1</v>
      </c>
      <c r="D213" s="100">
        <v>0</v>
      </c>
      <c r="E213" s="100">
        <v>114</v>
      </c>
      <c r="F213" s="171"/>
      <c r="G213" s="171" t="s">
        <v>4898</v>
      </c>
      <c r="H213" s="171"/>
      <c r="I213" s="171" t="s">
        <v>4899</v>
      </c>
      <c r="J213" s="171"/>
      <c r="K213" s="171">
        <v>100</v>
      </c>
      <c r="L213" s="171">
        <v>114</v>
      </c>
      <c r="M213" s="171">
        <v>11402</v>
      </c>
      <c r="N213" s="171">
        <v>10102</v>
      </c>
      <c r="O213" s="171" t="s">
        <v>2123</v>
      </c>
      <c r="P213" s="171" t="s">
        <v>510</v>
      </c>
      <c r="Q213" s="171" t="s">
        <v>4853</v>
      </c>
      <c r="R213" s="171" t="s">
        <v>4848</v>
      </c>
      <c r="S213" s="100">
        <v>10161</v>
      </c>
      <c r="T213" s="100">
        <v>0</v>
      </c>
      <c r="U213" s="100">
        <v>0</v>
      </c>
      <c r="V213" s="100">
        <v>1</v>
      </c>
      <c r="W213" s="100">
        <v>105</v>
      </c>
      <c r="X213" s="100">
        <v>105</v>
      </c>
      <c r="Y213" s="100">
        <v>0</v>
      </c>
      <c r="Z213" s="100">
        <v>0</v>
      </c>
      <c r="AA213" s="100">
        <v>0.05</v>
      </c>
      <c r="AB213" s="100">
        <v>5.25</v>
      </c>
      <c r="AC213" s="171"/>
      <c r="AD213" s="171"/>
      <c r="AE213" s="171"/>
      <c r="AF213" s="171" t="s">
        <v>4886</v>
      </c>
      <c r="AG213" s="171" t="s">
        <v>4899</v>
      </c>
      <c r="AH213" s="171" t="s">
        <v>4899</v>
      </c>
      <c r="AI213" s="171" t="s">
        <v>4900</v>
      </c>
    </row>
    <row r="214" spans="1:35">
      <c r="A214" s="100">
        <v>495655</v>
      </c>
      <c r="B214" s="171"/>
      <c r="C214" s="100">
        <v>1</v>
      </c>
      <c r="D214" s="100">
        <v>0</v>
      </c>
      <c r="E214" s="100">
        <v>114</v>
      </c>
      <c r="F214" s="171"/>
      <c r="G214" s="171" t="s">
        <v>4898</v>
      </c>
      <c r="H214" s="171"/>
      <c r="I214" s="171" t="s">
        <v>4899</v>
      </c>
      <c r="J214" s="171"/>
      <c r="K214" s="171">
        <v>100</v>
      </c>
      <c r="L214" s="171">
        <v>114</v>
      </c>
      <c r="M214" s="171">
        <v>11402</v>
      </c>
      <c r="N214" s="171">
        <v>10102</v>
      </c>
      <c r="O214" s="171" t="s">
        <v>2122</v>
      </c>
      <c r="P214" s="171" t="s">
        <v>512</v>
      </c>
      <c r="Q214" s="171" t="s">
        <v>4853</v>
      </c>
      <c r="R214" s="171" t="s">
        <v>4848</v>
      </c>
      <c r="S214" s="100">
        <v>10011</v>
      </c>
      <c r="T214" s="100">
        <v>0</v>
      </c>
      <c r="U214" s="100">
        <v>0</v>
      </c>
      <c r="V214" s="100">
        <v>1</v>
      </c>
      <c r="W214" s="100">
        <v>327</v>
      </c>
      <c r="X214" s="100">
        <v>327</v>
      </c>
      <c r="Y214" s="100">
        <v>0</v>
      </c>
      <c r="Z214" s="100">
        <v>0</v>
      </c>
      <c r="AA214" s="100">
        <v>0.08</v>
      </c>
      <c r="AB214" s="100">
        <v>27.25</v>
      </c>
      <c r="AC214" s="171"/>
      <c r="AD214" s="171"/>
      <c r="AE214" s="171"/>
      <c r="AF214" s="171" t="s">
        <v>4886</v>
      </c>
      <c r="AG214" s="171" t="s">
        <v>4899</v>
      </c>
      <c r="AH214" s="171" t="s">
        <v>4899</v>
      </c>
      <c r="AI214" s="171" t="s">
        <v>4900</v>
      </c>
    </row>
    <row r="215" spans="1:35">
      <c r="A215" s="100">
        <v>552952</v>
      </c>
      <c r="B215" s="171"/>
      <c r="C215" s="100">
        <v>1</v>
      </c>
      <c r="D215" s="100">
        <v>0</v>
      </c>
      <c r="E215" s="100">
        <v>0</v>
      </c>
      <c r="F215" s="171"/>
      <c r="G215" s="171"/>
      <c r="H215" s="171"/>
      <c r="I215" s="171" t="s">
        <v>5758</v>
      </c>
      <c r="J215" s="171"/>
      <c r="K215" s="171">
        <v>100</v>
      </c>
      <c r="L215" s="171">
        <v>114</v>
      </c>
      <c r="M215" s="171">
        <v>11402</v>
      </c>
      <c r="N215" s="171">
        <v>10102</v>
      </c>
      <c r="O215" s="171" t="s">
        <v>4288</v>
      </c>
      <c r="P215" s="171" t="s">
        <v>5673</v>
      </c>
      <c r="Q215" s="171" t="s">
        <v>4855</v>
      </c>
      <c r="R215" s="171" t="s">
        <v>4848</v>
      </c>
      <c r="S215" s="100">
        <v>8612</v>
      </c>
      <c r="T215" s="100">
        <v>0</v>
      </c>
      <c r="U215" s="100">
        <v>0</v>
      </c>
      <c r="V215" s="100">
        <v>1</v>
      </c>
      <c r="W215" s="100">
        <v>100</v>
      </c>
      <c r="X215" s="100">
        <v>0</v>
      </c>
      <c r="Y215" s="100">
        <v>100</v>
      </c>
      <c r="Z215" s="100">
        <v>0</v>
      </c>
      <c r="AA215" s="100">
        <v>0.67</v>
      </c>
      <c r="AB215" s="100">
        <v>66.67</v>
      </c>
      <c r="AC215" s="171"/>
      <c r="AD215" s="171"/>
      <c r="AE215" s="171"/>
      <c r="AF215" s="171" t="s">
        <v>4849</v>
      </c>
      <c r="AG215" s="171" t="s">
        <v>5758</v>
      </c>
      <c r="AH215" s="171" t="s">
        <v>5758</v>
      </c>
      <c r="AI215" s="171" t="s">
        <v>4900</v>
      </c>
    </row>
    <row r="216" spans="1:35">
      <c r="A216" s="100">
        <v>553071</v>
      </c>
      <c r="B216" s="171"/>
      <c r="C216" s="100">
        <v>1</v>
      </c>
      <c r="D216" s="100">
        <v>0</v>
      </c>
      <c r="E216" s="100">
        <v>114</v>
      </c>
      <c r="F216" s="171"/>
      <c r="G216" s="171" t="s">
        <v>5406</v>
      </c>
      <c r="H216" s="171"/>
      <c r="I216" s="171" t="s">
        <v>5759</v>
      </c>
      <c r="J216" s="171"/>
      <c r="K216" s="171">
        <v>100</v>
      </c>
      <c r="L216" s="171">
        <v>114</v>
      </c>
      <c r="M216" s="171">
        <v>11402</v>
      </c>
      <c r="N216" s="171">
        <v>10102</v>
      </c>
      <c r="O216" s="171" t="s">
        <v>4667</v>
      </c>
      <c r="P216" s="171" t="s">
        <v>5688</v>
      </c>
      <c r="Q216" s="171" t="s">
        <v>4853</v>
      </c>
      <c r="R216" s="171" t="s">
        <v>4848</v>
      </c>
      <c r="S216" s="100">
        <v>8614</v>
      </c>
      <c r="T216" s="100">
        <v>0</v>
      </c>
      <c r="U216" s="100">
        <v>0</v>
      </c>
      <c r="V216" s="100">
        <v>1</v>
      </c>
      <c r="W216" s="100">
        <v>50</v>
      </c>
      <c r="X216" s="100">
        <v>50</v>
      </c>
      <c r="Y216" s="100">
        <v>0</v>
      </c>
      <c r="Z216" s="100">
        <v>0</v>
      </c>
      <c r="AA216" s="100">
        <v>0.67</v>
      </c>
      <c r="AB216" s="100">
        <v>33.33</v>
      </c>
      <c r="AC216" s="171"/>
      <c r="AD216" s="171"/>
      <c r="AE216" s="171"/>
      <c r="AF216" s="171" t="s">
        <v>4870</v>
      </c>
      <c r="AG216" s="171" t="s">
        <v>5759</v>
      </c>
      <c r="AH216" s="171" t="s">
        <v>5759</v>
      </c>
      <c r="AI216" s="171" t="s">
        <v>4900</v>
      </c>
    </row>
    <row r="217" spans="1:35">
      <c r="A217" s="100">
        <v>555310</v>
      </c>
      <c r="B217" s="171"/>
      <c r="C217" s="100">
        <v>1</v>
      </c>
      <c r="D217" s="100">
        <v>0</v>
      </c>
      <c r="E217" s="100">
        <v>0</v>
      </c>
      <c r="F217" s="171"/>
      <c r="G217" s="171"/>
      <c r="H217" s="171"/>
      <c r="I217" s="171" t="s">
        <v>5760</v>
      </c>
      <c r="J217" s="171"/>
      <c r="K217" s="171">
        <v>100</v>
      </c>
      <c r="L217" s="171">
        <v>114</v>
      </c>
      <c r="M217" s="171">
        <v>11402</v>
      </c>
      <c r="N217" s="171">
        <v>10104</v>
      </c>
      <c r="O217" s="171" t="s">
        <v>4060</v>
      </c>
      <c r="P217" s="171" t="s">
        <v>5700</v>
      </c>
      <c r="Q217" s="171" t="s">
        <v>4855</v>
      </c>
      <c r="R217" s="171" t="s">
        <v>4848</v>
      </c>
      <c r="S217" s="100">
        <v>13170</v>
      </c>
      <c r="T217" s="100">
        <v>0</v>
      </c>
      <c r="U217" s="100">
        <v>0</v>
      </c>
      <c r="V217" s="100">
        <v>1</v>
      </c>
      <c r="W217" s="100">
        <v>200</v>
      </c>
      <c r="X217" s="100">
        <v>0</v>
      </c>
      <c r="Y217" s="100">
        <v>200</v>
      </c>
      <c r="Z217" s="100">
        <v>0</v>
      </c>
      <c r="AA217" s="100">
        <v>7.0000000000000007E-2</v>
      </c>
      <c r="AB217" s="100">
        <v>13.67</v>
      </c>
      <c r="AC217" s="171"/>
      <c r="AD217" s="171"/>
      <c r="AE217" s="171"/>
      <c r="AF217" s="171" t="s">
        <v>4866</v>
      </c>
      <c r="AG217" s="171" t="s">
        <v>5760</v>
      </c>
      <c r="AH217" s="171" t="s">
        <v>5760</v>
      </c>
      <c r="AI217" s="171" t="s">
        <v>4900</v>
      </c>
    </row>
    <row r="218" spans="1:35">
      <c r="A218" s="100">
        <v>569659</v>
      </c>
      <c r="B218" s="171"/>
      <c r="C218" s="100">
        <v>1</v>
      </c>
      <c r="D218" s="100">
        <v>0</v>
      </c>
      <c r="E218" s="100">
        <v>0</v>
      </c>
      <c r="F218" s="171"/>
      <c r="G218" s="171"/>
      <c r="H218" s="171"/>
      <c r="I218" s="171" t="s">
        <v>6163</v>
      </c>
      <c r="J218" s="171"/>
      <c r="K218" s="171">
        <v>100</v>
      </c>
      <c r="L218" s="171">
        <v>114</v>
      </c>
      <c r="M218" s="171">
        <v>11402</v>
      </c>
      <c r="N218" s="171">
        <v>10102</v>
      </c>
      <c r="O218" s="171" t="s">
        <v>809</v>
      </c>
      <c r="P218" s="171" t="s">
        <v>6012</v>
      </c>
      <c r="Q218" s="171" t="s">
        <v>4855</v>
      </c>
      <c r="R218" s="171" t="s">
        <v>4848</v>
      </c>
      <c r="S218" s="100">
        <v>10788</v>
      </c>
      <c r="T218" s="100">
        <v>0</v>
      </c>
      <c r="U218" s="100">
        <v>0</v>
      </c>
      <c r="V218" s="100">
        <v>1</v>
      </c>
      <c r="W218" s="100">
        <v>12</v>
      </c>
      <c r="X218" s="100">
        <v>0</v>
      </c>
      <c r="Y218" s="100">
        <v>12</v>
      </c>
      <c r="Z218" s="100">
        <v>0</v>
      </c>
      <c r="AA218" s="100">
        <v>0.06</v>
      </c>
      <c r="AB218" s="100">
        <v>0.75</v>
      </c>
      <c r="AC218" s="171"/>
      <c r="AD218" s="171"/>
      <c r="AE218" s="171"/>
      <c r="AF218" s="171" t="s">
        <v>4849</v>
      </c>
      <c r="AG218" s="171" t="s">
        <v>6163</v>
      </c>
      <c r="AH218" s="171" t="s">
        <v>6163</v>
      </c>
      <c r="AI218" s="171" t="s">
        <v>4900</v>
      </c>
    </row>
    <row r="219" spans="1:35">
      <c r="A219" s="100">
        <v>572374</v>
      </c>
      <c r="B219" s="171"/>
      <c r="C219" s="100">
        <v>1</v>
      </c>
      <c r="D219" s="100">
        <v>0</v>
      </c>
      <c r="E219" s="100">
        <v>0</v>
      </c>
      <c r="F219" s="171"/>
      <c r="G219" s="171"/>
      <c r="H219" s="171"/>
      <c r="I219" s="171" t="s">
        <v>6169</v>
      </c>
      <c r="J219" s="171"/>
      <c r="K219" s="171">
        <v>100</v>
      </c>
      <c r="L219" s="171">
        <v>114</v>
      </c>
      <c r="M219" s="171">
        <v>11402</v>
      </c>
      <c r="N219" s="171">
        <v>10102</v>
      </c>
      <c r="O219" s="171" t="s">
        <v>4166</v>
      </c>
      <c r="P219" s="171" t="s">
        <v>5674</v>
      </c>
      <c r="Q219" s="171" t="s">
        <v>4855</v>
      </c>
      <c r="R219" s="171" t="s">
        <v>4848</v>
      </c>
      <c r="S219" s="100">
        <v>12431</v>
      </c>
      <c r="T219" s="100">
        <v>0</v>
      </c>
      <c r="U219" s="100">
        <v>0</v>
      </c>
      <c r="V219" s="100">
        <v>1</v>
      </c>
      <c r="W219" s="100">
        <v>250</v>
      </c>
      <c r="X219" s="100">
        <v>0</v>
      </c>
      <c r="Y219" s="100">
        <v>250</v>
      </c>
      <c r="Z219" s="100">
        <v>0</v>
      </c>
      <c r="AA219" s="100">
        <v>0.05</v>
      </c>
      <c r="AB219" s="100">
        <v>12.5</v>
      </c>
      <c r="AC219" s="171"/>
      <c r="AD219" s="171"/>
      <c r="AE219" s="171"/>
      <c r="AF219" s="171" t="s">
        <v>4849</v>
      </c>
      <c r="AG219" s="171" t="s">
        <v>6169</v>
      </c>
      <c r="AH219" s="171" t="s">
        <v>6169</v>
      </c>
      <c r="AI219" s="171" t="s">
        <v>4900</v>
      </c>
    </row>
    <row r="220" spans="1:35">
      <c r="A220" s="100">
        <v>572868</v>
      </c>
      <c r="B220" s="171"/>
      <c r="C220" s="100">
        <v>1</v>
      </c>
      <c r="D220" s="100">
        <v>0</v>
      </c>
      <c r="E220" s="100">
        <v>0</v>
      </c>
      <c r="F220" s="171"/>
      <c r="G220" s="171"/>
      <c r="H220" s="171"/>
      <c r="I220" s="171" t="s">
        <v>6162</v>
      </c>
      <c r="J220" s="171"/>
      <c r="K220" s="171">
        <v>100</v>
      </c>
      <c r="L220" s="171">
        <v>114</v>
      </c>
      <c r="M220" s="171">
        <v>11402</v>
      </c>
      <c r="N220" s="171">
        <v>10104</v>
      </c>
      <c r="O220" s="171" t="s">
        <v>6185</v>
      </c>
      <c r="P220" s="171" t="s">
        <v>6053</v>
      </c>
      <c r="Q220" s="171" t="s">
        <v>4855</v>
      </c>
      <c r="R220" s="171" t="s">
        <v>4848</v>
      </c>
      <c r="S220" s="100">
        <v>8929</v>
      </c>
      <c r="T220" s="100">
        <v>0</v>
      </c>
      <c r="U220" s="100">
        <v>0</v>
      </c>
      <c r="V220" s="100">
        <v>1</v>
      </c>
      <c r="W220" s="100">
        <v>24</v>
      </c>
      <c r="X220" s="100">
        <v>0</v>
      </c>
      <c r="Y220" s="100">
        <v>24</v>
      </c>
      <c r="Z220" s="100">
        <v>0</v>
      </c>
      <c r="AA220" s="100">
        <v>0.1</v>
      </c>
      <c r="AB220" s="100">
        <v>2.44</v>
      </c>
      <c r="AC220" s="171"/>
      <c r="AD220" s="171"/>
      <c r="AE220" s="171"/>
      <c r="AF220" s="171" t="s">
        <v>4849</v>
      </c>
      <c r="AG220" s="171" t="s">
        <v>6162</v>
      </c>
      <c r="AH220" s="171" t="s">
        <v>6162</v>
      </c>
      <c r="AI220" s="171" t="s">
        <v>4900</v>
      </c>
    </row>
    <row r="221" spans="1:35">
      <c r="A221" s="100">
        <v>572870</v>
      </c>
      <c r="B221" s="171"/>
      <c r="C221" s="100">
        <v>1</v>
      </c>
      <c r="D221" s="100">
        <v>0</v>
      </c>
      <c r="E221" s="100">
        <v>0</v>
      </c>
      <c r="F221" s="171"/>
      <c r="G221" s="171"/>
      <c r="H221" s="171"/>
      <c r="I221" s="171" t="s">
        <v>6162</v>
      </c>
      <c r="J221" s="171"/>
      <c r="K221" s="171">
        <v>100</v>
      </c>
      <c r="L221" s="171">
        <v>114</v>
      </c>
      <c r="M221" s="171">
        <v>11402</v>
      </c>
      <c r="N221" s="171">
        <v>10102</v>
      </c>
      <c r="O221" s="171" t="s">
        <v>4332</v>
      </c>
      <c r="P221" s="171" t="s">
        <v>6055</v>
      </c>
      <c r="Q221" s="171" t="s">
        <v>4855</v>
      </c>
      <c r="R221" s="171" t="s">
        <v>4848</v>
      </c>
      <c r="S221" s="100">
        <v>7035</v>
      </c>
      <c r="T221" s="100">
        <v>0</v>
      </c>
      <c r="U221" s="100">
        <v>0</v>
      </c>
      <c r="V221" s="100">
        <v>1</v>
      </c>
      <c r="W221" s="100">
        <v>50</v>
      </c>
      <c r="X221" s="100">
        <v>0</v>
      </c>
      <c r="Y221" s="100">
        <v>50</v>
      </c>
      <c r="Z221" s="100">
        <v>0</v>
      </c>
      <c r="AA221" s="100">
        <v>7.0000000000000007E-2</v>
      </c>
      <c r="AB221" s="100">
        <v>3.33</v>
      </c>
      <c r="AC221" s="171"/>
      <c r="AD221" s="171"/>
      <c r="AE221" s="171"/>
      <c r="AF221" s="171" t="s">
        <v>4849</v>
      </c>
      <c r="AG221" s="171" t="s">
        <v>6162</v>
      </c>
      <c r="AH221" s="171" t="s">
        <v>6162</v>
      </c>
      <c r="AI221" s="171" t="s">
        <v>4900</v>
      </c>
    </row>
    <row r="222" spans="1:35">
      <c r="A222" s="100">
        <v>574042</v>
      </c>
      <c r="B222" s="171"/>
      <c r="C222" s="100">
        <v>1</v>
      </c>
      <c r="D222" s="100">
        <v>0</v>
      </c>
      <c r="E222" s="100">
        <v>114</v>
      </c>
      <c r="F222" s="171"/>
      <c r="G222" s="171" t="s">
        <v>6160</v>
      </c>
      <c r="H222" s="171"/>
      <c r="I222" s="171" t="s">
        <v>6157</v>
      </c>
      <c r="J222" s="171"/>
      <c r="K222" s="171">
        <v>100</v>
      </c>
      <c r="L222" s="171">
        <v>114</v>
      </c>
      <c r="M222" s="171">
        <v>11402</v>
      </c>
      <c r="N222" s="171">
        <v>10102</v>
      </c>
      <c r="O222" s="171" t="s">
        <v>2262</v>
      </c>
      <c r="P222" s="171" t="s">
        <v>5954</v>
      </c>
      <c r="Q222" s="171" t="s">
        <v>4875</v>
      </c>
      <c r="R222" s="171" t="s">
        <v>4848</v>
      </c>
      <c r="S222" s="100">
        <v>11861</v>
      </c>
      <c r="T222" s="100">
        <v>0</v>
      </c>
      <c r="U222" s="100">
        <v>0</v>
      </c>
      <c r="V222" s="100">
        <v>1</v>
      </c>
      <c r="W222" s="100">
        <v>600</v>
      </c>
      <c r="X222" s="100">
        <v>0</v>
      </c>
      <c r="Y222" s="100">
        <v>600</v>
      </c>
      <c r="Z222" s="100">
        <v>0</v>
      </c>
      <c r="AA222" s="100">
        <v>0.17</v>
      </c>
      <c r="AB222" s="100">
        <v>100</v>
      </c>
      <c r="AC222" s="171"/>
      <c r="AD222" s="171"/>
      <c r="AE222" s="171"/>
      <c r="AF222" s="171" t="s">
        <v>4886</v>
      </c>
      <c r="AG222" s="171" t="s">
        <v>6157</v>
      </c>
      <c r="AH222" s="171" t="s">
        <v>6157</v>
      </c>
      <c r="AI222" s="171" t="s">
        <v>4900</v>
      </c>
    </row>
    <row r="223" spans="1:35">
      <c r="A223" s="100">
        <v>574049</v>
      </c>
      <c r="B223" s="171"/>
      <c r="C223" s="100">
        <v>1</v>
      </c>
      <c r="D223" s="100">
        <v>0</v>
      </c>
      <c r="E223" s="100">
        <v>0</v>
      </c>
      <c r="F223" s="171"/>
      <c r="G223" s="171"/>
      <c r="H223" s="171"/>
      <c r="I223" s="171" t="s">
        <v>6157</v>
      </c>
      <c r="J223" s="171"/>
      <c r="K223" s="171">
        <v>100</v>
      </c>
      <c r="L223" s="171">
        <v>114</v>
      </c>
      <c r="M223" s="171">
        <v>11402</v>
      </c>
      <c r="N223" s="171">
        <v>10102</v>
      </c>
      <c r="O223" s="171" t="s">
        <v>4178</v>
      </c>
      <c r="P223" s="171" t="s">
        <v>6079</v>
      </c>
      <c r="Q223" s="171" t="s">
        <v>4855</v>
      </c>
      <c r="R223" s="171" t="s">
        <v>4848</v>
      </c>
      <c r="S223" s="100">
        <v>6949</v>
      </c>
      <c r="T223" s="100">
        <v>0</v>
      </c>
      <c r="U223" s="100">
        <v>0</v>
      </c>
      <c r="V223" s="100">
        <v>1</v>
      </c>
      <c r="W223" s="100">
        <v>50</v>
      </c>
      <c r="X223" s="100">
        <v>0</v>
      </c>
      <c r="Y223" s="100">
        <v>50</v>
      </c>
      <c r="Z223" s="100">
        <v>0</v>
      </c>
      <c r="AA223" s="100">
        <v>0.08</v>
      </c>
      <c r="AB223" s="100">
        <v>4.17</v>
      </c>
      <c r="AC223" s="171"/>
      <c r="AD223" s="171"/>
      <c r="AE223" s="171"/>
      <c r="AF223" s="171" t="s">
        <v>4849</v>
      </c>
      <c r="AG223" s="171" t="s">
        <v>6157</v>
      </c>
      <c r="AH223" s="171" t="s">
        <v>6157</v>
      </c>
      <c r="AI223" s="171" t="s">
        <v>4900</v>
      </c>
    </row>
    <row r="224" spans="1:35">
      <c r="A224" s="100">
        <v>574053</v>
      </c>
      <c r="B224" s="171"/>
      <c r="C224" s="100">
        <v>1</v>
      </c>
      <c r="D224" s="100">
        <v>0</v>
      </c>
      <c r="E224" s="100">
        <v>0</v>
      </c>
      <c r="F224" s="171"/>
      <c r="G224" s="171"/>
      <c r="H224" s="171"/>
      <c r="I224" s="171" t="s">
        <v>6157</v>
      </c>
      <c r="J224" s="171"/>
      <c r="K224" s="171">
        <v>100</v>
      </c>
      <c r="L224" s="171">
        <v>114</v>
      </c>
      <c r="M224" s="171">
        <v>11402</v>
      </c>
      <c r="N224" s="171">
        <v>10102</v>
      </c>
      <c r="O224" s="171" t="s">
        <v>4287</v>
      </c>
      <c r="P224" s="171" t="s">
        <v>6081</v>
      </c>
      <c r="Q224" s="171" t="s">
        <v>4855</v>
      </c>
      <c r="R224" s="171" t="s">
        <v>4848</v>
      </c>
      <c r="S224" s="100">
        <v>6953</v>
      </c>
      <c r="T224" s="100">
        <v>0</v>
      </c>
      <c r="U224" s="100">
        <v>0</v>
      </c>
      <c r="V224" s="100">
        <v>1</v>
      </c>
      <c r="W224" s="100">
        <v>50</v>
      </c>
      <c r="X224" s="100">
        <v>0</v>
      </c>
      <c r="Y224" s="100">
        <v>50</v>
      </c>
      <c r="Z224" s="100">
        <v>0</v>
      </c>
      <c r="AA224" s="100">
        <v>0.14000000000000001</v>
      </c>
      <c r="AB224" s="100">
        <v>7</v>
      </c>
      <c r="AC224" s="171"/>
      <c r="AD224" s="171"/>
      <c r="AE224" s="171"/>
      <c r="AF224" s="171" t="s">
        <v>4849</v>
      </c>
      <c r="AG224" s="171" t="s">
        <v>6157</v>
      </c>
      <c r="AH224" s="171" t="s">
        <v>6157</v>
      </c>
      <c r="AI224" s="171" t="s">
        <v>4900</v>
      </c>
    </row>
    <row r="225" spans="1:35">
      <c r="A225" s="100">
        <v>574058</v>
      </c>
      <c r="B225" s="171"/>
      <c r="C225" s="100">
        <v>1</v>
      </c>
      <c r="D225" s="100">
        <v>0</v>
      </c>
      <c r="E225" s="100">
        <v>0</v>
      </c>
      <c r="F225" s="171"/>
      <c r="G225" s="171"/>
      <c r="H225" s="171"/>
      <c r="I225" s="171" t="s">
        <v>6157</v>
      </c>
      <c r="J225" s="171"/>
      <c r="K225" s="171">
        <v>100</v>
      </c>
      <c r="L225" s="171">
        <v>114</v>
      </c>
      <c r="M225" s="171">
        <v>11402</v>
      </c>
      <c r="N225" s="171">
        <v>11101</v>
      </c>
      <c r="O225" s="171" t="s">
        <v>4300</v>
      </c>
      <c r="P225" s="171" t="s">
        <v>6085</v>
      </c>
      <c r="Q225" s="171" t="s">
        <v>4855</v>
      </c>
      <c r="R225" s="171" t="s">
        <v>4848</v>
      </c>
      <c r="S225" s="100">
        <v>6912</v>
      </c>
      <c r="T225" s="100">
        <v>0</v>
      </c>
      <c r="U225" s="100">
        <v>0</v>
      </c>
      <c r="V225" s="100">
        <v>1</v>
      </c>
      <c r="W225" s="100">
        <v>30</v>
      </c>
      <c r="X225" s="100">
        <v>0</v>
      </c>
      <c r="Y225" s="100">
        <v>30</v>
      </c>
      <c r="Z225" s="100">
        <v>0</v>
      </c>
      <c r="AA225" s="100">
        <v>0.05</v>
      </c>
      <c r="AB225" s="100">
        <v>1.5</v>
      </c>
      <c r="AC225" s="171"/>
      <c r="AD225" s="171"/>
      <c r="AE225" s="171"/>
      <c r="AF225" s="171" t="s">
        <v>4849</v>
      </c>
      <c r="AG225" s="171" t="s">
        <v>6157</v>
      </c>
      <c r="AH225" s="171" t="s">
        <v>6157</v>
      </c>
      <c r="AI225" s="171" t="s">
        <v>4900</v>
      </c>
    </row>
    <row r="226" spans="1:35">
      <c r="A226" s="100">
        <v>574064</v>
      </c>
      <c r="B226" s="171"/>
      <c r="C226" s="100">
        <v>1</v>
      </c>
      <c r="D226" s="100">
        <v>0</v>
      </c>
      <c r="E226" s="100">
        <v>0</v>
      </c>
      <c r="F226" s="171"/>
      <c r="G226" s="171"/>
      <c r="H226" s="171"/>
      <c r="I226" s="171" t="s">
        <v>6170</v>
      </c>
      <c r="J226" s="171"/>
      <c r="K226" s="171">
        <v>100</v>
      </c>
      <c r="L226" s="171">
        <v>114</v>
      </c>
      <c r="M226" s="171">
        <v>11402</v>
      </c>
      <c r="N226" s="171">
        <v>10103</v>
      </c>
      <c r="O226" s="171" t="s">
        <v>4309</v>
      </c>
      <c r="P226" s="171" t="s">
        <v>6093</v>
      </c>
      <c r="Q226" s="171" t="s">
        <v>4855</v>
      </c>
      <c r="R226" s="171" t="s">
        <v>4848</v>
      </c>
      <c r="S226" s="100">
        <v>5087</v>
      </c>
      <c r="T226" s="100">
        <v>0</v>
      </c>
      <c r="U226" s="100">
        <v>0</v>
      </c>
      <c r="V226" s="100">
        <v>1</v>
      </c>
      <c r="W226" s="100">
        <v>200</v>
      </c>
      <c r="X226" s="100">
        <v>0</v>
      </c>
      <c r="Y226" s="100">
        <v>200</v>
      </c>
      <c r="Z226" s="100">
        <v>0</v>
      </c>
      <c r="AA226" s="100">
        <v>7.0000000000000007E-2</v>
      </c>
      <c r="AB226" s="100">
        <v>15</v>
      </c>
      <c r="AC226" s="171"/>
      <c r="AD226" s="171"/>
      <c r="AE226" s="171"/>
      <c r="AF226" s="171" t="s">
        <v>4858</v>
      </c>
      <c r="AG226" s="171" t="s">
        <v>6170</v>
      </c>
      <c r="AH226" s="171" t="s">
        <v>6170</v>
      </c>
      <c r="AI226" s="171" t="s">
        <v>4900</v>
      </c>
    </row>
    <row r="227" spans="1:35">
      <c r="A227" s="100">
        <v>574220</v>
      </c>
      <c r="B227" s="171"/>
      <c r="C227" s="100">
        <v>1</v>
      </c>
      <c r="D227" s="100">
        <v>0</v>
      </c>
      <c r="E227" s="100">
        <v>0</v>
      </c>
      <c r="F227" s="171"/>
      <c r="G227" s="171"/>
      <c r="H227" s="171"/>
      <c r="I227" s="171" t="s">
        <v>6172</v>
      </c>
      <c r="J227" s="171"/>
      <c r="K227" s="171">
        <v>100</v>
      </c>
      <c r="L227" s="171">
        <v>114</v>
      </c>
      <c r="M227" s="171">
        <v>11402</v>
      </c>
      <c r="N227" s="171">
        <v>10104</v>
      </c>
      <c r="O227" s="171" t="s">
        <v>4060</v>
      </c>
      <c r="P227" s="171" t="s">
        <v>5700</v>
      </c>
      <c r="Q227" s="171" t="s">
        <v>4855</v>
      </c>
      <c r="R227" s="171" t="s">
        <v>4848</v>
      </c>
      <c r="S227" s="100">
        <v>13169</v>
      </c>
      <c r="T227" s="100">
        <v>0</v>
      </c>
      <c r="U227" s="100">
        <v>0</v>
      </c>
      <c r="V227" s="100">
        <v>1</v>
      </c>
      <c r="W227" s="100">
        <v>116</v>
      </c>
      <c r="X227" s="100">
        <v>0</v>
      </c>
      <c r="Y227" s="100">
        <v>116</v>
      </c>
      <c r="Z227" s="100">
        <v>0</v>
      </c>
      <c r="AA227" s="100">
        <v>7.0000000000000007E-2</v>
      </c>
      <c r="AB227" s="100">
        <v>7.93</v>
      </c>
      <c r="AC227" s="171"/>
      <c r="AD227" s="171"/>
      <c r="AE227" s="171"/>
      <c r="AF227" s="171" t="s">
        <v>4866</v>
      </c>
      <c r="AG227" s="171" t="s">
        <v>6172</v>
      </c>
      <c r="AH227" s="171" t="s">
        <v>6172</v>
      </c>
      <c r="AI227" s="171" t="s">
        <v>4900</v>
      </c>
    </row>
    <row r="228" spans="1:35">
      <c r="A228" s="100">
        <v>539672</v>
      </c>
      <c r="B228" s="171"/>
      <c r="C228" s="100">
        <v>1</v>
      </c>
      <c r="D228" s="100">
        <v>0</v>
      </c>
      <c r="E228" s="100">
        <v>0</v>
      </c>
      <c r="F228" s="171"/>
      <c r="G228" s="171"/>
      <c r="H228" s="171"/>
      <c r="I228" s="171" t="s">
        <v>5051</v>
      </c>
      <c r="J228" s="171"/>
      <c r="K228" s="171">
        <v>100</v>
      </c>
      <c r="L228" s="171">
        <v>114</v>
      </c>
      <c r="M228" s="171">
        <v>11403</v>
      </c>
      <c r="N228" s="171">
        <v>10104</v>
      </c>
      <c r="O228" s="171" t="s">
        <v>640</v>
      </c>
      <c r="P228" s="171" t="s">
        <v>5016</v>
      </c>
      <c r="Q228" s="171" t="s">
        <v>4855</v>
      </c>
      <c r="R228" s="171" t="s">
        <v>4848</v>
      </c>
      <c r="S228" s="100">
        <v>5135</v>
      </c>
      <c r="T228" s="100">
        <v>0</v>
      </c>
      <c r="U228" s="100">
        <v>0</v>
      </c>
      <c r="V228" s="100">
        <v>1</v>
      </c>
      <c r="W228" s="100">
        <v>4</v>
      </c>
      <c r="X228" s="100">
        <v>0</v>
      </c>
      <c r="Y228" s="100">
        <v>4</v>
      </c>
      <c r="Z228" s="100">
        <v>0</v>
      </c>
      <c r="AA228" s="100">
        <v>2.41</v>
      </c>
      <c r="AB228" s="100">
        <v>9.64</v>
      </c>
      <c r="AC228" s="171"/>
      <c r="AD228" s="171"/>
      <c r="AE228" s="171"/>
      <c r="AF228" s="171" t="s">
        <v>4869</v>
      </c>
      <c r="AG228" s="171" t="s">
        <v>5051</v>
      </c>
      <c r="AH228" s="171" t="s">
        <v>5051</v>
      </c>
      <c r="AI228" s="171" t="s">
        <v>5058</v>
      </c>
    </row>
    <row r="229" spans="1:35">
      <c r="A229" s="100">
        <v>539676</v>
      </c>
      <c r="B229" s="171"/>
      <c r="C229" s="100">
        <v>1</v>
      </c>
      <c r="D229" s="100">
        <v>0</v>
      </c>
      <c r="E229" s="100">
        <v>0</v>
      </c>
      <c r="F229" s="171"/>
      <c r="G229" s="171"/>
      <c r="H229" s="171"/>
      <c r="I229" s="171" t="s">
        <v>5051</v>
      </c>
      <c r="J229" s="171"/>
      <c r="K229" s="171">
        <v>100</v>
      </c>
      <c r="L229" s="171">
        <v>114</v>
      </c>
      <c r="M229" s="171">
        <v>11403</v>
      </c>
      <c r="N229" s="171">
        <v>10104</v>
      </c>
      <c r="O229" s="171" t="s">
        <v>633</v>
      </c>
      <c r="P229" s="171" t="s">
        <v>5024</v>
      </c>
      <c r="Q229" s="171" t="s">
        <v>4855</v>
      </c>
      <c r="R229" s="171" t="s">
        <v>4848</v>
      </c>
      <c r="S229" s="100">
        <v>10854</v>
      </c>
      <c r="T229" s="100">
        <v>0</v>
      </c>
      <c r="U229" s="100">
        <v>0</v>
      </c>
      <c r="V229" s="100">
        <v>1</v>
      </c>
      <c r="W229" s="100">
        <v>4</v>
      </c>
      <c r="X229" s="100">
        <v>0</v>
      </c>
      <c r="Y229" s="100">
        <v>4</v>
      </c>
      <c r="Z229" s="100">
        <v>0</v>
      </c>
      <c r="AA229" s="100">
        <v>5.2</v>
      </c>
      <c r="AB229" s="100">
        <v>20.8</v>
      </c>
      <c r="AC229" s="171"/>
      <c r="AD229" s="171"/>
      <c r="AE229" s="171"/>
      <c r="AF229" s="171" t="s">
        <v>4869</v>
      </c>
      <c r="AG229" s="171" t="s">
        <v>5051</v>
      </c>
      <c r="AH229" s="171" t="s">
        <v>5051</v>
      </c>
      <c r="AI229" s="171" t="s">
        <v>5058</v>
      </c>
    </row>
    <row r="230" spans="1:35">
      <c r="A230" s="100">
        <v>539678</v>
      </c>
      <c r="B230" s="171"/>
      <c r="C230" s="100">
        <v>1</v>
      </c>
      <c r="D230" s="100">
        <v>0</v>
      </c>
      <c r="E230" s="100">
        <v>0</v>
      </c>
      <c r="F230" s="171"/>
      <c r="G230" s="171"/>
      <c r="H230" s="171"/>
      <c r="I230" s="171" t="s">
        <v>5051</v>
      </c>
      <c r="J230" s="171"/>
      <c r="K230" s="171">
        <v>100</v>
      </c>
      <c r="L230" s="171">
        <v>114</v>
      </c>
      <c r="M230" s="171">
        <v>11403</v>
      </c>
      <c r="N230" s="171">
        <v>10104</v>
      </c>
      <c r="O230" s="171" t="s">
        <v>631</v>
      </c>
      <c r="P230" s="171" t="s">
        <v>5028</v>
      </c>
      <c r="Q230" s="171" t="s">
        <v>4855</v>
      </c>
      <c r="R230" s="171" t="s">
        <v>4848</v>
      </c>
      <c r="S230" s="100">
        <v>10873</v>
      </c>
      <c r="T230" s="100">
        <v>0</v>
      </c>
      <c r="U230" s="100">
        <v>0</v>
      </c>
      <c r="V230" s="100">
        <v>1</v>
      </c>
      <c r="W230" s="100">
        <v>4</v>
      </c>
      <c r="X230" s="100">
        <v>0</v>
      </c>
      <c r="Y230" s="100">
        <v>4</v>
      </c>
      <c r="Z230" s="100">
        <v>0</v>
      </c>
      <c r="AA230" s="100">
        <v>3.67</v>
      </c>
      <c r="AB230" s="100">
        <v>14.67</v>
      </c>
      <c r="AC230" s="171"/>
      <c r="AD230" s="171"/>
      <c r="AE230" s="171"/>
      <c r="AF230" s="171" t="s">
        <v>4869</v>
      </c>
      <c r="AG230" s="171" t="s">
        <v>5051</v>
      </c>
      <c r="AH230" s="171" t="s">
        <v>5051</v>
      </c>
      <c r="AI230" s="171" t="s">
        <v>5058</v>
      </c>
    </row>
    <row r="231" spans="1:35">
      <c r="A231" s="100">
        <v>539778</v>
      </c>
      <c r="B231" s="171"/>
      <c r="C231" s="100">
        <v>1</v>
      </c>
      <c r="D231" s="100">
        <v>0</v>
      </c>
      <c r="E231" s="100">
        <v>0</v>
      </c>
      <c r="F231" s="171"/>
      <c r="G231" s="171"/>
      <c r="H231" s="171"/>
      <c r="I231" s="171" t="s">
        <v>5052</v>
      </c>
      <c r="J231" s="171"/>
      <c r="K231" s="171">
        <v>100</v>
      </c>
      <c r="L231" s="171">
        <v>114</v>
      </c>
      <c r="M231" s="171">
        <v>11403</v>
      </c>
      <c r="N231" s="171">
        <v>10104</v>
      </c>
      <c r="O231" s="171" t="s">
        <v>814</v>
      </c>
      <c r="P231" s="171" t="s">
        <v>5042</v>
      </c>
      <c r="Q231" s="171" t="s">
        <v>4855</v>
      </c>
      <c r="R231" s="171" t="s">
        <v>4848</v>
      </c>
      <c r="S231" s="100">
        <v>10870</v>
      </c>
      <c r="T231" s="100">
        <v>0</v>
      </c>
      <c r="U231" s="100">
        <v>0</v>
      </c>
      <c r="V231" s="100">
        <v>1</v>
      </c>
      <c r="W231" s="100">
        <v>4</v>
      </c>
      <c r="X231" s="100">
        <v>0</v>
      </c>
      <c r="Y231" s="100">
        <v>4</v>
      </c>
      <c r="Z231" s="100">
        <v>0</v>
      </c>
      <c r="AA231" s="100">
        <v>2.04</v>
      </c>
      <c r="AB231" s="100">
        <v>8.17</v>
      </c>
      <c r="AC231" s="171"/>
      <c r="AD231" s="171"/>
      <c r="AE231" s="171"/>
      <c r="AF231" s="171" t="s">
        <v>4869</v>
      </c>
      <c r="AG231" s="171" t="s">
        <v>5052</v>
      </c>
      <c r="AH231" s="171" t="s">
        <v>5052</v>
      </c>
      <c r="AI231" s="171" t="s">
        <v>5058</v>
      </c>
    </row>
    <row r="232" spans="1:35">
      <c r="A232" s="100">
        <v>518516</v>
      </c>
      <c r="B232" s="171"/>
      <c r="C232" s="100">
        <v>1</v>
      </c>
      <c r="D232" s="100">
        <v>0</v>
      </c>
      <c r="E232" s="100">
        <v>0</v>
      </c>
      <c r="F232" s="171"/>
      <c r="G232" s="171"/>
      <c r="H232" s="171"/>
      <c r="I232" s="171" t="s">
        <v>4903</v>
      </c>
      <c r="J232" s="171"/>
      <c r="K232" s="171">
        <v>100</v>
      </c>
      <c r="L232" s="171">
        <v>114</v>
      </c>
      <c r="M232" s="171">
        <v>11404</v>
      </c>
      <c r="N232" s="171">
        <v>22001</v>
      </c>
      <c r="O232" s="171" t="s">
        <v>4901</v>
      </c>
      <c r="P232" s="171" t="s">
        <v>4783</v>
      </c>
      <c r="Q232" s="171"/>
      <c r="R232" s="171" t="s">
        <v>4848</v>
      </c>
      <c r="S232" s="100">
        <v>9302</v>
      </c>
      <c r="T232" s="100">
        <v>0</v>
      </c>
      <c r="U232" s="100">
        <v>0</v>
      </c>
      <c r="V232" s="100">
        <v>1</v>
      </c>
      <c r="W232" s="100">
        <v>800</v>
      </c>
      <c r="X232" s="100">
        <v>0</v>
      </c>
      <c r="Y232" s="100">
        <v>800</v>
      </c>
      <c r="Z232" s="100">
        <v>0</v>
      </c>
      <c r="AA232" s="100">
        <v>0.03</v>
      </c>
      <c r="AB232" s="100">
        <v>20</v>
      </c>
      <c r="AC232" s="171"/>
      <c r="AD232" s="171"/>
      <c r="AE232" s="171"/>
      <c r="AF232" s="171" t="s">
        <v>4852</v>
      </c>
      <c r="AG232" s="171" t="s">
        <v>4903</v>
      </c>
      <c r="AH232" s="171" t="s">
        <v>4903</v>
      </c>
      <c r="AI232" s="171" t="s">
        <v>4902</v>
      </c>
    </row>
    <row r="233" spans="1:35">
      <c r="A233" s="100">
        <v>541629</v>
      </c>
      <c r="B233" s="171"/>
      <c r="C233" s="100">
        <v>1</v>
      </c>
      <c r="D233" s="100">
        <v>0</v>
      </c>
      <c r="E233" s="100">
        <v>114</v>
      </c>
      <c r="F233" s="171"/>
      <c r="G233" s="171" t="s">
        <v>5273</v>
      </c>
      <c r="H233" s="171"/>
      <c r="I233" s="171" t="s">
        <v>5229</v>
      </c>
      <c r="J233" s="171"/>
      <c r="K233" s="171">
        <v>100</v>
      </c>
      <c r="L233" s="171">
        <v>114</v>
      </c>
      <c r="M233" s="171">
        <v>11404</v>
      </c>
      <c r="N233" s="171">
        <v>10103</v>
      </c>
      <c r="O233" s="171" t="s">
        <v>4172</v>
      </c>
      <c r="P233" s="171" t="s">
        <v>5215</v>
      </c>
      <c r="Q233" s="171" t="s">
        <v>4853</v>
      </c>
      <c r="R233" s="171" t="s">
        <v>4848</v>
      </c>
      <c r="S233" s="100">
        <v>10727</v>
      </c>
      <c r="T233" s="100">
        <v>0</v>
      </c>
      <c r="U233" s="100">
        <v>0</v>
      </c>
      <c r="V233" s="100">
        <v>1</v>
      </c>
      <c r="W233" s="100">
        <v>100</v>
      </c>
      <c r="X233" s="100">
        <v>100</v>
      </c>
      <c r="Y233" s="100">
        <v>0</v>
      </c>
      <c r="Z233" s="100">
        <v>0</v>
      </c>
      <c r="AA233" s="100">
        <v>0.13</v>
      </c>
      <c r="AB233" s="100">
        <v>13.33</v>
      </c>
      <c r="AC233" s="171"/>
      <c r="AD233" s="171"/>
      <c r="AE233" s="171"/>
      <c r="AF233" s="171" t="s">
        <v>4849</v>
      </c>
      <c r="AG233" s="171" t="s">
        <v>5229</v>
      </c>
      <c r="AH233" s="171" t="s">
        <v>5229</v>
      </c>
      <c r="AI233" s="171" t="s">
        <v>4900</v>
      </c>
    </row>
    <row r="234" spans="1:35">
      <c r="A234" s="100">
        <v>545095</v>
      </c>
      <c r="B234" s="171"/>
      <c r="C234" s="100">
        <v>1</v>
      </c>
      <c r="D234" s="100">
        <v>0</v>
      </c>
      <c r="E234" s="100">
        <v>114</v>
      </c>
      <c r="F234" s="171"/>
      <c r="G234" s="171" t="s">
        <v>6169</v>
      </c>
      <c r="H234" s="171"/>
      <c r="I234" s="171" t="s">
        <v>5228</v>
      </c>
      <c r="J234" s="171"/>
      <c r="K234" s="171">
        <v>100</v>
      </c>
      <c r="L234" s="171">
        <v>114</v>
      </c>
      <c r="M234" s="171">
        <v>11404</v>
      </c>
      <c r="N234" s="171">
        <v>10102</v>
      </c>
      <c r="O234" s="171" t="s">
        <v>5232</v>
      </c>
      <c r="P234" s="171" t="s">
        <v>5224</v>
      </c>
      <c r="Q234" s="171" t="s">
        <v>4853</v>
      </c>
      <c r="R234" s="171" t="s">
        <v>4848</v>
      </c>
      <c r="S234" s="100">
        <v>5276</v>
      </c>
      <c r="T234" s="100">
        <v>0</v>
      </c>
      <c r="U234" s="100">
        <v>0</v>
      </c>
      <c r="V234" s="100">
        <v>1</v>
      </c>
      <c r="W234" s="100">
        <v>2800</v>
      </c>
      <c r="X234" s="100">
        <v>2800</v>
      </c>
      <c r="Y234" s="100">
        <v>0</v>
      </c>
      <c r="Z234" s="100">
        <v>0</v>
      </c>
      <c r="AA234" s="100">
        <v>0.27</v>
      </c>
      <c r="AB234" s="100">
        <v>746.67</v>
      </c>
      <c r="AC234" s="171"/>
      <c r="AD234" s="171"/>
      <c r="AE234" s="171"/>
      <c r="AF234" s="171" t="s">
        <v>4858</v>
      </c>
      <c r="AG234" s="171" t="s">
        <v>5228</v>
      </c>
      <c r="AH234" s="171" t="s">
        <v>5228</v>
      </c>
      <c r="AI234" s="171" t="s">
        <v>4904</v>
      </c>
    </row>
    <row r="235" spans="1:35">
      <c r="A235" s="100">
        <v>546473</v>
      </c>
      <c r="B235" s="171"/>
      <c r="C235" s="100">
        <v>1</v>
      </c>
      <c r="D235" s="100">
        <v>0</v>
      </c>
      <c r="E235" s="100">
        <v>0</v>
      </c>
      <c r="F235" s="171"/>
      <c r="G235" s="171"/>
      <c r="H235" s="171"/>
      <c r="I235" s="171" t="s">
        <v>5344</v>
      </c>
      <c r="J235" s="171"/>
      <c r="K235" s="171">
        <v>100</v>
      </c>
      <c r="L235" s="171">
        <v>114</v>
      </c>
      <c r="M235" s="171">
        <v>11404</v>
      </c>
      <c r="N235" s="171">
        <v>10104</v>
      </c>
      <c r="O235" s="171" t="s">
        <v>4126</v>
      </c>
      <c r="P235" s="171" t="s">
        <v>5331</v>
      </c>
      <c r="Q235" s="171"/>
      <c r="R235" s="171" t="s">
        <v>4848</v>
      </c>
      <c r="S235" s="100">
        <v>7047</v>
      </c>
      <c r="T235" s="100">
        <v>0</v>
      </c>
      <c r="U235" s="100">
        <v>0</v>
      </c>
      <c r="V235" s="100">
        <v>1</v>
      </c>
      <c r="W235" s="100">
        <v>50</v>
      </c>
      <c r="X235" s="100">
        <v>0</v>
      </c>
      <c r="Y235" s="100">
        <v>50</v>
      </c>
      <c r="Z235" s="100">
        <v>0</v>
      </c>
      <c r="AA235" s="100">
        <v>0.05</v>
      </c>
      <c r="AB235" s="100">
        <v>2.5</v>
      </c>
      <c r="AC235" s="171"/>
      <c r="AD235" s="171"/>
      <c r="AE235" s="171"/>
      <c r="AF235" s="171" t="s">
        <v>4849</v>
      </c>
      <c r="AG235" s="171" t="s">
        <v>5344</v>
      </c>
      <c r="AH235" s="171" t="s">
        <v>5344</v>
      </c>
      <c r="AI235" s="171" t="s">
        <v>4900</v>
      </c>
    </row>
    <row r="236" spans="1:35">
      <c r="A236" s="100">
        <v>552945</v>
      </c>
      <c r="B236" s="171"/>
      <c r="C236" s="100">
        <v>1</v>
      </c>
      <c r="D236" s="100">
        <v>0</v>
      </c>
      <c r="E236" s="100">
        <v>0</v>
      </c>
      <c r="F236" s="171"/>
      <c r="G236" s="171"/>
      <c r="H236" s="171"/>
      <c r="I236" s="171" t="s">
        <v>5758</v>
      </c>
      <c r="J236" s="171"/>
      <c r="K236" s="171">
        <v>100</v>
      </c>
      <c r="L236" s="171">
        <v>114</v>
      </c>
      <c r="M236" s="171">
        <v>11404</v>
      </c>
      <c r="N236" s="171">
        <v>10104</v>
      </c>
      <c r="O236" s="171" t="s">
        <v>4302</v>
      </c>
      <c r="P236" s="171" t="s">
        <v>5662</v>
      </c>
      <c r="Q236" s="171" t="s">
        <v>4855</v>
      </c>
      <c r="R236" s="171" t="s">
        <v>4848</v>
      </c>
      <c r="S236" s="100">
        <v>6943</v>
      </c>
      <c r="T236" s="100">
        <v>0</v>
      </c>
      <c r="U236" s="100">
        <v>0</v>
      </c>
      <c r="V236" s="100">
        <v>1</v>
      </c>
      <c r="W236" s="100">
        <v>400</v>
      </c>
      <c r="X236" s="100">
        <v>0</v>
      </c>
      <c r="Y236" s="100">
        <v>400</v>
      </c>
      <c r="Z236" s="100">
        <v>0</v>
      </c>
      <c r="AA236" s="100">
        <v>7.0000000000000007E-2</v>
      </c>
      <c r="AB236" s="100">
        <v>26.67</v>
      </c>
      <c r="AC236" s="171"/>
      <c r="AD236" s="171"/>
      <c r="AE236" s="171"/>
      <c r="AF236" s="171" t="s">
        <v>4849</v>
      </c>
      <c r="AG236" s="171" t="s">
        <v>5758</v>
      </c>
      <c r="AH236" s="171" t="s">
        <v>5758</v>
      </c>
      <c r="AI236" s="171" t="s">
        <v>4900</v>
      </c>
    </row>
    <row r="237" spans="1:35">
      <c r="A237" s="100">
        <v>552946</v>
      </c>
      <c r="B237" s="171"/>
      <c r="C237" s="100">
        <v>1</v>
      </c>
      <c r="D237" s="100">
        <v>0</v>
      </c>
      <c r="E237" s="100">
        <v>0</v>
      </c>
      <c r="F237" s="171"/>
      <c r="G237" s="171"/>
      <c r="H237" s="171"/>
      <c r="I237" s="171" t="s">
        <v>5758</v>
      </c>
      <c r="J237" s="171"/>
      <c r="K237" s="171">
        <v>100</v>
      </c>
      <c r="L237" s="171">
        <v>114</v>
      </c>
      <c r="M237" s="171">
        <v>11404</v>
      </c>
      <c r="N237" s="171">
        <v>10104</v>
      </c>
      <c r="O237" s="171" t="s">
        <v>4302</v>
      </c>
      <c r="P237" s="171" t="s">
        <v>5662</v>
      </c>
      <c r="Q237" s="171" t="s">
        <v>4855</v>
      </c>
      <c r="R237" s="171" t="s">
        <v>4848</v>
      </c>
      <c r="S237" s="100">
        <v>6942</v>
      </c>
      <c r="T237" s="100">
        <v>0</v>
      </c>
      <c r="U237" s="100">
        <v>0</v>
      </c>
      <c r="V237" s="100">
        <v>1</v>
      </c>
      <c r="W237" s="100">
        <v>400</v>
      </c>
      <c r="X237" s="100">
        <v>0</v>
      </c>
      <c r="Y237" s="100">
        <v>400</v>
      </c>
      <c r="Z237" s="100">
        <v>0</v>
      </c>
      <c r="AA237" s="100">
        <v>7.0000000000000007E-2</v>
      </c>
      <c r="AB237" s="100">
        <v>26.67</v>
      </c>
      <c r="AC237" s="171"/>
      <c r="AD237" s="171"/>
      <c r="AE237" s="171"/>
      <c r="AF237" s="171" t="s">
        <v>4849</v>
      </c>
      <c r="AG237" s="171" t="s">
        <v>5758</v>
      </c>
      <c r="AH237" s="171" t="s">
        <v>5758</v>
      </c>
      <c r="AI237" s="171" t="s">
        <v>4900</v>
      </c>
    </row>
    <row r="238" spans="1:35">
      <c r="A238" s="100">
        <v>569225</v>
      </c>
      <c r="B238" s="171"/>
      <c r="C238" s="100">
        <v>1</v>
      </c>
      <c r="D238" s="100">
        <v>0</v>
      </c>
      <c r="E238" s="100">
        <v>0</v>
      </c>
      <c r="F238" s="171"/>
      <c r="G238" s="171"/>
      <c r="H238" s="171"/>
      <c r="I238" s="171" t="s">
        <v>5762</v>
      </c>
      <c r="J238" s="171"/>
      <c r="K238" s="171">
        <v>100</v>
      </c>
      <c r="L238" s="171">
        <v>114</v>
      </c>
      <c r="M238" s="171">
        <v>11404</v>
      </c>
      <c r="N238" s="171">
        <v>10102</v>
      </c>
      <c r="O238" s="171" t="s">
        <v>2127</v>
      </c>
      <c r="P238" s="171" t="s">
        <v>5649</v>
      </c>
      <c r="Q238" s="171" t="s">
        <v>4855</v>
      </c>
      <c r="R238" s="171" t="s">
        <v>4848</v>
      </c>
      <c r="S238" s="100">
        <v>13124</v>
      </c>
      <c r="T238" s="100">
        <v>0</v>
      </c>
      <c r="U238" s="100">
        <v>0</v>
      </c>
      <c r="V238" s="100">
        <v>1</v>
      </c>
      <c r="W238" s="100">
        <v>6500</v>
      </c>
      <c r="X238" s="100">
        <v>0</v>
      </c>
      <c r="Y238" s="100">
        <v>6500</v>
      </c>
      <c r="Z238" s="100">
        <v>0</v>
      </c>
      <c r="AA238" s="100">
        <v>0.03</v>
      </c>
      <c r="AB238" s="100">
        <v>216.67</v>
      </c>
      <c r="AC238" s="171"/>
      <c r="AD238" s="171"/>
      <c r="AE238" s="171"/>
      <c r="AF238" s="171" t="s">
        <v>4849</v>
      </c>
      <c r="AG238" s="171" t="s">
        <v>5762</v>
      </c>
      <c r="AH238" s="171" t="s">
        <v>5762</v>
      </c>
      <c r="AI238" s="171" t="s">
        <v>4900</v>
      </c>
    </row>
    <row r="239" spans="1:35">
      <c r="A239" s="100">
        <v>569228</v>
      </c>
      <c r="B239" s="171"/>
      <c r="C239" s="100">
        <v>1</v>
      </c>
      <c r="D239" s="100">
        <v>0</v>
      </c>
      <c r="E239" s="100">
        <v>114</v>
      </c>
      <c r="F239" s="171"/>
      <c r="G239" s="171" t="s">
        <v>5409</v>
      </c>
      <c r="H239" s="171"/>
      <c r="I239" s="171" t="s">
        <v>5762</v>
      </c>
      <c r="J239" s="171"/>
      <c r="K239" s="171">
        <v>100</v>
      </c>
      <c r="L239" s="171">
        <v>114</v>
      </c>
      <c r="M239" s="171">
        <v>11404</v>
      </c>
      <c r="N239" s="171">
        <v>10102</v>
      </c>
      <c r="O239" s="171" t="s">
        <v>2189</v>
      </c>
      <c r="P239" s="171" t="s">
        <v>5788</v>
      </c>
      <c r="Q239" s="171" t="s">
        <v>4853</v>
      </c>
      <c r="R239" s="171" t="s">
        <v>4848</v>
      </c>
      <c r="S239" s="100">
        <v>13110</v>
      </c>
      <c r="T239" s="100">
        <v>0</v>
      </c>
      <c r="U239" s="100">
        <v>0</v>
      </c>
      <c r="V239" s="100">
        <v>1</v>
      </c>
      <c r="W239" s="100">
        <v>1260</v>
      </c>
      <c r="X239" s="100">
        <v>1260</v>
      </c>
      <c r="Y239" s="100">
        <v>0</v>
      </c>
      <c r="Z239" s="100">
        <v>0</v>
      </c>
      <c r="AA239" s="100">
        <v>0.04</v>
      </c>
      <c r="AB239" s="100">
        <v>52.5</v>
      </c>
      <c r="AC239" s="171"/>
      <c r="AD239" s="171"/>
      <c r="AE239" s="171"/>
      <c r="AF239" s="171" t="s">
        <v>4849</v>
      </c>
      <c r="AG239" s="171" t="s">
        <v>5762</v>
      </c>
      <c r="AH239" s="171" t="s">
        <v>5762</v>
      </c>
      <c r="AI239" s="171" t="s">
        <v>4900</v>
      </c>
    </row>
    <row r="240" spans="1:35">
      <c r="A240" s="100">
        <v>569240</v>
      </c>
      <c r="B240" s="171"/>
      <c r="C240" s="100">
        <v>1</v>
      </c>
      <c r="D240" s="100">
        <v>0</v>
      </c>
      <c r="E240" s="100">
        <v>114</v>
      </c>
      <c r="F240" s="171"/>
      <c r="G240" s="171" t="s">
        <v>6160</v>
      </c>
      <c r="H240" s="171"/>
      <c r="I240" s="171" t="s">
        <v>5406</v>
      </c>
      <c r="J240" s="171"/>
      <c r="K240" s="171">
        <v>100</v>
      </c>
      <c r="L240" s="171">
        <v>114</v>
      </c>
      <c r="M240" s="171">
        <v>11404</v>
      </c>
      <c r="N240" s="171">
        <v>10102</v>
      </c>
      <c r="O240" s="171" t="s">
        <v>909</v>
      </c>
      <c r="P240" s="171" t="s">
        <v>5794</v>
      </c>
      <c r="Q240" s="171" t="s">
        <v>4875</v>
      </c>
      <c r="R240" s="171" t="s">
        <v>4848</v>
      </c>
      <c r="S240" s="100">
        <v>10364</v>
      </c>
      <c r="T240" s="100">
        <v>0</v>
      </c>
      <c r="U240" s="100">
        <v>0</v>
      </c>
      <c r="V240" s="100">
        <v>1</v>
      </c>
      <c r="W240" s="100">
        <v>340</v>
      </c>
      <c r="X240" s="100">
        <v>0</v>
      </c>
      <c r="Y240" s="100">
        <v>340</v>
      </c>
      <c r="Z240" s="100">
        <v>0</v>
      </c>
      <c r="AA240" s="100">
        <v>0.02</v>
      </c>
      <c r="AB240" s="100">
        <v>5.67</v>
      </c>
      <c r="AC240" s="171"/>
      <c r="AD240" s="171"/>
      <c r="AE240" s="171"/>
      <c r="AF240" s="171" t="s">
        <v>4852</v>
      </c>
      <c r="AG240" s="171" t="s">
        <v>5406</v>
      </c>
      <c r="AH240" s="171" t="s">
        <v>5406</v>
      </c>
      <c r="AI240" s="171" t="s">
        <v>4900</v>
      </c>
    </row>
    <row r="241" spans="1:35">
      <c r="A241" s="100">
        <v>569241</v>
      </c>
      <c r="B241" s="171"/>
      <c r="C241" s="100">
        <v>1</v>
      </c>
      <c r="D241" s="100">
        <v>0</v>
      </c>
      <c r="E241" s="100">
        <v>114</v>
      </c>
      <c r="F241" s="171"/>
      <c r="G241" s="171" t="s">
        <v>6160</v>
      </c>
      <c r="H241" s="171"/>
      <c r="I241" s="171" t="s">
        <v>5406</v>
      </c>
      <c r="J241" s="171"/>
      <c r="K241" s="171">
        <v>100</v>
      </c>
      <c r="L241" s="171">
        <v>114</v>
      </c>
      <c r="M241" s="171">
        <v>11404</v>
      </c>
      <c r="N241" s="171">
        <v>10102</v>
      </c>
      <c r="O241" s="171" t="s">
        <v>4097</v>
      </c>
      <c r="P241" s="171" t="s">
        <v>5797</v>
      </c>
      <c r="Q241" s="171" t="s">
        <v>4875</v>
      </c>
      <c r="R241" s="171" t="s">
        <v>4848</v>
      </c>
      <c r="S241" s="100">
        <v>10460</v>
      </c>
      <c r="T241" s="100">
        <v>0</v>
      </c>
      <c r="U241" s="100">
        <v>0</v>
      </c>
      <c r="V241" s="100">
        <v>1</v>
      </c>
      <c r="W241" s="100">
        <v>40</v>
      </c>
      <c r="X241" s="100">
        <v>0</v>
      </c>
      <c r="Y241" s="100">
        <v>40</v>
      </c>
      <c r="Z241" s="100">
        <v>0</v>
      </c>
      <c r="AA241" s="100">
        <v>0.04</v>
      </c>
      <c r="AB241" s="100">
        <v>1.55</v>
      </c>
      <c r="AC241" s="171"/>
      <c r="AD241" s="171"/>
      <c r="AE241" s="171"/>
      <c r="AF241" s="171" t="s">
        <v>4852</v>
      </c>
      <c r="AG241" s="171" t="s">
        <v>5406</v>
      </c>
      <c r="AH241" s="171" t="s">
        <v>5406</v>
      </c>
      <c r="AI241" s="171" t="s">
        <v>4900</v>
      </c>
    </row>
    <row r="242" spans="1:35">
      <c r="A242" s="100">
        <v>569245</v>
      </c>
      <c r="B242" s="171"/>
      <c r="C242" s="100">
        <v>1</v>
      </c>
      <c r="D242" s="100">
        <v>0</v>
      </c>
      <c r="E242" s="100">
        <v>0</v>
      </c>
      <c r="F242" s="171"/>
      <c r="G242" s="171"/>
      <c r="H242" s="171"/>
      <c r="I242" s="171" t="s">
        <v>5406</v>
      </c>
      <c r="J242" s="171"/>
      <c r="K242" s="171">
        <v>100</v>
      </c>
      <c r="L242" s="171">
        <v>114</v>
      </c>
      <c r="M242" s="171">
        <v>11404</v>
      </c>
      <c r="N242" s="171">
        <v>10102</v>
      </c>
      <c r="O242" s="171" t="s">
        <v>4546</v>
      </c>
      <c r="P242" s="171" t="s">
        <v>5804</v>
      </c>
      <c r="Q242" s="171" t="s">
        <v>4855</v>
      </c>
      <c r="R242" s="171" t="s">
        <v>4848</v>
      </c>
      <c r="S242" s="100">
        <v>10522</v>
      </c>
      <c r="T242" s="100">
        <v>0</v>
      </c>
      <c r="U242" s="100">
        <v>0</v>
      </c>
      <c r="V242" s="100">
        <v>1</v>
      </c>
      <c r="W242" s="100">
        <v>1120</v>
      </c>
      <c r="X242" s="100">
        <v>0</v>
      </c>
      <c r="Y242" s="100">
        <v>1120</v>
      </c>
      <c r="Z242" s="100">
        <v>0</v>
      </c>
      <c r="AA242" s="100">
        <v>0.01</v>
      </c>
      <c r="AB242" s="100">
        <v>5.6</v>
      </c>
      <c r="AC242" s="171"/>
      <c r="AD242" s="171"/>
      <c r="AE242" s="171"/>
      <c r="AF242" s="171" t="s">
        <v>4852</v>
      </c>
      <c r="AG242" s="171" t="s">
        <v>5406</v>
      </c>
      <c r="AH242" s="171" t="s">
        <v>5406</v>
      </c>
      <c r="AI242" s="171" t="s">
        <v>5809</v>
      </c>
    </row>
    <row r="243" spans="1:35">
      <c r="A243" s="100">
        <v>569249</v>
      </c>
      <c r="B243" s="171"/>
      <c r="C243" s="100">
        <v>1</v>
      </c>
      <c r="D243" s="100">
        <v>0</v>
      </c>
      <c r="E243" s="100">
        <v>0</v>
      </c>
      <c r="F243" s="171"/>
      <c r="G243" s="171"/>
      <c r="H243" s="171"/>
      <c r="I243" s="171" t="s">
        <v>5406</v>
      </c>
      <c r="J243" s="171"/>
      <c r="K243" s="171">
        <v>100</v>
      </c>
      <c r="L243" s="171">
        <v>114</v>
      </c>
      <c r="M243" s="171">
        <v>11404</v>
      </c>
      <c r="N243" s="171">
        <v>10102</v>
      </c>
      <c r="O243" s="171" t="s">
        <v>4545</v>
      </c>
      <c r="P243" s="171" t="s">
        <v>5807</v>
      </c>
      <c r="Q243" s="171" t="s">
        <v>4855</v>
      </c>
      <c r="R243" s="171" t="s">
        <v>4848</v>
      </c>
      <c r="S243" s="100">
        <v>10520</v>
      </c>
      <c r="T243" s="100">
        <v>0</v>
      </c>
      <c r="U243" s="100">
        <v>0</v>
      </c>
      <c r="V243" s="100">
        <v>1</v>
      </c>
      <c r="W243" s="100">
        <v>140</v>
      </c>
      <c r="X243" s="100">
        <v>0</v>
      </c>
      <c r="Y243" s="100">
        <v>140</v>
      </c>
      <c r="Z243" s="100">
        <v>0</v>
      </c>
      <c r="AA243" s="100">
        <v>0.04</v>
      </c>
      <c r="AB243" s="100">
        <v>5.83</v>
      </c>
      <c r="AC243" s="171"/>
      <c r="AD243" s="171"/>
      <c r="AE243" s="171"/>
      <c r="AF243" s="171" t="s">
        <v>4852</v>
      </c>
      <c r="AG243" s="171" t="s">
        <v>5406</v>
      </c>
      <c r="AH243" s="171" t="s">
        <v>5406</v>
      </c>
      <c r="AI243" s="171" t="s">
        <v>4900</v>
      </c>
    </row>
    <row r="244" spans="1:35">
      <c r="A244" s="100">
        <v>571189</v>
      </c>
      <c r="B244" s="171"/>
      <c r="C244" s="100">
        <v>1</v>
      </c>
      <c r="D244" s="100">
        <v>0</v>
      </c>
      <c r="E244" s="100">
        <v>114</v>
      </c>
      <c r="F244" s="171"/>
      <c r="G244" s="171" t="s">
        <v>6162</v>
      </c>
      <c r="H244" s="171"/>
      <c r="I244" s="171" t="s">
        <v>6169</v>
      </c>
      <c r="J244" s="171"/>
      <c r="K244" s="171">
        <v>100</v>
      </c>
      <c r="L244" s="171">
        <v>114</v>
      </c>
      <c r="M244" s="171">
        <v>11404</v>
      </c>
      <c r="N244" s="171">
        <v>10102</v>
      </c>
      <c r="O244" s="171" t="s">
        <v>4473</v>
      </c>
      <c r="P244" s="171" t="s">
        <v>5927</v>
      </c>
      <c r="Q244" s="171" t="s">
        <v>4875</v>
      </c>
      <c r="R244" s="171" t="s">
        <v>4848</v>
      </c>
      <c r="S244" s="100">
        <v>10028</v>
      </c>
      <c r="T244" s="100">
        <v>0</v>
      </c>
      <c r="U244" s="100">
        <v>0</v>
      </c>
      <c r="V244" s="100">
        <v>1</v>
      </c>
      <c r="W244" s="100">
        <v>770</v>
      </c>
      <c r="X244" s="100">
        <v>0</v>
      </c>
      <c r="Y244" s="100">
        <v>770</v>
      </c>
      <c r="Z244" s="100">
        <v>0</v>
      </c>
      <c r="AA244" s="100">
        <v>7.0000000000000007E-2</v>
      </c>
      <c r="AB244" s="100">
        <v>53.9</v>
      </c>
      <c r="AC244" s="171"/>
      <c r="AD244" s="171"/>
      <c r="AE244" s="171"/>
      <c r="AF244" s="171" t="s">
        <v>4852</v>
      </c>
      <c r="AG244" s="171" t="s">
        <v>6169</v>
      </c>
      <c r="AH244" s="171" t="s">
        <v>6169</v>
      </c>
      <c r="AI244" s="171" t="s">
        <v>4900</v>
      </c>
    </row>
    <row r="245" spans="1:35">
      <c r="A245" s="100">
        <v>571190</v>
      </c>
      <c r="B245" s="171"/>
      <c r="C245" s="100">
        <v>1</v>
      </c>
      <c r="D245" s="100">
        <v>0</v>
      </c>
      <c r="E245" s="100">
        <v>114</v>
      </c>
      <c r="F245" s="171"/>
      <c r="G245" s="171" t="s">
        <v>6162</v>
      </c>
      <c r="H245" s="171"/>
      <c r="I245" s="171" t="s">
        <v>6169</v>
      </c>
      <c r="J245" s="171"/>
      <c r="K245" s="171">
        <v>100</v>
      </c>
      <c r="L245" s="171">
        <v>114</v>
      </c>
      <c r="M245" s="171">
        <v>11404</v>
      </c>
      <c r="N245" s="171">
        <v>10102</v>
      </c>
      <c r="O245" s="171" t="s">
        <v>4473</v>
      </c>
      <c r="P245" s="171" t="s">
        <v>5927</v>
      </c>
      <c r="Q245" s="171" t="s">
        <v>4875</v>
      </c>
      <c r="R245" s="171" t="s">
        <v>4848</v>
      </c>
      <c r="S245" s="100">
        <v>10027</v>
      </c>
      <c r="T245" s="100">
        <v>0</v>
      </c>
      <c r="U245" s="100">
        <v>0</v>
      </c>
      <c r="V245" s="100">
        <v>1</v>
      </c>
      <c r="W245" s="100">
        <v>770</v>
      </c>
      <c r="X245" s="100">
        <v>0</v>
      </c>
      <c r="Y245" s="100">
        <v>770</v>
      </c>
      <c r="Z245" s="100">
        <v>0</v>
      </c>
      <c r="AA245" s="100">
        <v>7.0000000000000007E-2</v>
      </c>
      <c r="AB245" s="100">
        <v>53.9</v>
      </c>
      <c r="AC245" s="171"/>
      <c r="AD245" s="171"/>
      <c r="AE245" s="171"/>
      <c r="AF245" s="171" t="s">
        <v>4852</v>
      </c>
      <c r="AG245" s="171" t="s">
        <v>6169</v>
      </c>
      <c r="AH245" s="171" t="s">
        <v>6169</v>
      </c>
      <c r="AI245" s="171" t="s">
        <v>4900</v>
      </c>
    </row>
    <row r="246" spans="1:35">
      <c r="A246" s="100">
        <v>571191</v>
      </c>
      <c r="B246" s="171"/>
      <c r="C246" s="100">
        <v>1</v>
      </c>
      <c r="D246" s="100">
        <v>0</v>
      </c>
      <c r="E246" s="100">
        <v>114</v>
      </c>
      <c r="F246" s="171"/>
      <c r="G246" s="171" t="s">
        <v>6162</v>
      </c>
      <c r="H246" s="171"/>
      <c r="I246" s="171" t="s">
        <v>6169</v>
      </c>
      <c r="J246" s="171"/>
      <c r="K246" s="171">
        <v>100</v>
      </c>
      <c r="L246" s="171">
        <v>114</v>
      </c>
      <c r="M246" s="171">
        <v>11404</v>
      </c>
      <c r="N246" s="171">
        <v>10102</v>
      </c>
      <c r="O246" s="171" t="s">
        <v>4510</v>
      </c>
      <c r="P246" s="171" t="s">
        <v>5931</v>
      </c>
      <c r="Q246" s="171" t="s">
        <v>4853</v>
      </c>
      <c r="R246" s="171" t="s">
        <v>4848</v>
      </c>
      <c r="S246" s="100">
        <v>3064</v>
      </c>
      <c r="T246" s="100">
        <v>0</v>
      </c>
      <c r="U246" s="100">
        <v>0</v>
      </c>
      <c r="V246" s="100">
        <v>1</v>
      </c>
      <c r="W246" s="100">
        <v>1160</v>
      </c>
      <c r="X246" s="100">
        <v>1160</v>
      </c>
      <c r="Y246" s="100">
        <v>0</v>
      </c>
      <c r="Z246" s="100">
        <v>0</v>
      </c>
      <c r="AA246" s="100">
        <v>0.05</v>
      </c>
      <c r="AB246" s="100">
        <v>58</v>
      </c>
      <c r="AC246" s="171"/>
      <c r="AD246" s="171"/>
      <c r="AE246" s="171"/>
      <c r="AF246" s="171" t="s">
        <v>4852</v>
      </c>
      <c r="AG246" s="171" t="s">
        <v>6169</v>
      </c>
      <c r="AH246" s="171" t="s">
        <v>6169</v>
      </c>
      <c r="AI246" s="171" t="s">
        <v>4902</v>
      </c>
    </row>
    <row r="247" spans="1:35">
      <c r="A247" s="100">
        <v>571192</v>
      </c>
      <c r="B247" s="171"/>
      <c r="C247" s="100">
        <v>1</v>
      </c>
      <c r="D247" s="100">
        <v>0</v>
      </c>
      <c r="E247" s="100">
        <v>114</v>
      </c>
      <c r="F247" s="171"/>
      <c r="G247" s="171" t="s">
        <v>6162</v>
      </c>
      <c r="H247" s="171"/>
      <c r="I247" s="171" t="s">
        <v>6169</v>
      </c>
      <c r="J247" s="171"/>
      <c r="K247" s="171">
        <v>100</v>
      </c>
      <c r="L247" s="171">
        <v>114</v>
      </c>
      <c r="M247" s="171">
        <v>11404</v>
      </c>
      <c r="N247" s="171">
        <v>10102</v>
      </c>
      <c r="O247" s="171" t="s">
        <v>4496</v>
      </c>
      <c r="P247" s="171" t="s">
        <v>6186</v>
      </c>
      <c r="Q247" s="171" t="s">
        <v>4853</v>
      </c>
      <c r="R247" s="171" t="s">
        <v>4848</v>
      </c>
      <c r="S247" s="100">
        <v>3045</v>
      </c>
      <c r="T247" s="100">
        <v>0</v>
      </c>
      <c r="U247" s="100">
        <v>0</v>
      </c>
      <c r="V247" s="100">
        <v>1</v>
      </c>
      <c r="W247" s="100">
        <v>200</v>
      </c>
      <c r="X247" s="100">
        <v>200</v>
      </c>
      <c r="Y247" s="100">
        <v>0</v>
      </c>
      <c r="Z247" s="100">
        <v>0</v>
      </c>
      <c r="AA247" s="100">
        <v>0.08</v>
      </c>
      <c r="AB247" s="100">
        <v>16.670000000000002</v>
      </c>
      <c r="AC247" s="171"/>
      <c r="AD247" s="171"/>
      <c r="AE247" s="171"/>
      <c r="AF247" s="171" t="s">
        <v>4852</v>
      </c>
      <c r="AG247" s="171" t="s">
        <v>6169</v>
      </c>
      <c r="AH247" s="171" t="s">
        <v>6169</v>
      </c>
      <c r="AI247" s="171" t="s">
        <v>4900</v>
      </c>
    </row>
    <row r="248" spans="1:35">
      <c r="A248" s="100">
        <v>572373</v>
      </c>
      <c r="B248" s="171"/>
      <c r="C248" s="100">
        <v>1</v>
      </c>
      <c r="D248" s="100">
        <v>0</v>
      </c>
      <c r="E248" s="100">
        <v>114</v>
      </c>
      <c r="F248" s="171"/>
      <c r="G248" s="171" t="s">
        <v>6172</v>
      </c>
      <c r="H248" s="171"/>
      <c r="I248" s="171" t="s">
        <v>6169</v>
      </c>
      <c r="J248" s="171"/>
      <c r="K248" s="171">
        <v>100</v>
      </c>
      <c r="L248" s="171">
        <v>114</v>
      </c>
      <c r="M248" s="171">
        <v>11404</v>
      </c>
      <c r="N248" s="171">
        <v>10102</v>
      </c>
      <c r="O248" s="171" t="s">
        <v>4098</v>
      </c>
      <c r="P248" s="171" t="s">
        <v>5647</v>
      </c>
      <c r="Q248" s="171" t="s">
        <v>4875</v>
      </c>
      <c r="R248" s="171" t="s">
        <v>4848</v>
      </c>
      <c r="S248" s="100">
        <v>7037</v>
      </c>
      <c r="T248" s="100">
        <v>0</v>
      </c>
      <c r="U248" s="100">
        <v>0</v>
      </c>
      <c r="V248" s="100">
        <v>1</v>
      </c>
      <c r="W248" s="100">
        <v>50</v>
      </c>
      <c r="X248" s="100">
        <v>0</v>
      </c>
      <c r="Y248" s="100">
        <v>50</v>
      </c>
      <c r="Z248" s="100">
        <v>0</v>
      </c>
      <c r="AA248" s="100">
        <v>0.05</v>
      </c>
      <c r="AB248" s="100">
        <v>2.54</v>
      </c>
      <c r="AC248" s="171"/>
      <c r="AD248" s="171"/>
      <c r="AE248" s="171"/>
      <c r="AF248" s="171" t="s">
        <v>4849</v>
      </c>
      <c r="AG248" s="171" t="s">
        <v>6169</v>
      </c>
      <c r="AH248" s="171" t="s">
        <v>6169</v>
      </c>
      <c r="AI248" s="171" t="s">
        <v>4900</v>
      </c>
    </row>
    <row r="249" spans="1:35">
      <c r="A249" s="100">
        <v>572375</v>
      </c>
      <c r="B249" s="171"/>
      <c r="C249" s="100">
        <v>1</v>
      </c>
      <c r="D249" s="100">
        <v>0</v>
      </c>
      <c r="E249" s="100">
        <v>114</v>
      </c>
      <c r="F249" s="171"/>
      <c r="G249" s="171" t="s">
        <v>6172</v>
      </c>
      <c r="H249" s="171"/>
      <c r="I249" s="171" t="s">
        <v>6169</v>
      </c>
      <c r="J249" s="171"/>
      <c r="K249" s="171">
        <v>100</v>
      </c>
      <c r="L249" s="171">
        <v>114</v>
      </c>
      <c r="M249" s="171">
        <v>11404</v>
      </c>
      <c r="N249" s="171">
        <v>10102</v>
      </c>
      <c r="O249" s="171" t="s">
        <v>4187</v>
      </c>
      <c r="P249" s="171" t="s">
        <v>5935</v>
      </c>
      <c r="Q249" s="171" t="s">
        <v>4875</v>
      </c>
      <c r="R249" s="171" t="s">
        <v>4848</v>
      </c>
      <c r="S249" s="100">
        <v>6874</v>
      </c>
      <c r="T249" s="100">
        <v>0</v>
      </c>
      <c r="U249" s="100">
        <v>0</v>
      </c>
      <c r="V249" s="100">
        <v>1</v>
      </c>
      <c r="W249" s="100">
        <v>70</v>
      </c>
      <c r="X249" s="100">
        <v>0</v>
      </c>
      <c r="Y249" s="100">
        <v>70</v>
      </c>
      <c r="Z249" s="100">
        <v>0</v>
      </c>
      <c r="AA249" s="100">
        <v>0.05</v>
      </c>
      <c r="AB249" s="100">
        <v>3.5</v>
      </c>
      <c r="AC249" s="171"/>
      <c r="AD249" s="171"/>
      <c r="AE249" s="171"/>
      <c r="AF249" s="171" t="s">
        <v>4849</v>
      </c>
      <c r="AG249" s="171" t="s">
        <v>6169</v>
      </c>
      <c r="AH249" s="171" t="s">
        <v>6169</v>
      </c>
      <c r="AI249" s="171" t="s">
        <v>4900</v>
      </c>
    </row>
    <row r="250" spans="1:35">
      <c r="A250" s="100">
        <v>572376</v>
      </c>
      <c r="B250" s="171"/>
      <c r="C250" s="100">
        <v>1</v>
      </c>
      <c r="D250" s="100">
        <v>0</v>
      </c>
      <c r="E250" s="100">
        <v>114</v>
      </c>
      <c r="F250" s="171"/>
      <c r="G250" s="171" t="s">
        <v>6172</v>
      </c>
      <c r="H250" s="171"/>
      <c r="I250" s="171" t="s">
        <v>6169</v>
      </c>
      <c r="J250" s="171"/>
      <c r="K250" s="171">
        <v>100</v>
      </c>
      <c r="L250" s="171">
        <v>114</v>
      </c>
      <c r="M250" s="171">
        <v>11404</v>
      </c>
      <c r="N250" s="171">
        <v>10102</v>
      </c>
      <c r="O250" s="171" t="s">
        <v>4144</v>
      </c>
      <c r="P250" s="171" t="s">
        <v>5644</v>
      </c>
      <c r="Q250" s="171" t="s">
        <v>4875</v>
      </c>
      <c r="R250" s="171" t="s">
        <v>4848</v>
      </c>
      <c r="S250" s="100">
        <v>6965</v>
      </c>
      <c r="T250" s="100">
        <v>0</v>
      </c>
      <c r="U250" s="100">
        <v>0</v>
      </c>
      <c r="V250" s="100">
        <v>1</v>
      </c>
      <c r="W250" s="100">
        <v>200</v>
      </c>
      <c r="X250" s="100">
        <v>0</v>
      </c>
      <c r="Y250" s="100">
        <v>200</v>
      </c>
      <c r="Z250" s="100">
        <v>0</v>
      </c>
      <c r="AA250" s="100">
        <v>0.03</v>
      </c>
      <c r="AB250" s="100">
        <v>6.67</v>
      </c>
      <c r="AC250" s="171"/>
      <c r="AD250" s="171"/>
      <c r="AE250" s="171"/>
      <c r="AF250" s="171" t="s">
        <v>4849</v>
      </c>
      <c r="AG250" s="171" t="s">
        <v>6169</v>
      </c>
      <c r="AH250" s="171" t="s">
        <v>6169</v>
      </c>
      <c r="AI250" s="171" t="s">
        <v>4900</v>
      </c>
    </row>
    <row r="251" spans="1:35">
      <c r="A251" s="100">
        <v>572377</v>
      </c>
      <c r="B251" s="171"/>
      <c r="C251" s="100">
        <v>1</v>
      </c>
      <c r="D251" s="100">
        <v>0</v>
      </c>
      <c r="E251" s="100">
        <v>114</v>
      </c>
      <c r="F251" s="171"/>
      <c r="G251" s="171" t="s">
        <v>6172</v>
      </c>
      <c r="H251" s="171"/>
      <c r="I251" s="171" t="s">
        <v>6169</v>
      </c>
      <c r="J251" s="171"/>
      <c r="K251" s="171">
        <v>100</v>
      </c>
      <c r="L251" s="171">
        <v>114</v>
      </c>
      <c r="M251" s="171">
        <v>11404</v>
      </c>
      <c r="N251" s="171">
        <v>10102</v>
      </c>
      <c r="O251" s="171" t="s">
        <v>4194</v>
      </c>
      <c r="P251" s="171" t="s">
        <v>6187</v>
      </c>
      <c r="Q251" s="171" t="s">
        <v>4853</v>
      </c>
      <c r="R251" s="171" t="s">
        <v>4848</v>
      </c>
      <c r="S251" s="100">
        <v>6951</v>
      </c>
      <c r="T251" s="100">
        <v>0</v>
      </c>
      <c r="U251" s="100">
        <v>0</v>
      </c>
      <c r="V251" s="100">
        <v>1</v>
      </c>
      <c r="W251" s="100">
        <v>200</v>
      </c>
      <c r="X251" s="100">
        <v>200</v>
      </c>
      <c r="Y251" s="100">
        <v>0</v>
      </c>
      <c r="Z251" s="100">
        <v>0</v>
      </c>
      <c r="AA251" s="100">
        <v>0.03</v>
      </c>
      <c r="AB251" s="100">
        <v>5</v>
      </c>
      <c r="AC251" s="171"/>
      <c r="AD251" s="171"/>
      <c r="AE251" s="171"/>
      <c r="AF251" s="171" t="s">
        <v>4849</v>
      </c>
      <c r="AG251" s="171" t="s">
        <v>6169</v>
      </c>
      <c r="AH251" s="171" t="s">
        <v>6169</v>
      </c>
      <c r="AI251" s="171" t="s">
        <v>4900</v>
      </c>
    </row>
    <row r="252" spans="1:35">
      <c r="A252" s="100">
        <v>572378</v>
      </c>
      <c r="B252" s="171"/>
      <c r="C252" s="100">
        <v>1</v>
      </c>
      <c r="D252" s="100">
        <v>0</v>
      </c>
      <c r="E252" s="100">
        <v>0</v>
      </c>
      <c r="F252" s="171"/>
      <c r="G252" s="171"/>
      <c r="H252" s="171"/>
      <c r="I252" s="171" t="s">
        <v>6169</v>
      </c>
      <c r="J252" s="171"/>
      <c r="K252" s="171">
        <v>100</v>
      </c>
      <c r="L252" s="171">
        <v>114</v>
      </c>
      <c r="M252" s="171">
        <v>11404</v>
      </c>
      <c r="N252" s="171">
        <v>10102</v>
      </c>
      <c r="O252" s="171" t="s">
        <v>4306</v>
      </c>
      <c r="P252" s="171" t="s">
        <v>6038</v>
      </c>
      <c r="Q252" s="171"/>
      <c r="R252" s="171" t="s">
        <v>4848</v>
      </c>
      <c r="S252" s="100">
        <v>6931</v>
      </c>
      <c r="T252" s="100">
        <v>0</v>
      </c>
      <c r="U252" s="100">
        <v>0</v>
      </c>
      <c r="V252" s="100">
        <v>1</v>
      </c>
      <c r="W252" s="100">
        <v>50</v>
      </c>
      <c r="X252" s="100">
        <v>0</v>
      </c>
      <c r="Y252" s="100">
        <v>50</v>
      </c>
      <c r="Z252" s="100">
        <v>0</v>
      </c>
      <c r="AA252" s="100">
        <v>0.03</v>
      </c>
      <c r="AB252" s="100">
        <v>1.25</v>
      </c>
      <c r="AC252" s="171"/>
      <c r="AD252" s="171"/>
      <c r="AE252" s="171"/>
      <c r="AF252" s="171" t="s">
        <v>4849</v>
      </c>
      <c r="AG252" s="171" t="s">
        <v>6169</v>
      </c>
      <c r="AH252" s="171" t="s">
        <v>6169</v>
      </c>
      <c r="AI252" s="171" t="s">
        <v>4900</v>
      </c>
    </row>
    <row r="253" spans="1:35">
      <c r="A253" s="100">
        <v>572867</v>
      </c>
      <c r="B253" s="171"/>
      <c r="C253" s="100">
        <v>1</v>
      </c>
      <c r="D253" s="100">
        <v>0</v>
      </c>
      <c r="E253" s="100">
        <v>114</v>
      </c>
      <c r="F253" s="171"/>
      <c r="G253" s="171" t="s">
        <v>6172</v>
      </c>
      <c r="H253" s="171"/>
      <c r="I253" s="171" t="s">
        <v>6162</v>
      </c>
      <c r="J253" s="171"/>
      <c r="K253" s="171">
        <v>100</v>
      </c>
      <c r="L253" s="171">
        <v>114</v>
      </c>
      <c r="M253" s="171">
        <v>11404</v>
      </c>
      <c r="N253" s="171">
        <v>10104</v>
      </c>
      <c r="O253" s="171" t="s">
        <v>564</v>
      </c>
      <c r="P253" s="171" t="s">
        <v>5270</v>
      </c>
      <c r="Q253" s="171" t="s">
        <v>4875</v>
      </c>
      <c r="R253" s="171" t="s">
        <v>4848</v>
      </c>
      <c r="S253" s="100">
        <v>7038</v>
      </c>
      <c r="T253" s="100">
        <v>0</v>
      </c>
      <c r="U253" s="100">
        <v>0</v>
      </c>
      <c r="V253" s="100">
        <v>1</v>
      </c>
      <c r="W253" s="100">
        <v>30</v>
      </c>
      <c r="X253" s="100">
        <v>0</v>
      </c>
      <c r="Y253" s="100">
        <v>30</v>
      </c>
      <c r="Z253" s="100">
        <v>0</v>
      </c>
      <c r="AA253" s="100">
        <v>0.05</v>
      </c>
      <c r="AB253" s="100">
        <v>1.5</v>
      </c>
      <c r="AC253" s="171"/>
      <c r="AD253" s="171"/>
      <c r="AE253" s="171"/>
      <c r="AF253" s="171" t="s">
        <v>4849</v>
      </c>
      <c r="AG253" s="171" t="s">
        <v>6162</v>
      </c>
      <c r="AH253" s="171" t="s">
        <v>6162</v>
      </c>
      <c r="AI253" s="171" t="s">
        <v>4900</v>
      </c>
    </row>
    <row r="254" spans="1:35">
      <c r="A254" s="100">
        <v>572869</v>
      </c>
      <c r="B254" s="171"/>
      <c r="C254" s="100">
        <v>1</v>
      </c>
      <c r="D254" s="100">
        <v>0</v>
      </c>
      <c r="E254" s="100">
        <v>114</v>
      </c>
      <c r="F254" s="171"/>
      <c r="G254" s="171" t="s">
        <v>6172</v>
      </c>
      <c r="H254" s="171"/>
      <c r="I254" s="171" t="s">
        <v>6162</v>
      </c>
      <c r="J254" s="171"/>
      <c r="K254" s="171">
        <v>100</v>
      </c>
      <c r="L254" s="171">
        <v>114</v>
      </c>
      <c r="M254" s="171">
        <v>11404</v>
      </c>
      <c r="N254" s="171">
        <v>10104</v>
      </c>
      <c r="O254" s="171" t="s">
        <v>910</v>
      </c>
      <c r="P254" s="171" t="s">
        <v>5941</v>
      </c>
      <c r="Q254" s="171" t="s">
        <v>4875</v>
      </c>
      <c r="R254" s="171" t="s">
        <v>4848</v>
      </c>
      <c r="S254" s="100">
        <v>3569</v>
      </c>
      <c r="T254" s="100">
        <v>0</v>
      </c>
      <c r="U254" s="100">
        <v>0</v>
      </c>
      <c r="V254" s="100">
        <v>1</v>
      </c>
      <c r="W254" s="100">
        <v>50</v>
      </c>
      <c r="X254" s="100">
        <v>0</v>
      </c>
      <c r="Y254" s="100">
        <v>50</v>
      </c>
      <c r="Z254" s="100">
        <v>0</v>
      </c>
      <c r="AA254" s="100">
        <v>0.03</v>
      </c>
      <c r="AB254" s="100">
        <v>1.39</v>
      </c>
      <c r="AC254" s="171"/>
      <c r="AD254" s="171"/>
      <c r="AE254" s="171"/>
      <c r="AF254" s="171" t="s">
        <v>4849</v>
      </c>
      <c r="AG254" s="171" t="s">
        <v>6162</v>
      </c>
      <c r="AH254" s="171" t="s">
        <v>6162</v>
      </c>
      <c r="AI254" s="171" t="s">
        <v>4900</v>
      </c>
    </row>
    <row r="255" spans="1:35">
      <c r="A255" s="100">
        <v>572871</v>
      </c>
      <c r="B255" s="171"/>
      <c r="C255" s="100">
        <v>1</v>
      </c>
      <c r="D255" s="100">
        <v>0</v>
      </c>
      <c r="E255" s="100">
        <v>114</v>
      </c>
      <c r="F255" s="171"/>
      <c r="G255" s="171" t="s">
        <v>6172</v>
      </c>
      <c r="H255" s="171"/>
      <c r="I255" s="171" t="s">
        <v>6162</v>
      </c>
      <c r="J255" s="171"/>
      <c r="K255" s="171">
        <v>100</v>
      </c>
      <c r="L255" s="171">
        <v>114</v>
      </c>
      <c r="M255" s="171">
        <v>11404</v>
      </c>
      <c r="N255" s="171">
        <v>10102</v>
      </c>
      <c r="O255" s="171" t="s">
        <v>568</v>
      </c>
      <c r="P255" s="171" t="s">
        <v>5646</v>
      </c>
      <c r="Q255" s="171" t="s">
        <v>4875</v>
      </c>
      <c r="R255" s="171" t="s">
        <v>4848</v>
      </c>
      <c r="S255" s="100">
        <v>7041</v>
      </c>
      <c r="T255" s="100">
        <v>0</v>
      </c>
      <c r="U255" s="100">
        <v>0</v>
      </c>
      <c r="V255" s="100">
        <v>1</v>
      </c>
      <c r="W255" s="100">
        <v>30</v>
      </c>
      <c r="X255" s="100">
        <v>0</v>
      </c>
      <c r="Y255" s="100">
        <v>30</v>
      </c>
      <c r="Z255" s="100">
        <v>0</v>
      </c>
      <c r="AA255" s="100">
        <v>0.03</v>
      </c>
      <c r="AB255" s="100">
        <v>1</v>
      </c>
      <c r="AC255" s="171"/>
      <c r="AD255" s="171"/>
      <c r="AE255" s="171"/>
      <c r="AF255" s="171" t="s">
        <v>4849</v>
      </c>
      <c r="AG255" s="171" t="s">
        <v>6162</v>
      </c>
      <c r="AH255" s="171" t="s">
        <v>6162</v>
      </c>
      <c r="AI255" s="171" t="s">
        <v>4902</v>
      </c>
    </row>
    <row r="256" spans="1:35">
      <c r="A256" s="100">
        <v>572872</v>
      </c>
      <c r="B256" s="171"/>
      <c r="C256" s="100">
        <v>1</v>
      </c>
      <c r="D256" s="100">
        <v>0</v>
      </c>
      <c r="E256" s="100">
        <v>114</v>
      </c>
      <c r="F256" s="171"/>
      <c r="G256" s="171" t="s">
        <v>6172</v>
      </c>
      <c r="H256" s="171"/>
      <c r="I256" s="171" t="s">
        <v>6162</v>
      </c>
      <c r="J256" s="171"/>
      <c r="K256" s="171">
        <v>100</v>
      </c>
      <c r="L256" s="171">
        <v>114</v>
      </c>
      <c r="M256" s="171">
        <v>11404</v>
      </c>
      <c r="N256" s="171">
        <v>10102</v>
      </c>
      <c r="O256" s="171" t="s">
        <v>4190</v>
      </c>
      <c r="P256" s="171" t="s">
        <v>5645</v>
      </c>
      <c r="Q256" s="171" t="s">
        <v>4875</v>
      </c>
      <c r="R256" s="171" t="s">
        <v>4848</v>
      </c>
      <c r="S256" s="100">
        <v>7042</v>
      </c>
      <c r="T256" s="100">
        <v>0</v>
      </c>
      <c r="U256" s="100">
        <v>0</v>
      </c>
      <c r="V256" s="100">
        <v>1</v>
      </c>
      <c r="W256" s="100">
        <v>50</v>
      </c>
      <c r="X256" s="100">
        <v>0</v>
      </c>
      <c r="Y256" s="100">
        <v>50</v>
      </c>
      <c r="Z256" s="100">
        <v>0</v>
      </c>
      <c r="AA256" s="100">
        <v>0.03</v>
      </c>
      <c r="AB256" s="100">
        <v>1.67</v>
      </c>
      <c r="AC256" s="171"/>
      <c r="AD256" s="171"/>
      <c r="AE256" s="171"/>
      <c r="AF256" s="171" t="s">
        <v>4849</v>
      </c>
      <c r="AG256" s="171" t="s">
        <v>6162</v>
      </c>
      <c r="AH256" s="171" t="s">
        <v>6162</v>
      </c>
      <c r="AI256" s="171" t="s">
        <v>4900</v>
      </c>
    </row>
    <row r="257" spans="1:35">
      <c r="A257" s="100">
        <v>572873</v>
      </c>
      <c r="B257" s="171"/>
      <c r="C257" s="100">
        <v>1</v>
      </c>
      <c r="D257" s="100">
        <v>0</v>
      </c>
      <c r="E257" s="100">
        <v>114</v>
      </c>
      <c r="F257" s="171"/>
      <c r="G257" s="171" t="s">
        <v>6172</v>
      </c>
      <c r="H257" s="171"/>
      <c r="I257" s="171" t="s">
        <v>6162</v>
      </c>
      <c r="J257" s="171"/>
      <c r="K257" s="171">
        <v>100</v>
      </c>
      <c r="L257" s="171">
        <v>114</v>
      </c>
      <c r="M257" s="171">
        <v>11404</v>
      </c>
      <c r="N257" s="171">
        <v>10102</v>
      </c>
      <c r="O257" s="171" t="s">
        <v>560</v>
      </c>
      <c r="P257" s="171" t="s">
        <v>5945</v>
      </c>
      <c r="Q257" s="171" t="s">
        <v>4875</v>
      </c>
      <c r="R257" s="171" t="s">
        <v>4848</v>
      </c>
      <c r="S257" s="100">
        <v>3144</v>
      </c>
      <c r="T257" s="100">
        <v>0</v>
      </c>
      <c r="U257" s="100">
        <v>0</v>
      </c>
      <c r="V257" s="100">
        <v>1</v>
      </c>
      <c r="W257" s="100">
        <v>50</v>
      </c>
      <c r="X257" s="100">
        <v>0</v>
      </c>
      <c r="Y257" s="100">
        <v>50</v>
      </c>
      <c r="Z257" s="100">
        <v>0</v>
      </c>
      <c r="AA257" s="100">
        <v>0.04</v>
      </c>
      <c r="AB257" s="100">
        <v>2.08</v>
      </c>
      <c r="AC257" s="171"/>
      <c r="AD257" s="171"/>
      <c r="AE257" s="171"/>
      <c r="AF257" s="171" t="s">
        <v>4849</v>
      </c>
      <c r="AG257" s="171" t="s">
        <v>6162</v>
      </c>
      <c r="AH257" s="171" t="s">
        <v>6162</v>
      </c>
      <c r="AI257" s="171" t="s">
        <v>4900</v>
      </c>
    </row>
    <row r="258" spans="1:35">
      <c r="A258" s="100">
        <v>572874</v>
      </c>
      <c r="B258" s="171"/>
      <c r="C258" s="100">
        <v>1</v>
      </c>
      <c r="D258" s="100">
        <v>0</v>
      </c>
      <c r="E258" s="100">
        <v>114</v>
      </c>
      <c r="F258" s="171"/>
      <c r="G258" s="171" t="s">
        <v>6172</v>
      </c>
      <c r="H258" s="171"/>
      <c r="I258" s="171" t="s">
        <v>6162</v>
      </c>
      <c r="J258" s="171"/>
      <c r="K258" s="171">
        <v>100</v>
      </c>
      <c r="L258" s="171">
        <v>114</v>
      </c>
      <c r="M258" s="171">
        <v>11404</v>
      </c>
      <c r="N258" s="171">
        <v>10102</v>
      </c>
      <c r="O258" s="171" t="s">
        <v>559</v>
      </c>
      <c r="P258" s="171" t="s">
        <v>5947</v>
      </c>
      <c r="Q258" s="171" t="s">
        <v>4875</v>
      </c>
      <c r="R258" s="171" t="s">
        <v>4848</v>
      </c>
      <c r="S258" s="100">
        <v>3140</v>
      </c>
      <c r="T258" s="100">
        <v>0</v>
      </c>
      <c r="U258" s="100">
        <v>0</v>
      </c>
      <c r="V258" s="100">
        <v>1</v>
      </c>
      <c r="W258" s="100">
        <v>150</v>
      </c>
      <c r="X258" s="100">
        <v>0</v>
      </c>
      <c r="Y258" s="100">
        <v>150</v>
      </c>
      <c r="Z258" s="100">
        <v>0</v>
      </c>
      <c r="AA258" s="100">
        <v>0.04</v>
      </c>
      <c r="AB258" s="100">
        <v>6.25</v>
      </c>
      <c r="AC258" s="171"/>
      <c r="AD258" s="171"/>
      <c r="AE258" s="171"/>
      <c r="AF258" s="171" t="s">
        <v>4849</v>
      </c>
      <c r="AG258" s="171" t="s">
        <v>6162</v>
      </c>
      <c r="AH258" s="171" t="s">
        <v>6162</v>
      </c>
      <c r="AI258" s="171" t="s">
        <v>4900</v>
      </c>
    </row>
    <row r="259" spans="1:35">
      <c r="A259" s="100">
        <v>573887</v>
      </c>
      <c r="B259" s="171"/>
      <c r="C259" s="100">
        <v>1</v>
      </c>
      <c r="D259" s="100">
        <v>0</v>
      </c>
      <c r="E259" s="100">
        <v>114</v>
      </c>
      <c r="F259" s="171"/>
      <c r="G259" s="171" t="s">
        <v>6172</v>
      </c>
      <c r="H259" s="171"/>
      <c r="I259" s="171" t="s">
        <v>6159</v>
      </c>
      <c r="J259" s="171"/>
      <c r="K259" s="171">
        <v>100</v>
      </c>
      <c r="L259" s="171">
        <v>114</v>
      </c>
      <c r="M259" s="171">
        <v>11404</v>
      </c>
      <c r="N259" s="171">
        <v>10102</v>
      </c>
      <c r="O259" s="171" t="s">
        <v>4098</v>
      </c>
      <c r="P259" s="171" t="s">
        <v>5647</v>
      </c>
      <c r="Q259" s="171" t="s">
        <v>4875</v>
      </c>
      <c r="R259" s="171" t="s">
        <v>4848</v>
      </c>
      <c r="S259" s="100">
        <v>7036</v>
      </c>
      <c r="T259" s="100">
        <v>0</v>
      </c>
      <c r="U259" s="100">
        <v>0</v>
      </c>
      <c r="V259" s="100">
        <v>1</v>
      </c>
      <c r="W259" s="100">
        <v>50</v>
      </c>
      <c r="X259" s="100">
        <v>0</v>
      </c>
      <c r="Y259" s="100">
        <v>50</v>
      </c>
      <c r="Z259" s="100">
        <v>0</v>
      </c>
      <c r="AA259" s="100">
        <v>0.05</v>
      </c>
      <c r="AB259" s="100">
        <v>2.54</v>
      </c>
      <c r="AC259" s="171"/>
      <c r="AD259" s="171"/>
      <c r="AE259" s="171"/>
      <c r="AF259" s="171" t="s">
        <v>4849</v>
      </c>
      <c r="AG259" s="171" t="s">
        <v>6159</v>
      </c>
      <c r="AH259" s="171" t="s">
        <v>6159</v>
      </c>
      <c r="AI259" s="171" t="s">
        <v>4900</v>
      </c>
    </row>
    <row r="260" spans="1:35">
      <c r="A260" s="100">
        <v>573889</v>
      </c>
      <c r="B260" s="171"/>
      <c r="C260" s="100">
        <v>1</v>
      </c>
      <c r="D260" s="100">
        <v>0</v>
      </c>
      <c r="E260" s="100">
        <v>114</v>
      </c>
      <c r="F260" s="171"/>
      <c r="G260" s="171" t="s">
        <v>6172</v>
      </c>
      <c r="H260" s="171"/>
      <c r="I260" s="171" t="s">
        <v>6159</v>
      </c>
      <c r="J260" s="171"/>
      <c r="K260" s="171">
        <v>100</v>
      </c>
      <c r="L260" s="171">
        <v>114</v>
      </c>
      <c r="M260" s="171">
        <v>11404</v>
      </c>
      <c r="N260" s="171">
        <v>10102</v>
      </c>
      <c r="O260" s="171" t="s">
        <v>4187</v>
      </c>
      <c r="P260" s="171" t="s">
        <v>5935</v>
      </c>
      <c r="Q260" s="171" t="s">
        <v>4875</v>
      </c>
      <c r="R260" s="171" t="s">
        <v>4848</v>
      </c>
      <c r="S260" s="100">
        <v>6875</v>
      </c>
      <c r="T260" s="100">
        <v>0</v>
      </c>
      <c r="U260" s="100">
        <v>0</v>
      </c>
      <c r="V260" s="100">
        <v>1</v>
      </c>
      <c r="W260" s="100">
        <v>70</v>
      </c>
      <c r="X260" s="100">
        <v>0</v>
      </c>
      <c r="Y260" s="100">
        <v>70</v>
      </c>
      <c r="Z260" s="100">
        <v>0</v>
      </c>
      <c r="AA260" s="100">
        <v>0.05</v>
      </c>
      <c r="AB260" s="100">
        <v>3.5</v>
      </c>
      <c r="AC260" s="171"/>
      <c r="AD260" s="171"/>
      <c r="AE260" s="171"/>
      <c r="AF260" s="171" t="s">
        <v>4849</v>
      </c>
      <c r="AG260" s="171" t="s">
        <v>6159</v>
      </c>
      <c r="AH260" s="171" t="s">
        <v>6159</v>
      </c>
      <c r="AI260" s="171" t="s">
        <v>4900</v>
      </c>
    </row>
    <row r="261" spans="1:35">
      <c r="A261" s="100">
        <v>573896</v>
      </c>
      <c r="B261" s="171"/>
      <c r="C261" s="100">
        <v>1</v>
      </c>
      <c r="D261" s="100">
        <v>0</v>
      </c>
      <c r="E261" s="100">
        <v>0</v>
      </c>
      <c r="F261" s="171"/>
      <c r="G261" s="171"/>
      <c r="H261" s="171"/>
      <c r="I261" s="171" t="s">
        <v>6157</v>
      </c>
      <c r="J261" s="171"/>
      <c r="K261" s="171">
        <v>100</v>
      </c>
      <c r="L261" s="171">
        <v>114</v>
      </c>
      <c r="M261" s="171">
        <v>11404</v>
      </c>
      <c r="N261" s="171">
        <v>10102</v>
      </c>
      <c r="O261" s="171" t="s">
        <v>4489</v>
      </c>
      <c r="P261" s="171" t="s">
        <v>5951</v>
      </c>
      <c r="Q261" s="171"/>
      <c r="R261" s="171" t="s">
        <v>4848</v>
      </c>
      <c r="S261" s="100">
        <v>11941</v>
      </c>
      <c r="T261" s="100">
        <v>0</v>
      </c>
      <c r="U261" s="100">
        <v>0</v>
      </c>
      <c r="V261" s="100">
        <v>1</v>
      </c>
      <c r="W261" s="100">
        <v>1152</v>
      </c>
      <c r="X261" s="100">
        <v>0</v>
      </c>
      <c r="Y261" s="100">
        <v>1152</v>
      </c>
      <c r="Z261" s="100">
        <v>0</v>
      </c>
      <c r="AA261" s="100">
        <v>0.08</v>
      </c>
      <c r="AB261" s="100">
        <v>96</v>
      </c>
      <c r="AC261" s="171"/>
      <c r="AD261" s="171"/>
      <c r="AE261" s="171"/>
      <c r="AF261" s="171" t="s">
        <v>4852</v>
      </c>
      <c r="AG261" s="171" t="s">
        <v>6157</v>
      </c>
      <c r="AH261" s="171" t="s">
        <v>6157</v>
      </c>
      <c r="AI261" s="171" t="s">
        <v>4900</v>
      </c>
    </row>
    <row r="262" spans="1:35">
      <c r="A262" s="100">
        <v>573898</v>
      </c>
      <c r="B262" s="171"/>
      <c r="C262" s="100">
        <v>1</v>
      </c>
      <c r="D262" s="100">
        <v>0</v>
      </c>
      <c r="E262" s="100">
        <v>114</v>
      </c>
      <c r="F262" s="171"/>
      <c r="G262" s="171" t="s">
        <v>6170</v>
      </c>
      <c r="H262" s="171"/>
      <c r="I262" s="171" t="s">
        <v>6157</v>
      </c>
      <c r="J262" s="171"/>
      <c r="K262" s="171">
        <v>100</v>
      </c>
      <c r="L262" s="171">
        <v>114</v>
      </c>
      <c r="M262" s="171">
        <v>11404</v>
      </c>
      <c r="N262" s="171">
        <v>10102</v>
      </c>
      <c r="O262" s="171" t="s">
        <v>4489</v>
      </c>
      <c r="P262" s="171" t="s">
        <v>5951</v>
      </c>
      <c r="Q262" s="171" t="s">
        <v>4853</v>
      </c>
      <c r="R262" s="171" t="s">
        <v>4848</v>
      </c>
      <c r="S262" s="100">
        <v>11942</v>
      </c>
      <c r="T262" s="100">
        <v>0</v>
      </c>
      <c r="U262" s="100">
        <v>0</v>
      </c>
      <c r="V262" s="100">
        <v>1</v>
      </c>
      <c r="W262" s="100">
        <v>1152</v>
      </c>
      <c r="X262" s="100">
        <v>1152</v>
      </c>
      <c r="Y262" s="100">
        <v>0</v>
      </c>
      <c r="Z262" s="100">
        <v>0</v>
      </c>
      <c r="AA262" s="100">
        <v>0.08</v>
      </c>
      <c r="AB262" s="100">
        <v>96</v>
      </c>
      <c r="AC262" s="171"/>
      <c r="AD262" s="171"/>
      <c r="AE262" s="171"/>
      <c r="AF262" s="171" t="s">
        <v>4852</v>
      </c>
      <c r="AG262" s="171" t="s">
        <v>6157</v>
      </c>
      <c r="AH262" s="171" t="s">
        <v>6157</v>
      </c>
      <c r="AI262" s="171" t="s">
        <v>4900</v>
      </c>
    </row>
    <row r="263" spans="1:35">
      <c r="A263" s="100">
        <v>574038</v>
      </c>
      <c r="B263" s="171"/>
      <c r="C263" s="100">
        <v>1</v>
      </c>
      <c r="D263" s="100">
        <v>0</v>
      </c>
      <c r="E263" s="100">
        <v>0</v>
      </c>
      <c r="F263" s="171"/>
      <c r="G263" s="171"/>
      <c r="H263" s="171"/>
      <c r="I263" s="171" t="s">
        <v>6157</v>
      </c>
      <c r="J263" s="171"/>
      <c r="K263" s="171">
        <v>100</v>
      </c>
      <c r="L263" s="171">
        <v>114</v>
      </c>
      <c r="M263" s="171">
        <v>11404</v>
      </c>
      <c r="N263" s="171">
        <v>10102</v>
      </c>
      <c r="O263" s="171" t="s">
        <v>2227</v>
      </c>
      <c r="P263" s="171" t="s">
        <v>6068</v>
      </c>
      <c r="Q263" s="171" t="s">
        <v>4855</v>
      </c>
      <c r="R263" s="171" t="s">
        <v>4848</v>
      </c>
      <c r="S263" s="100">
        <v>9751</v>
      </c>
      <c r="T263" s="100">
        <v>0</v>
      </c>
      <c r="U263" s="100">
        <v>0</v>
      </c>
      <c r="V263" s="100">
        <v>1</v>
      </c>
      <c r="W263" s="100">
        <v>70</v>
      </c>
      <c r="X263" s="100">
        <v>0</v>
      </c>
      <c r="Y263" s="100">
        <v>70</v>
      </c>
      <c r="Z263" s="100">
        <v>0</v>
      </c>
      <c r="AA263" s="100">
        <v>0.02</v>
      </c>
      <c r="AB263" s="100">
        <v>1.52</v>
      </c>
      <c r="AC263" s="171"/>
      <c r="AD263" s="171"/>
      <c r="AE263" s="171"/>
      <c r="AF263" s="171" t="s">
        <v>4886</v>
      </c>
      <c r="AG263" s="171" t="s">
        <v>6157</v>
      </c>
      <c r="AH263" s="171" t="s">
        <v>6157</v>
      </c>
      <c r="AI263" s="171" t="s">
        <v>4900</v>
      </c>
    </row>
    <row r="264" spans="1:35">
      <c r="A264" s="100">
        <v>574045</v>
      </c>
      <c r="B264" s="171"/>
      <c r="C264" s="100">
        <v>1</v>
      </c>
      <c r="D264" s="100">
        <v>0</v>
      </c>
      <c r="E264" s="100">
        <v>114</v>
      </c>
      <c r="F264" s="171"/>
      <c r="G264" s="171" t="s">
        <v>6172</v>
      </c>
      <c r="H264" s="171"/>
      <c r="I264" s="171" t="s">
        <v>6157</v>
      </c>
      <c r="J264" s="171"/>
      <c r="K264" s="171">
        <v>100</v>
      </c>
      <c r="L264" s="171">
        <v>114</v>
      </c>
      <c r="M264" s="171">
        <v>11404</v>
      </c>
      <c r="N264" s="171">
        <v>10102</v>
      </c>
      <c r="O264" s="171" t="s">
        <v>4305</v>
      </c>
      <c r="P264" s="171" t="s">
        <v>5956</v>
      </c>
      <c r="Q264" s="171" t="s">
        <v>4853</v>
      </c>
      <c r="R264" s="171" t="s">
        <v>4848</v>
      </c>
      <c r="S264" s="100">
        <v>6928</v>
      </c>
      <c r="T264" s="100">
        <v>0</v>
      </c>
      <c r="U264" s="100">
        <v>0</v>
      </c>
      <c r="V264" s="100">
        <v>1</v>
      </c>
      <c r="W264" s="100">
        <v>50</v>
      </c>
      <c r="X264" s="100">
        <v>50</v>
      </c>
      <c r="Y264" s="100">
        <v>0</v>
      </c>
      <c r="Z264" s="100">
        <v>0</v>
      </c>
      <c r="AA264" s="100">
        <v>0.04</v>
      </c>
      <c r="AB264" s="100">
        <v>1.95</v>
      </c>
      <c r="AC264" s="171"/>
      <c r="AD264" s="171"/>
      <c r="AE264" s="171"/>
      <c r="AF264" s="171" t="s">
        <v>4849</v>
      </c>
      <c r="AG264" s="171" t="s">
        <v>6157</v>
      </c>
      <c r="AH264" s="171" t="s">
        <v>6157</v>
      </c>
      <c r="AI264" s="171" t="s">
        <v>4900</v>
      </c>
    </row>
    <row r="265" spans="1:35">
      <c r="A265" s="100">
        <v>574050</v>
      </c>
      <c r="B265" s="171"/>
      <c r="C265" s="100">
        <v>1</v>
      </c>
      <c r="D265" s="100">
        <v>0</v>
      </c>
      <c r="E265" s="100">
        <v>114</v>
      </c>
      <c r="F265" s="171"/>
      <c r="G265" s="171" t="s">
        <v>6172</v>
      </c>
      <c r="H265" s="171"/>
      <c r="I265" s="171" t="s">
        <v>6157</v>
      </c>
      <c r="J265" s="171"/>
      <c r="K265" s="171">
        <v>100</v>
      </c>
      <c r="L265" s="171">
        <v>114</v>
      </c>
      <c r="M265" s="171">
        <v>11404</v>
      </c>
      <c r="N265" s="171">
        <v>22001</v>
      </c>
      <c r="O265" s="171" t="s">
        <v>4173</v>
      </c>
      <c r="P265" s="171" t="s">
        <v>5960</v>
      </c>
      <c r="Q265" s="171" t="s">
        <v>4853</v>
      </c>
      <c r="R265" s="171" t="s">
        <v>4848</v>
      </c>
      <c r="S265" s="100">
        <v>7166</v>
      </c>
      <c r="T265" s="100">
        <v>0</v>
      </c>
      <c r="U265" s="100">
        <v>0</v>
      </c>
      <c r="V265" s="100">
        <v>1</v>
      </c>
      <c r="W265" s="100">
        <v>100</v>
      </c>
      <c r="X265" s="100">
        <v>100</v>
      </c>
      <c r="Y265" s="100">
        <v>0</v>
      </c>
      <c r="Z265" s="100">
        <v>0</v>
      </c>
      <c r="AA265" s="100">
        <v>0.02</v>
      </c>
      <c r="AB265" s="100">
        <v>2.2200000000000002</v>
      </c>
      <c r="AC265" s="171"/>
      <c r="AD265" s="171"/>
      <c r="AE265" s="171"/>
      <c r="AF265" s="171" t="s">
        <v>4849</v>
      </c>
      <c r="AG265" s="171" t="s">
        <v>6157</v>
      </c>
      <c r="AH265" s="171" t="s">
        <v>6157</v>
      </c>
      <c r="AI265" s="171" t="s">
        <v>4900</v>
      </c>
    </row>
    <row r="266" spans="1:35">
      <c r="A266" s="100">
        <v>574051</v>
      </c>
      <c r="B266" s="171"/>
      <c r="C266" s="100">
        <v>1</v>
      </c>
      <c r="D266" s="100">
        <v>0</v>
      </c>
      <c r="E266" s="100">
        <v>114</v>
      </c>
      <c r="F266" s="171"/>
      <c r="G266" s="171" t="s">
        <v>6172</v>
      </c>
      <c r="H266" s="171"/>
      <c r="I266" s="171" t="s">
        <v>6157</v>
      </c>
      <c r="J266" s="171"/>
      <c r="K266" s="171">
        <v>100</v>
      </c>
      <c r="L266" s="171">
        <v>114</v>
      </c>
      <c r="M266" s="171">
        <v>11404</v>
      </c>
      <c r="N266" s="171">
        <v>10102</v>
      </c>
      <c r="O266" s="171" t="s">
        <v>4195</v>
      </c>
      <c r="P266" s="171" t="s">
        <v>5962</v>
      </c>
      <c r="Q266" s="171" t="s">
        <v>4853</v>
      </c>
      <c r="R266" s="171" t="s">
        <v>4848</v>
      </c>
      <c r="S266" s="100">
        <v>6959</v>
      </c>
      <c r="T266" s="100">
        <v>0</v>
      </c>
      <c r="U266" s="100">
        <v>0</v>
      </c>
      <c r="V266" s="100">
        <v>1</v>
      </c>
      <c r="W266" s="100">
        <v>50</v>
      </c>
      <c r="X266" s="100">
        <v>50</v>
      </c>
      <c r="Y266" s="100">
        <v>0</v>
      </c>
      <c r="Z266" s="100">
        <v>0</v>
      </c>
      <c r="AA266" s="100">
        <v>0.03</v>
      </c>
      <c r="AB266" s="100">
        <v>1.67</v>
      </c>
      <c r="AC266" s="171"/>
      <c r="AD266" s="171"/>
      <c r="AE266" s="171"/>
      <c r="AF266" s="171" t="s">
        <v>4849</v>
      </c>
      <c r="AG266" s="171" t="s">
        <v>6157</v>
      </c>
      <c r="AH266" s="171" t="s">
        <v>6157</v>
      </c>
      <c r="AI266" s="171" t="s">
        <v>4900</v>
      </c>
    </row>
    <row r="267" spans="1:35">
      <c r="A267" s="100">
        <v>574052</v>
      </c>
      <c r="B267" s="171"/>
      <c r="C267" s="100">
        <v>1</v>
      </c>
      <c r="D267" s="100">
        <v>0</v>
      </c>
      <c r="E267" s="100">
        <v>114</v>
      </c>
      <c r="F267" s="171"/>
      <c r="G267" s="171" t="s">
        <v>6172</v>
      </c>
      <c r="H267" s="171"/>
      <c r="I267" s="171" t="s">
        <v>6157</v>
      </c>
      <c r="J267" s="171"/>
      <c r="K267" s="171">
        <v>100</v>
      </c>
      <c r="L267" s="171">
        <v>114</v>
      </c>
      <c r="M267" s="171">
        <v>11404</v>
      </c>
      <c r="N267" s="171">
        <v>10104</v>
      </c>
      <c r="O267" s="171" t="s">
        <v>4212</v>
      </c>
      <c r="P267" s="171" t="s">
        <v>5964</v>
      </c>
      <c r="Q267" s="171" t="s">
        <v>4875</v>
      </c>
      <c r="R267" s="171" t="s">
        <v>4848</v>
      </c>
      <c r="S267" s="100">
        <v>6934</v>
      </c>
      <c r="T267" s="100">
        <v>0</v>
      </c>
      <c r="U267" s="100">
        <v>0</v>
      </c>
      <c r="V267" s="100">
        <v>1</v>
      </c>
      <c r="W267" s="100">
        <v>50</v>
      </c>
      <c r="X267" s="100">
        <v>0</v>
      </c>
      <c r="Y267" s="100">
        <v>50</v>
      </c>
      <c r="Z267" s="100">
        <v>0</v>
      </c>
      <c r="AA267" s="100">
        <v>7.0000000000000007E-2</v>
      </c>
      <c r="AB267" s="100">
        <v>3.58</v>
      </c>
      <c r="AC267" s="171"/>
      <c r="AD267" s="171"/>
      <c r="AE267" s="171"/>
      <c r="AF267" s="171" t="s">
        <v>4849</v>
      </c>
      <c r="AG267" s="171" t="s">
        <v>6157</v>
      </c>
      <c r="AH267" s="171" t="s">
        <v>6157</v>
      </c>
      <c r="AI267" s="171" t="s">
        <v>4900</v>
      </c>
    </row>
    <row r="268" spans="1:35">
      <c r="A268" s="100">
        <v>574054</v>
      </c>
      <c r="B268" s="171"/>
      <c r="C268" s="100">
        <v>1</v>
      </c>
      <c r="D268" s="100">
        <v>0</v>
      </c>
      <c r="E268" s="100">
        <v>114</v>
      </c>
      <c r="F268" s="171"/>
      <c r="G268" s="171" t="s">
        <v>6172</v>
      </c>
      <c r="H268" s="171"/>
      <c r="I268" s="171" t="s">
        <v>6157</v>
      </c>
      <c r="J268" s="171"/>
      <c r="K268" s="171">
        <v>100</v>
      </c>
      <c r="L268" s="171">
        <v>114</v>
      </c>
      <c r="M268" s="171">
        <v>11404</v>
      </c>
      <c r="N268" s="171">
        <v>10102</v>
      </c>
      <c r="O268" s="171" t="s">
        <v>4144</v>
      </c>
      <c r="P268" s="171" t="s">
        <v>5644</v>
      </c>
      <c r="Q268" s="171" t="s">
        <v>4875</v>
      </c>
      <c r="R268" s="171" t="s">
        <v>4848</v>
      </c>
      <c r="S268" s="100">
        <v>6964</v>
      </c>
      <c r="T268" s="100">
        <v>0</v>
      </c>
      <c r="U268" s="100">
        <v>0</v>
      </c>
      <c r="V268" s="100">
        <v>1</v>
      </c>
      <c r="W268" s="100">
        <v>200</v>
      </c>
      <c r="X268" s="100">
        <v>0</v>
      </c>
      <c r="Y268" s="100">
        <v>200</v>
      </c>
      <c r="Z268" s="100">
        <v>0</v>
      </c>
      <c r="AA268" s="100">
        <v>0.03</v>
      </c>
      <c r="AB268" s="100">
        <v>6.67</v>
      </c>
      <c r="AC268" s="171"/>
      <c r="AD268" s="171"/>
      <c r="AE268" s="171"/>
      <c r="AF268" s="171" t="s">
        <v>4849</v>
      </c>
      <c r="AG268" s="171" t="s">
        <v>6157</v>
      </c>
      <c r="AH268" s="171" t="s">
        <v>6157</v>
      </c>
      <c r="AI268" s="171" t="s">
        <v>4900</v>
      </c>
    </row>
    <row r="269" spans="1:35">
      <c r="A269" s="100">
        <v>574055</v>
      </c>
      <c r="B269" s="171"/>
      <c r="C269" s="100">
        <v>1</v>
      </c>
      <c r="D269" s="100">
        <v>0</v>
      </c>
      <c r="E269" s="100">
        <v>114</v>
      </c>
      <c r="F269" s="171"/>
      <c r="G269" s="171" t="s">
        <v>6172</v>
      </c>
      <c r="H269" s="171"/>
      <c r="I269" s="171" t="s">
        <v>6157</v>
      </c>
      <c r="J269" s="171"/>
      <c r="K269" s="171">
        <v>100</v>
      </c>
      <c r="L269" s="171">
        <v>114</v>
      </c>
      <c r="M269" s="171">
        <v>11404</v>
      </c>
      <c r="N269" s="171">
        <v>10102</v>
      </c>
      <c r="O269" s="171" t="s">
        <v>4103</v>
      </c>
      <c r="P269" s="171" t="s">
        <v>5967</v>
      </c>
      <c r="Q269" s="171" t="s">
        <v>4875</v>
      </c>
      <c r="R269" s="171" t="s">
        <v>4848</v>
      </c>
      <c r="S269" s="100">
        <v>6916</v>
      </c>
      <c r="T269" s="100">
        <v>0</v>
      </c>
      <c r="U269" s="100">
        <v>0</v>
      </c>
      <c r="V269" s="100">
        <v>1</v>
      </c>
      <c r="W269" s="100">
        <v>50</v>
      </c>
      <c r="X269" s="100">
        <v>0</v>
      </c>
      <c r="Y269" s="100">
        <v>50</v>
      </c>
      <c r="Z269" s="100">
        <v>0</v>
      </c>
      <c r="AA269" s="100">
        <v>0.06</v>
      </c>
      <c r="AB269" s="100">
        <v>2.92</v>
      </c>
      <c r="AC269" s="171"/>
      <c r="AD269" s="171"/>
      <c r="AE269" s="171"/>
      <c r="AF269" s="171" t="s">
        <v>4849</v>
      </c>
      <c r="AG269" s="171" t="s">
        <v>6157</v>
      </c>
      <c r="AH269" s="171" t="s">
        <v>6157</v>
      </c>
      <c r="AI269" s="171" t="s">
        <v>4900</v>
      </c>
    </row>
    <row r="270" spans="1:35">
      <c r="A270" s="100">
        <v>574056</v>
      </c>
      <c r="B270" s="171"/>
      <c r="C270" s="100">
        <v>1</v>
      </c>
      <c r="D270" s="100">
        <v>0</v>
      </c>
      <c r="E270" s="100">
        <v>114</v>
      </c>
      <c r="F270" s="171"/>
      <c r="G270" s="171" t="s">
        <v>6172</v>
      </c>
      <c r="H270" s="171"/>
      <c r="I270" s="171" t="s">
        <v>6157</v>
      </c>
      <c r="J270" s="171"/>
      <c r="K270" s="171">
        <v>100</v>
      </c>
      <c r="L270" s="171">
        <v>114</v>
      </c>
      <c r="M270" s="171">
        <v>11404</v>
      </c>
      <c r="N270" s="171">
        <v>10102</v>
      </c>
      <c r="O270" s="171" t="s">
        <v>4308</v>
      </c>
      <c r="P270" s="171" t="s">
        <v>5969</v>
      </c>
      <c r="Q270" s="171" t="s">
        <v>4853</v>
      </c>
      <c r="R270" s="171" t="s">
        <v>4848</v>
      </c>
      <c r="S270" s="100">
        <v>6924</v>
      </c>
      <c r="T270" s="100">
        <v>0</v>
      </c>
      <c r="U270" s="100">
        <v>0</v>
      </c>
      <c r="V270" s="100">
        <v>1</v>
      </c>
      <c r="W270" s="100">
        <v>50</v>
      </c>
      <c r="X270" s="100">
        <v>50</v>
      </c>
      <c r="Y270" s="100">
        <v>0</v>
      </c>
      <c r="Z270" s="100">
        <v>0</v>
      </c>
      <c r="AA270" s="100">
        <v>0.04</v>
      </c>
      <c r="AB270" s="100">
        <v>1.95</v>
      </c>
      <c r="AC270" s="171"/>
      <c r="AD270" s="171"/>
      <c r="AE270" s="171"/>
      <c r="AF270" s="171" t="s">
        <v>4849</v>
      </c>
      <c r="AG270" s="171" t="s">
        <v>6157</v>
      </c>
      <c r="AH270" s="171" t="s">
        <v>6157</v>
      </c>
      <c r="AI270" s="171" t="s">
        <v>4900</v>
      </c>
    </row>
    <row r="271" spans="1:35">
      <c r="A271" s="100">
        <v>574202</v>
      </c>
      <c r="B271" s="171"/>
      <c r="C271" s="100">
        <v>1</v>
      </c>
      <c r="D271" s="100">
        <v>0</v>
      </c>
      <c r="E271" s="100">
        <v>0</v>
      </c>
      <c r="F271" s="171"/>
      <c r="G271" s="171"/>
      <c r="H271" s="171"/>
      <c r="I271" s="171" t="s">
        <v>6170</v>
      </c>
      <c r="J271" s="171"/>
      <c r="K271" s="171">
        <v>100</v>
      </c>
      <c r="L271" s="171">
        <v>114</v>
      </c>
      <c r="M271" s="171">
        <v>11404</v>
      </c>
      <c r="N271" s="171">
        <v>10102</v>
      </c>
      <c r="O271" s="171" t="s">
        <v>6188</v>
      </c>
      <c r="P271" s="171" t="s">
        <v>6095</v>
      </c>
      <c r="Q271" s="171" t="s">
        <v>4855</v>
      </c>
      <c r="R271" s="171" t="s">
        <v>4848</v>
      </c>
      <c r="S271" s="100">
        <v>14764</v>
      </c>
      <c r="T271" s="100">
        <v>0</v>
      </c>
      <c r="U271" s="100">
        <v>0</v>
      </c>
      <c r="V271" s="100">
        <v>1</v>
      </c>
      <c r="W271" s="100">
        <v>432</v>
      </c>
      <c r="X271" s="100">
        <v>0</v>
      </c>
      <c r="Y271" s="100">
        <v>432</v>
      </c>
      <c r="Z271" s="100">
        <v>0</v>
      </c>
      <c r="AA271" s="100">
        <v>0.02</v>
      </c>
      <c r="AB271" s="100">
        <v>7.2</v>
      </c>
      <c r="AC271" s="171"/>
      <c r="AD271" s="171"/>
      <c r="AE271" s="171"/>
      <c r="AF271" s="171" t="s">
        <v>4849</v>
      </c>
      <c r="AG271" s="171" t="s">
        <v>6170</v>
      </c>
      <c r="AH271" s="171" t="s">
        <v>6170</v>
      </c>
      <c r="AI271" s="171" t="s">
        <v>4900</v>
      </c>
    </row>
    <row r="272" spans="1:35">
      <c r="A272" s="100">
        <v>574203</v>
      </c>
      <c r="B272" s="171"/>
      <c r="C272" s="100">
        <v>1</v>
      </c>
      <c r="D272" s="100">
        <v>0</v>
      </c>
      <c r="E272" s="100">
        <v>0</v>
      </c>
      <c r="F272" s="171"/>
      <c r="G272" s="171"/>
      <c r="H272" s="171"/>
      <c r="I272" s="171" t="s">
        <v>6170</v>
      </c>
      <c r="J272" s="171"/>
      <c r="K272" s="171">
        <v>100</v>
      </c>
      <c r="L272" s="171">
        <v>114</v>
      </c>
      <c r="M272" s="171">
        <v>11404</v>
      </c>
      <c r="N272" s="171">
        <v>10102</v>
      </c>
      <c r="O272" s="171" t="s">
        <v>6188</v>
      </c>
      <c r="P272" s="171" t="s">
        <v>6095</v>
      </c>
      <c r="Q272" s="171" t="s">
        <v>4855</v>
      </c>
      <c r="R272" s="171" t="s">
        <v>4848</v>
      </c>
      <c r="S272" s="100">
        <v>14765</v>
      </c>
      <c r="T272" s="100">
        <v>0</v>
      </c>
      <c r="U272" s="100">
        <v>0</v>
      </c>
      <c r="V272" s="100">
        <v>1</v>
      </c>
      <c r="W272" s="100">
        <v>432</v>
      </c>
      <c r="X272" s="100">
        <v>0</v>
      </c>
      <c r="Y272" s="100">
        <v>432</v>
      </c>
      <c r="Z272" s="100">
        <v>0</v>
      </c>
      <c r="AA272" s="100">
        <v>0.02</v>
      </c>
      <c r="AB272" s="100">
        <v>7.2</v>
      </c>
      <c r="AC272" s="171"/>
      <c r="AD272" s="171"/>
      <c r="AE272" s="171"/>
      <c r="AF272" s="171" t="s">
        <v>4849</v>
      </c>
      <c r="AG272" s="171" t="s">
        <v>6170</v>
      </c>
      <c r="AH272" s="171" t="s">
        <v>6170</v>
      </c>
      <c r="AI272" s="171" t="s">
        <v>4900</v>
      </c>
    </row>
    <row r="273" spans="1:35">
      <c r="A273" s="100">
        <v>574204</v>
      </c>
      <c r="B273" s="171"/>
      <c r="C273" s="100">
        <v>1</v>
      </c>
      <c r="D273" s="100">
        <v>0</v>
      </c>
      <c r="E273" s="100">
        <v>0</v>
      </c>
      <c r="F273" s="171"/>
      <c r="G273" s="171"/>
      <c r="H273" s="171"/>
      <c r="I273" s="171" t="s">
        <v>6189</v>
      </c>
      <c r="J273" s="171"/>
      <c r="K273" s="171">
        <v>100</v>
      </c>
      <c r="L273" s="171">
        <v>114</v>
      </c>
      <c r="M273" s="171">
        <v>11404</v>
      </c>
      <c r="N273" s="171">
        <v>10102</v>
      </c>
      <c r="O273" s="171" t="s">
        <v>2128</v>
      </c>
      <c r="P273" s="171" t="s">
        <v>6099</v>
      </c>
      <c r="Q273" s="171" t="s">
        <v>4855</v>
      </c>
      <c r="R273" s="171" t="s">
        <v>4848</v>
      </c>
      <c r="S273" s="100">
        <v>13109</v>
      </c>
      <c r="T273" s="100">
        <v>0</v>
      </c>
      <c r="U273" s="100">
        <v>0</v>
      </c>
      <c r="V273" s="100">
        <v>1</v>
      </c>
      <c r="W273" s="100">
        <v>3360</v>
      </c>
      <c r="X273" s="100">
        <v>0</v>
      </c>
      <c r="Y273" s="100">
        <v>3360</v>
      </c>
      <c r="Z273" s="100">
        <v>0</v>
      </c>
      <c r="AA273" s="100">
        <v>0.03</v>
      </c>
      <c r="AB273" s="100">
        <v>112</v>
      </c>
      <c r="AC273" s="171"/>
      <c r="AD273" s="171"/>
      <c r="AE273" s="171"/>
      <c r="AF273" s="171" t="s">
        <v>4849</v>
      </c>
      <c r="AG273" s="171" t="s">
        <v>6189</v>
      </c>
      <c r="AH273" s="171" t="s">
        <v>6189</v>
      </c>
      <c r="AI273" s="171" t="s">
        <v>4900</v>
      </c>
    </row>
    <row r="274" spans="1:35">
      <c r="A274" s="100">
        <v>574206</v>
      </c>
      <c r="B274" s="171"/>
      <c r="C274" s="100">
        <v>1</v>
      </c>
      <c r="D274" s="100">
        <v>0</v>
      </c>
      <c r="E274" s="100">
        <v>0</v>
      </c>
      <c r="F274" s="171"/>
      <c r="G274" s="171"/>
      <c r="H274" s="171"/>
      <c r="I274" s="171" t="s">
        <v>6189</v>
      </c>
      <c r="J274" s="171"/>
      <c r="K274" s="171">
        <v>100</v>
      </c>
      <c r="L274" s="171">
        <v>114</v>
      </c>
      <c r="M274" s="171">
        <v>11404</v>
      </c>
      <c r="N274" s="171">
        <v>10102</v>
      </c>
      <c r="O274" s="171" t="s">
        <v>2129</v>
      </c>
      <c r="P274" s="171" t="s">
        <v>6101</v>
      </c>
      <c r="Q274" s="171" t="s">
        <v>4855</v>
      </c>
      <c r="R274" s="171" t="s">
        <v>4848</v>
      </c>
      <c r="S274" s="100">
        <v>10306</v>
      </c>
      <c r="T274" s="100">
        <v>0</v>
      </c>
      <c r="U274" s="100">
        <v>0</v>
      </c>
      <c r="V274" s="100">
        <v>1</v>
      </c>
      <c r="W274" s="100">
        <v>1260</v>
      </c>
      <c r="X274" s="100">
        <v>0</v>
      </c>
      <c r="Y274" s="100">
        <v>1260</v>
      </c>
      <c r="Z274" s="100">
        <v>0</v>
      </c>
      <c r="AA274" s="100">
        <v>0.03</v>
      </c>
      <c r="AB274" s="100">
        <v>42</v>
      </c>
      <c r="AC274" s="171"/>
      <c r="AD274" s="171"/>
      <c r="AE274" s="171"/>
      <c r="AF274" s="171" t="s">
        <v>4849</v>
      </c>
      <c r="AG274" s="171" t="s">
        <v>6189</v>
      </c>
      <c r="AH274" s="171" t="s">
        <v>6189</v>
      </c>
      <c r="AI274" s="171" t="s">
        <v>4900</v>
      </c>
    </row>
    <row r="275" spans="1:35">
      <c r="A275" s="100">
        <v>574207</v>
      </c>
      <c r="B275" s="171"/>
      <c r="C275" s="100">
        <v>1</v>
      </c>
      <c r="D275" s="100">
        <v>0</v>
      </c>
      <c r="E275" s="100">
        <v>0</v>
      </c>
      <c r="F275" s="171"/>
      <c r="G275" s="171"/>
      <c r="H275" s="171"/>
      <c r="I275" s="171" t="s">
        <v>6189</v>
      </c>
      <c r="J275" s="171"/>
      <c r="K275" s="171">
        <v>100</v>
      </c>
      <c r="L275" s="171">
        <v>114</v>
      </c>
      <c r="M275" s="171">
        <v>11404</v>
      </c>
      <c r="N275" s="171">
        <v>10102</v>
      </c>
      <c r="O275" s="171" t="s">
        <v>4398</v>
      </c>
      <c r="P275" s="171" t="s">
        <v>6103</v>
      </c>
      <c r="Q275" s="171" t="s">
        <v>4855</v>
      </c>
      <c r="R275" s="171" t="s">
        <v>4848</v>
      </c>
      <c r="S275" s="100">
        <v>7107</v>
      </c>
      <c r="T275" s="100">
        <v>0</v>
      </c>
      <c r="U275" s="100">
        <v>0</v>
      </c>
      <c r="V275" s="100">
        <v>1</v>
      </c>
      <c r="W275" s="100">
        <v>13000</v>
      </c>
      <c r="X275" s="100">
        <v>0</v>
      </c>
      <c r="Y275" s="100">
        <v>13000</v>
      </c>
      <c r="Z275" s="100">
        <v>0</v>
      </c>
      <c r="AA275" s="100">
        <v>0.03</v>
      </c>
      <c r="AB275" s="100">
        <v>433.33</v>
      </c>
      <c r="AC275" s="171"/>
      <c r="AD275" s="171"/>
      <c r="AE275" s="171"/>
      <c r="AF275" s="171" t="s">
        <v>4849</v>
      </c>
      <c r="AG275" s="171" t="s">
        <v>6189</v>
      </c>
      <c r="AH275" s="171" t="s">
        <v>6189</v>
      </c>
      <c r="AI275" s="171" t="s">
        <v>4900</v>
      </c>
    </row>
    <row r="276" spans="1:35">
      <c r="A276" s="100">
        <v>574208</v>
      </c>
      <c r="B276" s="171"/>
      <c r="C276" s="100">
        <v>1</v>
      </c>
      <c r="D276" s="100">
        <v>0</v>
      </c>
      <c r="E276" s="100">
        <v>0</v>
      </c>
      <c r="F276" s="171"/>
      <c r="G276" s="171"/>
      <c r="H276" s="171"/>
      <c r="I276" s="171" t="s">
        <v>6189</v>
      </c>
      <c r="J276" s="171"/>
      <c r="K276" s="171">
        <v>100</v>
      </c>
      <c r="L276" s="171">
        <v>114</v>
      </c>
      <c r="M276" s="171">
        <v>11404</v>
      </c>
      <c r="N276" s="171">
        <v>10102</v>
      </c>
      <c r="O276" s="171" t="s">
        <v>2127</v>
      </c>
      <c r="P276" s="171" t="s">
        <v>5649</v>
      </c>
      <c r="Q276" s="171" t="s">
        <v>4855</v>
      </c>
      <c r="R276" s="171" t="s">
        <v>4848</v>
      </c>
      <c r="S276" s="100">
        <v>13125</v>
      </c>
      <c r="T276" s="100">
        <v>0</v>
      </c>
      <c r="U276" s="100">
        <v>0</v>
      </c>
      <c r="V276" s="100">
        <v>1</v>
      </c>
      <c r="W276" s="100">
        <v>6500</v>
      </c>
      <c r="X276" s="100">
        <v>0</v>
      </c>
      <c r="Y276" s="100">
        <v>6500</v>
      </c>
      <c r="Z276" s="100">
        <v>0</v>
      </c>
      <c r="AA276" s="100">
        <v>0.03</v>
      </c>
      <c r="AB276" s="100">
        <v>216.67</v>
      </c>
      <c r="AC276" s="171"/>
      <c r="AD276" s="171"/>
      <c r="AE276" s="171"/>
      <c r="AF276" s="171" t="s">
        <v>4849</v>
      </c>
      <c r="AG276" s="171" t="s">
        <v>6189</v>
      </c>
      <c r="AH276" s="171" t="s">
        <v>6189</v>
      </c>
      <c r="AI276" s="171" t="s">
        <v>4900</v>
      </c>
    </row>
    <row r="277" spans="1:35">
      <c r="A277" s="100">
        <v>574209</v>
      </c>
      <c r="B277" s="171"/>
      <c r="C277" s="100">
        <v>1</v>
      </c>
      <c r="D277" s="100">
        <v>0</v>
      </c>
      <c r="E277" s="100">
        <v>0</v>
      </c>
      <c r="F277" s="171"/>
      <c r="G277" s="171"/>
      <c r="H277" s="171"/>
      <c r="I277" s="171" t="s">
        <v>6189</v>
      </c>
      <c r="J277" s="171"/>
      <c r="K277" s="171">
        <v>100</v>
      </c>
      <c r="L277" s="171">
        <v>114</v>
      </c>
      <c r="M277" s="171">
        <v>11404</v>
      </c>
      <c r="N277" s="171">
        <v>10102</v>
      </c>
      <c r="O277" s="171" t="s">
        <v>2189</v>
      </c>
      <c r="P277" s="171" t="s">
        <v>5788</v>
      </c>
      <c r="Q277" s="171" t="s">
        <v>4855</v>
      </c>
      <c r="R277" s="171" t="s">
        <v>4848</v>
      </c>
      <c r="S277" s="100">
        <v>13111</v>
      </c>
      <c r="T277" s="100">
        <v>0</v>
      </c>
      <c r="U277" s="100">
        <v>0</v>
      </c>
      <c r="V277" s="100">
        <v>1</v>
      </c>
      <c r="W277" s="100">
        <v>1260</v>
      </c>
      <c r="X277" s="100">
        <v>0</v>
      </c>
      <c r="Y277" s="100">
        <v>1260</v>
      </c>
      <c r="Z277" s="100">
        <v>0</v>
      </c>
      <c r="AA277" s="100">
        <v>0.04</v>
      </c>
      <c r="AB277" s="100">
        <v>52.5</v>
      </c>
      <c r="AC277" s="171"/>
      <c r="AD277" s="171"/>
      <c r="AE277" s="171"/>
      <c r="AF277" s="171" t="s">
        <v>4849</v>
      </c>
      <c r="AG277" s="171" t="s">
        <v>6189</v>
      </c>
      <c r="AH277" s="171" t="s">
        <v>6189</v>
      </c>
      <c r="AI277" s="171" t="s">
        <v>4900</v>
      </c>
    </row>
    <row r="278" spans="1:35">
      <c r="A278" s="100">
        <v>574210</v>
      </c>
      <c r="B278" s="171"/>
      <c r="C278" s="100">
        <v>1</v>
      </c>
      <c r="D278" s="100">
        <v>0</v>
      </c>
      <c r="E278" s="100">
        <v>0</v>
      </c>
      <c r="F278" s="171"/>
      <c r="G278" s="171"/>
      <c r="H278" s="171"/>
      <c r="I278" s="171" t="s">
        <v>6189</v>
      </c>
      <c r="J278" s="171"/>
      <c r="K278" s="171">
        <v>100</v>
      </c>
      <c r="L278" s="171">
        <v>114</v>
      </c>
      <c r="M278" s="171">
        <v>11404</v>
      </c>
      <c r="N278" s="171">
        <v>10102</v>
      </c>
      <c r="O278" s="171" t="s">
        <v>4398</v>
      </c>
      <c r="P278" s="171" t="s">
        <v>6103</v>
      </c>
      <c r="Q278" s="171" t="s">
        <v>4855</v>
      </c>
      <c r="R278" s="171" t="s">
        <v>4848</v>
      </c>
      <c r="S278" s="100">
        <v>7106</v>
      </c>
      <c r="T278" s="100">
        <v>0</v>
      </c>
      <c r="U278" s="100">
        <v>0</v>
      </c>
      <c r="V278" s="100">
        <v>1</v>
      </c>
      <c r="W278" s="100">
        <v>13000</v>
      </c>
      <c r="X278" s="100">
        <v>0</v>
      </c>
      <c r="Y278" s="100">
        <v>13000</v>
      </c>
      <c r="Z278" s="100">
        <v>0</v>
      </c>
      <c r="AA278" s="100">
        <v>0.03</v>
      </c>
      <c r="AB278" s="100">
        <v>433.33</v>
      </c>
      <c r="AC278" s="171"/>
      <c r="AD278" s="171"/>
      <c r="AE278" s="171"/>
      <c r="AF278" s="171" t="s">
        <v>4849</v>
      </c>
      <c r="AG278" s="171" t="s">
        <v>6189</v>
      </c>
      <c r="AH278" s="171" t="s">
        <v>6189</v>
      </c>
      <c r="AI278" s="171" t="s">
        <v>4900</v>
      </c>
    </row>
    <row r="279" spans="1:35">
      <c r="A279" s="100">
        <v>574211</v>
      </c>
      <c r="B279" s="171"/>
      <c r="C279" s="100">
        <v>1</v>
      </c>
      <c r="D279" s="100">
        <v>0</v>
      </c>
      <c r="E279" s="100">
        <v>0</v>
      </c>
      <c r="F279" s="171"/>
      <c r="G279" s="171"/>
      <c r="H279" s="171"/>
      <c r="I279" s="171" t="s">
        <v>6189</v>
      </c>
      <c r="J279" s="171"/>
      <c r="K279" s="171">
        <v>100</v>
      </c>
      <c r="L279" s="171">
        <v>114</v>
      </c>
      <c r="M279" s="171">
        <v>11404</v>
      </c>
      <c r="N279" s="171">
        <v>10102</v>
      </c>
      <c r="O279" s="171" t="s">
        <v>2128</v>
      </c>
      <c r="P279" s="171" t="s">
        <v>6099</v>
      </c>
      <c r="Q279" s="171" t="s">
        <v>4855</v>
      </c>
      <c r="R279" s="171" t="s">
        <v>4848</v>
      </c>
      <c r="S279" s="100">
        <v>13108</v>
      </c>
      <c r="T279" s="100">
        <v>0</v>
      </c>
      <c r="U279" s="100">
        <v>0</v>
      </c>
      <c r="V279" s="100">
        <v>1</v>
      </c>
      <c r="W279" s="100">
        <v>3360</v>
      </c>
      <c r="X279" s="100">
        <v>0</v>
      </c>
      <c r="Y279" s="100">
        <v>3360</v>
      </c>
      <c r="Z279" s="100">
        <v>0</v>
      </c>
      <c r="AA279" s="100">
        <v>0.03</v>
      </c>
      <c r="AB279" s="100">
        <v>112</v>
      </c>
      <c r="AC279" s="171"/>
      <c r="AD279" s="171"/>
      <c r="AE279" s="171"/>
      <c r="AF279" s="171" t="s">
        <v>4849</v>
      </c>
      <c r="AG279" s="171" t="s">
        <v>6189</v>
      </c>
      <c r="AH279" s="171" t="s">
        <v>6189</v>
      </c>
      <c r="AI279" s="171" t="s">
        <v>4900</v>
      </c>
    </row>
    <row r="280" spans="1:35">
      <c r="A280" s="100">
        <v>574212</v>
      </c>
      <c r="B280" s="171"/>
      <c r="C280" s="100">
        <v>1</v>
      </c>
      <c r="D280" s="100">
        <v>0</v>
      </c>
      <c r="E280" s="100">
        <v>0</v>
      </c>
      <c r="F280" s="171"/>
      <c r="G280" s="171"/>
      <c r="H280" s="171"/>
      <c r="I280" s="171" t="s">
        <v>6189</v>
      </c>
      <c r="J280" s="171"/>
      <c r="K280" s="171">
        <v>100</v>
      </c>
      <c r="L280" s="171">
        <v>114</v>
      </c>
      <c r="M280" s="171">
        <v>11404</v>
      </c>
      <c r="N280" s="171">
        <v>10104</v>
      </c>
      <c r="O280" s="171" t="s">
        <v>4400</v>
      </c>
      <c r="P280" s="171" t="s">
        <v>5337</v>
      </c>
      <c r="Q280" s="171" t="s">
        <v>4855</v>
      </c>
      <c r="R280" s="171" t="s">
        <v>4848</v>
      </c>
      <c r="S280" s="100">
        <v>13360</v>
      </c>
      <c r="T280" s="100">
        <v>0</v>
      </c>
      <c r="U280" s="100">
        <v>0</v>
      </c>
      <c r="V280" s="100">
        <v>1</v>
      </c>
      <c r="W280" s="100">
        <v>50</v>
      </c>
      <c r="X280" s="100">
        <v>0</v>
      </c>
      <c r="Y280" s="100">
        <v>50</v>
      </c>
      <c r="Z280" s="100">
        <v>0</v>
      </c>
      <c r="AA280" s="100">
        <v>0.01</v>
      </c>
      <c r="AB280" s="100">
        <v>0.42</v>
      </c>
      <c r="AC280" s="171"/>
      <c r="AD280" s="171"/>
      <c r="AE280" s="171"/>
      <c r="AF280" s="171" t="s">
        <v>4849</v>
      </c>
      <c r="AG280" s="171" t="s">
        <v>6189</v>
      </c>
      <c r="AH280" s="171" t="s">
        <v>6189</v>
      </c>
      <c r="AI280" s="171" t="s">
        <v>4900</v>
      </c>
    </row>
    <row r="281" spans="1:35">
      <c r="A281" s="100">
        <v>574213</v>
      </c>
      <c r="B281" s="171"/>
      <c r="C281" s="100">
        <v>1</v>
      </c>
      <c r="D281" s="100">
        <v>0</v>
      </c>
      <c r="E281" s="100">
        <v>0</v>
      </c>
      <c r="F281" s="171"/>
      <c r="G281" s="171"/>
      <c r="H281" s="171"/>
      <c r="I281" s="171" t="s">
        <v>6189</v>
      </c>
      <c r="J281" s="171"/>
      <c r="K281" s="171">
        <v>100</v>
      </c>
      <c r="L281" s="171">
        <v>114</v>
      </c>
      <c r="M281" s="171">
        <v>11404</v>
      </c>
      <c r="N281" s="171">
        <v>10102</v>
      </c>
      <c r="O281" s="171" t="s">
        <v>4717</v>
      </c>
      <c r="P281" s="171" t="s">
        <v>5648</v>
      </c>
      <c r="Q281" s="171" t="s">
        <v>4855</v>
      </c>
      <c r="R281" s="171" t="s">
        <v>4848</v>
      </c>
      <c r="S281" s="100">
        <v>13357</v>
      </c>
      <c r="T281" s="100">
        <v>0</v>
      </c>
      <c r="U281" s="100">
        <v>0</v>
      </c>
      <c r="V281" s="100">
        <v>1</v>
      </c>
      <c r="W281" s="100">
        <v>50</v>
      </c>
      <c r="X281" s="100">
        <v>0</v>
      </c>
      <c r="Y281" s="100">
        <v>50</v>
      </c>
      <c r="Z281" s="100">
        <v>0</v>
      </c>
      <c r="AA281" s="100">
        <v>0.03</v>
      </c>
      <c r="AB281" s="100">
        <v>1.67</v>
      </c>
      <c r="AC281" s="171"/>
      <c r="AD281" s="171"/>
      <c r="AE281" s="171"/>
      <c r="AF281" s="171" t="s">
        <v>4849</v>
      </c>
      <c r="AG281" s="171" t="s">
        <v>6189</v>
      </c>
      <c r="AH281" s="171" t="s">
        <v>6189</v>
      </c>
      <c r="AI281" s="171" t="s">
        <v>4900</v>
      </c>
    </row>
    <row r="282" spans="1:35">
      <c r="A282" s="100">
        <v>574214</v>
      </c>
      <c r="B282" s="171"/>
      <c r="C282" s="100">
        <v>1</v>
      </c>
      <c r="D282" s="100">
        <v>0</v>
      </c>
      <c r="E282" s="100">
        <v>0</v>
      </c>
      <c r="F282" s="171"/>
      <c r="G282" s="171"/>
      <c r="H282" s="171"/>
      <c r="I282" s="171" t="s">
        <v>6172</v>
      </c>
      <c r="J282" s="171"/>
      <c r="K282" s="171">
        <v>100</v>
      </c>
      <c r="L282" s="171">
        <v>114</v>
      </c>
      <c r="M282" s="171">
        <v>11404</v>
      </c>
      <c r="N282" s="171">
        <v>10102</v>
      </c>
      <c r="O282" s="171" t="s">
        <v>4344</v>
      </c>
      <c r="P282" s="171" t="s">
        <v>6112</v>
      </c>
      <c r="Q282" s="171" t="s">
        <v>4855</v>
      </c>
      <c r="R282" s="171" t="s">
        <v>4848</v>
      </c>
      <c r="S282" s="100">
        <v>9562</v>
      </c>
      <c r="T282" s="100">
        <v>0</v>
      </c>
      <c r="U282" s="100">
        <v>0</v>
      </c>
      <c r="V282" s="100">
        <v>1</v>
      </c>
      <c r="W282" s="100">
        <v>48</v>
      </c>
      <c r="X282" s="100">
        <v>0</v>
      </c>
      <c r="Y282" s="100">
        <v>48</v>
      </c>
      <c r="Z282" s="100">
        <v>0</v>
      </c>
      <c r="AA282" s="100">
        <v>0.02</v>
      </c>
      <c r="AB282" s="100">
        <v>0.8</v>
      </c>
      <c r="AC282" s="171"/>
      <c r="AD282" s="171"/>
      <c r="AE282" s="171"/>
      <c r="AF282" s="171" t="s">
        <v>4886</v>
      </c>
      <c r="AG282" s="171" t="s">
        <v>6172</v>
      </c>
      <c r="AH282" s="171" t="s">
        <v>6172</v>
      </c>
      <c r="AI282" s="171" t="s">
        <v>4900</v>
      </c>
    </row>
    <row r="283" spans="1:35">
      <c r="A283" s="100">
        <v>574224</v>
      </c>
      <c r="B283" s="171"/>
      <c r="C283" s="100">
        <v>1</v>
      </c>
      <c r="D283" s="100">
        <v>0</v>
      </c>
      <c r="E283" s="100">
        <v>0</v>
      </c>
      <c r="F283" s="171"/>
      <c r="G283" s="171"/>
      <c r="H283" s="171"/>
      <c r="I283" s="171" t="s">
        <v>6172</v>
      </c>
      <c r="J283" s="171"/>
      <c r="K283" s="171">
        <v>100</v>
      </c>
      <c r="L283" s="171">
        <v>114</v>
      </c>
      <c r="M283" s="171">
        <v>11404</v>
      </c>
      <c r="N283" s="171">
        <v>22001</v>
      </c>
      <c r="O283" s="171" t="s">
        <v>2207</v>
      </c>
      <c r="P283" s="171" t="s">
        <v>6124</v>
      </c>
      <c r="Q283" s="171" t="s">
        <v>4855</v>
      </c>
      <c r="R283" s="171" t="s">
        <v>4848</v>
      </c>
      <c r="S283" s="100">
        <v>11208</v>
      </c>
      <c r="T283" s="100">
        <v>0</v>
      </c>
      <c r="U283" s="100">
        <v>0</v>
      </c>
      <c r="V283" s="100">
        <v>1</v>
      </c>
      <c r="W283" s="100">
        <v>80</v>
      </c>
      <c r="X283" s="100">
        <v>0</v>
      </c>
      <c r="Y283" s="100">
        <v>80</v>
      </c>
      <c r="Z283" s="100">
        <v>0</v>
      </c>
      <c r="AA283" s="100">
        <v>0.03</v>
      </c>
      <c r="AB283" s="100">
        <v>2.23</v>
      </c>
      <c r="AC283" s="171"/>
      <c r="AD283" s="171"/>
      <c r="AE283" s="171"/>
      <c r="AF283" s="171" t="s">
        <v>4866</v>
      </c>
      <c r="AG283" s="171" t="s">
        <v>6172</v>
      </c>
      <c r="AH283" s="171" t="s">
        <v>6172</v>
      </c>
      <c r="AI283" s="171" t="s">
        <v>4900</v>
      </c>
    </row>
    <row r="284" spans="1:35">
      <c r="A284" s="100">
        <v>508969</v>
      </c>
      <c r="B284" s="171"/>
      <c r="C284" s="100">
        <v>1</v>
      </c>
      <c r="D284" s="100">
        <v>0</v>
      </c>
      <c r="E284" s="100">
        <v>0</v>
      </c>
      <c r="F284" s="171"/>
      <c r="G284" s="171"/>
      <c r="H284" s="171"/>
      <c r="I284" s="171" t="s">
        <v>4846</v>
      </c>
      <c r="J284" s="171"/>
      <c r="K284" s="171">
        <v>126</v>
      </c>
      <c r="L284" s="171">
        <v>182</v>
      </c>
      <c r="M284" s="171">
        <v>18201</v>
      </c>
      <c r="N284" s="171">
        <v>22003</v>
      </c>
      <c r="O284" s="171" t="s">
        <v>4447</v>
      </c>
      <c r="P284" s="171" t="s">
        <v>4905</v>
      </c>
      <c r="Q284" s="171" t="s">
        <v>4855</v>
      </c>
      <c r="R284" s="171" t="s">
        <v>4848</v>
      </c>
      <c r="S284" s="100">
        <v>7860</v>
      </c>
      <c r="T284" s="100">
        <v>0</v>
      </c>
      <c r="U284" s="100">
        <v>0</v>
      </c>
      <c r="V284" s="100">
        <v>1</v>
      </c>
      <c r="W284" s="100">
        <v>50</v>
      </c>
      <c r="X284" s="100">
        <v>0</v>
      </c>
      <c r="Y284" s="100">
        <v>50</v>
      </c>
      <c r="Z284" s="100">
        <v>0</v>
      </c>
      <c r="AA284" s="100">
        <v>0</v>
      </c>
      <c r="AB284" s="100">
        <v>0</v>
      </c>
      <c r="AC284" s="171"/>
      <c r="AD284" s="171"/>
      <c r="AE284" s="171"/>
      <c r="AF284" s="171" t="s">
        <v>4870</v>
      </c>
      <c r="AG284" s="171" t="s">
        <v>4846</v>
      </c>
      <c r="AH284" s="171" t="s">
        <v>4846</v>
      </c>
      <c r="AI284" s="171" t="s">
        <v>4906</v>
      </c>
    </row>
    <row r="285" spans="1:35">
      <c r="A285" s="100">
        <v>508970</v>
      </c>
      <c r="B285" s="171"/>
      <c r="C285" s="100">
        <v>1</v>
      </c>
      <c r="D285" s="100">
        <v>0</v>
      </c>
      <c r="E285" s="100">
        <v>0</v>
      </c>
      <c r="F285" s="171"/>
      <c r="G285" s="171"/>
      <c r="H285" s="171"/>
      <c r="I285" s="171" t="s">
        <v>4846</v>
      </c>
      <c r="J285" s="171"/>
      <c r="K285" s="171">
        <v>126</v>
      </c>
      <c r="L285" s="171">
        <v>182</v>
      </c>
      <c r="M285" s="171">
        <v>18201</v>
      </c>
      <c r="N285" s="171">
        <v>22003</v>
      </c>
      <c r="O285" s="171" t="s">
        <v>4447</v>
      </c>
      <c r="P285" s="171" t="s">
        <v>4905</v>
      </c>
      <c r="Q285" s="171" t="s">
        <v>4855</v>
      </c>
      <c r="R285" s="171" t="s">
        <v>4848</v>
      </c>
      <c r="S285" s="100">
        <v>7859</v>
      </c>
      <c r="T285" s="100">
        <v>0</v>
      </c>
      <c r="U285" s="100">
        <v>0</v>
      </c>
      <c r="V285" s="100">
        <v>1</v>
      </c>
      <c r="W285" s="100">
        <v>50</v>
      </c>
      <c r="X285" s="100">
        <v>0</v>
      </c>
      <c r="Y285" s="100">
        <v>50</v>
      </c>
      <c r="Z285" s="100">
        <v>0</v>
      </c>
      <c r="AA285" s="100">
        <v>0</v>
      </c>
      <c r="AB285" s="100">
        <v>0</v>
      </c>
      <c r="AC285" s="171"/>
      <c r="AD285" s="171"/>
      <c r="AE285" s="171"/>
      <c r="AF285" s="171" t="s">
        <v>4870</v>
      </c>
      <c r="AG285" s="171" t="s">
        <v>4846</v>
      </c>
      <c r="AH285" s="171" t="s">
        <v>4846</v>
      </c>
      <c r="AI285" s="171" t="s">
        <v>4906</v>
      </c>
    </row>
    <row r="286" spans="1:35">
      <c r="A286" s="100">
        <v>509188</v>
      </c>
      <c r="B286" s="171"/>
      <c r="C286" s="100">
        <v>1</v>
      </c>
      <c r="D286" s="100">
        <v>0</v>
      </c>
      <c r="E286" s="100">
        <v>0</v>
      </c>
      <c r="F286" s="171"/>
      <c r="G286" s="171"/>
      <c r="H286" s="171"/>
      <c r="I286" s="171" t="s">
        <v>4907</v>
      </c>
      <c r="J286" s="171"/>
      <c r="K286" s="171">
        <v>126</v>
      </c>
      <c r="L286" s="171">
        <v>182</v>
      </c>
      <c r="M286" s="171">
        <v>18201</v>
      </c>
      <c r="N286" s="171">
        <v>22003</v>
      </c>
      <c r="O286" s="171" t="s">
        <v>4361</v>
      </c>
      <c r="P286" s="171" t="s">
        <v>4908</v>
      </c>
      <c r="Q286" s="171" t="s">
        <v>4855</v>
      </c>
      <c r="R286" s="171" t="s">
        <v>4848</v>
      </c>
      <c r="S286" s="100">
        <v>7732</v>
      </c>
      <c r="T286" s="100">
        <v>0</v>
      </c>
      <c r="U286" s="100">
        <v>0</v>
      </c>
      <c r="V286" s="100">
        <v>1</v>
      </c>
      <c r="W286" s="100">
        <v>550</v>
      </c>
      <c r="X286" s="100">
        <v>0</v>
      </c>
      <c r="Y286" s="100">
        <v>550</v>
      </c>
      <c r="Z286" s="100">
        <v>0</v>
      </c>
      <c r="AA286" s="100">
        <v>0</v>
      </c>
      <c r="AB286" s="100">
        <v>0</v>
      </c>
      <c r="AC286" s="171"/>
      <c r="AD286" s="171"/>
      <c r="AE286" s="171"/>
      <c r="AF286" s="171" t="s">
        <v>4870</v>
      </c>
      <c r="AG286" s="171" t="s">
        <v>4907</v>
      </c>
      <c r="AH286" s="171" t="s">
        <v>4907</v>
      </c>
      <c r="AI286" s="171" t="s">
        <v>4909</v>
      </c>
    </row>
    <row r="287" spans="1:35">
      <c r="A287" s="100">
        <v>514899</v>
      </c>
      <c r="B287" s="171"/>
      <c r="C287" s="100">
        <v>1</v>
      </c>
      <c r="D287" s="100">
        <v>0</v>
      </c>
      <c r="E287" s="100">
        <v>0</v>
      </c>
      <c r="F287" s="171"/>
      <c r="G287" s="171"/>
      <c r="H287" s="171"/>
      <c r="I287" s="171" t="s">
        <v>4883</v>
      </c>
      <c r="J287" s="171"/>
      <c r="K287" s="171">
        <v>126</v>
      </c>
      <c r="L287" s="171">
        <v>182</v>
      </c>
      <c r="M287" s="171">
        <v>18201</v>
      </c>
      <c r="N287" s="171">
        <v>22003</v>
      </c>
      <c r="O287" s="171" t="s">
        <v>4371</v>
      </c>
      <c r="P287" s="171" t="s">
        <v>4910</v>
      </c>
      <c r="Q287" s="171" t="s">
        <v>4855</v>
      </c>
      <c r="R287" s="171" t="s">
        <v>4848</v>
      </c>
      <c r="S287" s="100">
        <v>7343</v>
      </c>
      <c r="T287" s="100">
        <v>0</v>
      </c>
      <c r="U287" s="100">
        <v>0</v>
      </c>
      <c r="V287" s="100">
        <v>1</v>
      </c>
      <c r="W287" s="100">
        <v>100</v>
      </c>
      <c r="X287" s="100">
        <v>0</v>
      </c>
      <c r="Y287" s="100">
        <v>100</v>
      </c>
      <c r="Z287" s="100">
        <v>0</v>
      </c>
      <c r="AA287" s="100">
        <v>0</v>
      </c>
      <c r="AB287" s="100">
        <v>0</v>
      </c>
      <c r="AC287" s="171"/>
      <c r="AD287" s="171"/>
      <c r="AE287" s="171"/>
      <c r="AF287" s="171" t="s">
        <v>4849</v>
      </c>
      <c r="AG287" s="171" t="s">
        <v>4883</v>
      </c>
      <c r="AH287" s="171" t="s">
        <v>4883</v>
      </c>
      <c r="AI287" s="171" t="s">
        <v>4909</v>
      </c>
    </row>
    <row r="288" spans="1:35">
      <c r="A288" s="100">
        <v>539961</v>
      </c>
      <c r="B288" s="171"/>
      <c r="C288" s="100">
        <v>1</v>
      </c>
      <c r="D288" s="100">
        <v>0</v>
      </c>
      <c r="E288" s="100">
        <v>0</v>
      </c>
      <c r="F288" s="171"/>
      <c r="G288" s="171"/>
      <c r="H288" s="171"/>
      <c r="I288" s="171" t="s">
        <v>5053</v>
      </c>
      <c r="J288" s="171"/>
      <c r="K288" s="171">
        <v>126</v>
      </c>
      <c r="L288" s="171">
        <v>182</v>
      </c>
      <c r="M288" s="171">
        <v>18201</v>
      </c>
      <c r="N288" s="171">
        <v>22003</v>
      </c>
      <c r="O288" s="171" t="s">
        <v>4377</v>
      </c>
      <c r="P288" s="171" t="s">
        <v>5059</v>
      </c>
      <c r="Q288" s="171"/>
      <c r="R288" s="171" t="s">
        <v>4848</v>
      </c>
      <c r="S288" s="100">
        <v>10505</v>
      </c>
      <c r="T288" s="100">
        <v>0</v>
      </c>
      <c r="U288" s="100">
        <v>0</v>
      </c>
      <c r="V288" s="100">
        <v>1</v>
      </c>
      <c r="W288" s="100">
        <v>200</v>
      </c>
      <c r="X288" s="100">
        <v>0</v>
      </c>
      <c r="Y288" s="100">
        <v>200</v>
      </c>
      <c r="Z288" s="100">
        <v>0</v>
      </c>
      <c r="AA288" s="100">
        <v>0</v>
      </c>
      <c r="AB288" s="100">
        <v>0</v>
      </c>
      <c r="AC288" s="171"/>
      <c r="AD288" s="171"/>
      <c r="AE288" s="171"/>
      <c r="AF288" s="171" t="s">
        <v>4862</v>
      </c>
      <c r="AG288" s="171" t="s">
        <v>5053</v>
      </c>
      <c r="AH288" s="171" t="s">
        <v>5053</v>
      </c>
      <c r="AI288" s="171" t="s">
        <v>4906</v>
      </c>
    </row>
    <row r="289" spans="1:35">
      <c r="A289" s="100">
        <v>555256</v>
      </c>
      <c r="B289" s="171"/>
      <c r="C289" s="100">
        <v>1</v>
      </c>
      <c r="D289" s="100">
        <v>0</v>
      </c>
      <c r="E289" s="100">
        <v>0</v>
      </c>
      <c r="F289" s="171"/>
      <c r="G289" s="171"/>
      <c r="H289" s="171"/>
      <c r="I289" s="171" t="s">
        <v>5772</v>
      </c>
      <c r="J289" s="171"/>
      <c r="K289" s="171">
        <v>126</v>
      </c>
      <c r="L289" s="171">
        <v>182</v>
      </c>
      <c r="M289" s="171">
        <v>18201</v>
      </c>
      <c r="N289" s="171">
        <v>22003</v>
      </c>
      <c r="O289" s="171" t="s">
        <v>4356</v>
      </c>
      <c r="P289" s="171" t="s">
        <v>5773</v>
      </c>
      <c r="Q289" s="171" t="s">
        <v>4855</v>
      </c>
      <c r="R289" s="171" t="s">
        <v>4848</v>
      </c>
      <c r="S289" s="100">
        <v>9784</v>
      </c>
      <c r="T289" s="100">
        <v>0</v>
      </c>
      <c r="U289" s="100">
        <v>0</v>
      </c>
      <c r="V289" s="100">
        <v>1</v>
      </c>
      <c r="W289" s="100">
        <v>33</v>
      </c>
      <c r="X289" s="100">
        <v>0</v>
      </c>
      <c r="Y289" s="100">
        <v>33</v>
      </c>
      <c r="Z289" s="100">
        <v>0</v>
      </c>
      <c r="AA289" s="100">
        <v>0</v>
      </c>
      <c r="AB289" s="100">
        <v>0</v>
      </c>
      <c r="AC289" s="171"/>
      <c r="AD289" s="171"/>
      <c r="AE289" s="171"/>
      <c r="AF289" s="171" t="s">
        <v>4886</v>
      </c>
      <c r="AG289" s="171" t="s">
        <v>5772</v>
      </c>
      <c r="AH289" s="171" t="s">
        <v>5772</v>
      </c>
      <c r="AI289" s="171" t="s">
        <v>5774</v>
      </c>
    </row>
    <row r="290" spans="1:35">
      <c r="A290" s="100">
        <v>555257</v>
      </c>
      <c r="B290" s="171"/>
      <c r="C290" s="100">
        <v>1</v>
      </c>
      <c r="D290" s="100">
        <v>0</v>
      </c>
      <c r="E290" s="100">
        <v>0</v>
      </c>
      <c r="F290" s="171"/>
      <c r="G290" s="171"/>
      <c r="H290" s="171"/>
      <c r="I290" s="171" t="s">
        <v>5772</v>
      </c>
      <c r="J290" s="171"/>
      <c r="K290" s="171">
        <v>126</v>
      </c>
      <c r="L290" s="171">
        <v>182</v>
      </c>
      <c r="M290" s="171">
        <v>18201</v>
      </c>
      <c r="N290" s="171">
        <v>22003</v>
      </c>
      <c r="O290" s="171" t="s">
        <v>4356</v>
      </c>
      <c r="P290" s="171" t="s">
        <v>5773</v>
      </c>
      <c r="Q290" s="171" t="s">
        <v>4855</v>
      </c>
      <c r="R290" s="171" t="s">
        <v>4848</v>
      </c>
      <c r="S290" s="100">
        <v>9783</v>
      </c>
      <c r="T290" s="100">
        <v>0</v>
      </c>
      <c r="U290" s="100">
        <v>0</v>
      </c>
      <c r="V290" s="100">
        <v>1</v>
      </c>
      <c r="W290" s="100">
        <v>33</v>
      </c>
      <c r="X290" s="100">
        <v>0</v>
      </c>
      <c r="Y290" s="100">
        <v>33</v>
      </c>
      <c r="Z290" s="100">
        <v>0</v>
      </c>
      <c r="AA290" s="100">
        <v>0</v>
      </c>
      <c r="AB290" s="100">
        <v>0</v>
      </c>
      <c r="AC290" s="171"/>
      <c r="AD290" s="171"/>
      <c r="AE290" s="171"/>
      <c r="AF290" s="171" t="s">
        <v>4886</v>
      </c>
      <c r="AG290" s="171" t="s">
        <v>5772</v>
      </c>
      <c r="AH290" s="171" t="s">
        <v>5772</v>
      </c>
      <c r="AI290" s="171" t="s">
        <v>5774</v>
      </c>
    </row>
    <row r="291" spans="1:35">
      <c r="A291" s="100">
        <v>569230</v>
      </c>
      <c r="B291" s="171"/>
      <c r="C291" s="100">
        <v>1</v>
      </c>
      <c r="D291" s="100">
        <v>0</v>
      </c>
      <c r="E291" s="100">
        <v>0</v>
      </c>
      <c r="F291" s="171"/>
      <c r="G291" s="171"/>
      <c r="H291" s="171"/>
      <c r="I291" s="171" t="s">
        <v>5762</v>
      </c>
      <c r="J291" s="171"/>
      <c r="K291" s="171">
        <v>126</v>
      </c>
      <c r="L291" s="171">
        <v>182</v>
      </c>
      <c r="M291" s="171">
        <v>18201</v>
      </c>
      <c r="N291" s="171">
        <v>22003</v>
      </c>
      <c r="O291" s="171" t="s">
        <v>4370</v>
      </c>
      <c r="P291" s="171" t="s">
        <v>5811</v>
      </c>
      <c r="Q291" s="171"/>
      <c r="R291" s="171" t="s">
        <v>4848</v>
      </c>
      <c r="S291" s="100">
        <v>8716</v>
      </c>
      <c r="T291" s="100">
        <v>0</v>
      </c>
      <c r="U291" s="100">
        <v>0</v>
      </c>
      <c r="V291" s="100">
        <v>1</v>
      </c>
      <c r="W291" s="100">
        <v>500</v>
      </c>
      <c r="X291" s="100">
        <v>0</v>
      </c>
      <c r="Y291" s="100">
        <v>500</v>
      </c>
      <c r="Z291" s="100">
        <v>0</v>
      </c>
      <c r="AA291" s="100">
        <v>0</v>
      </c>
      <c r="AB291" s="100">
        <v>0</v>
      </c>
      <c r="AC291" s="171"/>
      <c r="AD291" s="171"/>
      <c r="AE291" s="171"/>
      <c r="AF291" s="171" t="s">
        <v>4849</v>
      </c>
      <c r="AG291" s="171" t="s">
        <v>5762</v>
      </c>
      <c r="AH291" s="171" t="s">
        <v>5762</v>
      </c>
      <c r="AI291" s="171" t="s">
        <v>5774</v>
      </c>
    </row>
    <row r="292" spans="1:35">
      <c r="A292" s="100">
        <v>569655</v>
      </c>
      <c r="B292" s="171"/>
      <c r="C292" s="100">
        <v>1</v>
      </c>
      <c r="D292" s="100">
        <v>0</v>
      </c>
      <c r="E292" s="100">
        <v>0</v>
      </c>
      <c r="F292" s="171"/>
      <c r="G292" s="171"/>
      <c r="H292" s="171"/>
      <c r="I292" s="171" t="s">
        <v>6163</v>
      </c>
      <c r="J292" s="171"/>
      <c r="K292" s="171">
        <v>126</v>
      </c>
      <c r="L292" s="171">
        <v>182</v>
      </c>
      <c r="M292" s="171">
        <v>18201</v>
      </c>
      <c r="N292" s="171">
        <v>22003</v>
      </c>
      <c r="O292" s="171" t="s">
        <v>4396</v>
      </c>
      <c r="P292" s="171" t="s">
        <v>5812</v>
      </c>
      <c r="Q292" s="171"/>
      <c r="R292" s="171" t="s">
        <v>4848</v>
      </c>
      <c r="S292" s="100">
        <v>6255</v>
      </c>
      <c r="T292" s="100">
        <v>0</v>
      </c>
      <c r="U292" s="100">
        <v>0</v>
      </c>
      <c r="V292" s="100">
        <v>1</v>
      </c>
      <c r="W292" s="100">
        <v>50</v>
      </c>
      <c r="X292" s="100">
        <v>0</v>
      </c>
      <c r="Y292" s="100">
        <v>50</v>
      </c>
      <c r="Z292" s="100">
        <v>0</v>
      </c>
      <c r="AA292" s="100">
        <v>0</v>
      </c>
      <c r="AB292" s="100">
        <v>0</v>
      </c>
      <c r="AC292" s="171"/>
      <c r="AD292" s="171"/>
      <c r="AE292" s="171"/>
      <c r="AF292" s="171" t="s">
        <v>4849</v>
      </c>
      <c r="AG292" s="171" t="s">
        <v>6163</v>
      </c>
      <c r="AH292" s="171" t="s">
        <v>6163</v>
      </c>
      <c r="AI292" s="171" t="s">
        <v>4906</v>
      </c>
    </row>
    <row r="293" spans="1:35">
      <c r="A293" s="100">
        <v>574061</v>
      </c>
      <c r="B293" s="171"/>
      <c r="C293" s="100">
        <v>1</v>
      </c>
      <c r="D293" s="100">
        <v>0</v>
      </c>
      <c r="E293" s="100">
        <v>0</v>
      </c>
      <c r="F293" s="171"/>
      <c r="G293" s="171" t="s">
        <v>6190</v>
      </c>
      <c r="H293" s="171"/>
      <c r="I293" s="171" t="s">
        <v>6157</v>
      </c>
      <c r="J293" s="171"/>
      <c r="K293" s="171">
        <v>126</v>
      </c>
      <c r="L293" s="171">
        <v>182</v>
      </c>
      <c r="M293" s="171">
        <v>18201</v>
      </c>
      <c r="N293" s="171">
        <v>22003</v>
      </c>
      <c r="O293" s="171" t="s">
        <v>4367</v>
      </c>
      <c r="P293" s="171" t="s">
        <v>6191</v>
      </c>
      <c r="Q293" s="171" t="s">
        <v>4875</v>
      </c>
      <c r="R293" s="171" t="s">
        <v>4848</v>
      </c>
      <c r="S293" s="100">
        <v>5356</v>
      </c>
      <c r="T293" s="100">
        <v>0</v>
      </c>
      <c r="U293" s="100">
        <v>0</v>
      </c>
      <c r="V293" s="100">
        <v>1</v>
      </c>
      <c r="W293" s="100">
        <v>150</v>
      </c>
      <c r="X293" s="100">
        <v>0</v>
      </c>
      <c r="Y293" s="100">
        <v>150</v>
      </c>
      <c r="Z293" s="100">
        <v>0</v>
      </c>
      <c r="AA293" s="100">
        <v>0</v>
      </c>
      <c r="AB293" s="100">
        <v>0</v>
      </c>
      <c r="AC293" s="171"/>
      <c r="AD293" s="171"/>
      <c r="AE293" s="171"/>
      <c r="AF293" s="171" t="s">
        <v>4849</v>
      </c>
      <c r="AG293" s="171" t="s">
        <v>6157</v>
      </c>
      <c r="AH293" s="171" t="s">
        <v>6157</v>
      </c>
      <c r="AI293" s="171" t="s">
        <v>6192</v>
      </c>
    </row>
    <row r="294" spans="1:35">
      <c r="A294" s="100">
        <v>574205</v>
      </c>
      <c r="B294" s="171"/>
      <c r="C294" s="100">
        <v>1</v>
      </c>
      <c r="D294" s="100">
        <v>0</v>
      </c>
      <c r="E294" s="100">
        <v>0</v>
      </c>
      <c r="F294" s="171"/>
      <c r="G294" s="171" t="s">
        <v>6160</v>
      </c>
      <c r="H294" s="171"/>
      <c r="I294" s="171" t="s">
        <v>6189</v>
      </c>
      <c r="J294" s="171"/>
      <c r="K294" s="171">
        <v>126</v>
      </c>
      <c r="L294" s="171">
        <v>182</v>
      </c>
      <c r="M294" s="171">
        <v>18201</v>
      </c>
      <c r="N294" s="171">
        <v>22003</v>
      </c>
      <c r="O294" s="171" t="s">
        <v>4403</v>
      </c>
      <c r="P294" s="171" t="s">
        <v>5810</v>
      </c>
      <c r="Q294" s="171" t="s">
        <v>4875</v>
      </c>
      <c r="R294" s="171" t="s">
        <v>4848</v>
      </c>
      <c r="S294" s="100">
        <v>12523</v>
      </c>
      <c r="T294" s="100">
        <v>0</v>
      </c>
      <c r="U294" s="100">
        <v>0</v>
      </c>
      <c r="V294" s="100">
        <v>1</v>
      </c>
      <c r="W294" s="100">
        <v>13130</v>
      </c>
      <c r="X294" s="100">
        <v>0</v>
      </c>
      <c r="Y294" s="100">
        <v>13130</v>
      </c>
      <c r="Z294" s="100">
        <v>0</v>
      </c>
      <c r="AA294" s="100">
        <v>0</v>
      </c>
      <c r="AB294" s="100">
        <v>0</v>
      </c>
      <c r="AC294" s="171"/>
      <c r="AD294" s="171"/>
      <c r="AE294" s="171"/>
      <c r="AF294" s="171" t="s">
        <v>4849</v>
      </c>
      <c r="AG294" s="171" t="s">
        <v>6189</v>
      </c>
      <c r="AH294" s="171" t="s">
        <v>6189</v>
      </c>
      <c r="AI294" s="171" t="s">
        <v>4906</v>
      </c>
    </row>
    <row r="295" spans="1:35">
      <c r="A295" s="100">
        <v>574218</v>
      </c>
      <c r="B295" s="171"/>
      <c r="C295" s="100">
        <v>1</v>
      </c>
      <c r="D295" s="100">
        <v>0</v>
      </c>
      <c r="E295" s="100">
        <v>0</v>
      </c>
      <c r="F295" s="171"/>
      <c r="G295" s="171" t="s">
        <v>6160</v>
      </c>
      <c r="H295" s="171"/>
      <c r="I295" s="171" t="s">
        <v>6172</v>
      </c>
      <c r="J295" s="171"/>
      <c r="K295" s="171">
        <v>126</v>
      </c>
      <c r="L295" s="171">
        <v>182</v>
      </c>
      <c r="M295" s="171">
        <v>18201</v>
      </c>
      <c r="N295" s="171">
        <v>22003</v>
      </c>
      <c r="O295" s="171" t="s">
        <v>4367</v>
      </c>
      <c r="P295" s="171" t="s">
        <v>6191</v>
      </c>
      <c r="Q295" s="171" t="s">
        <v>4875</v>
      </c>
      <c r="R295" s="171" t="s">
        <v>4848</v>
      </c>
      <c r="S295" s="100">
        <v>9426</v>
      </c>
      <c r="T295" s="100">
        <v>0</v>
      </c>
      <c r="U295" s="100">
        <v>0</v>
      </c>
      <c r="V295" s="100">
        <v>1</v>
      </c>
      <c r="W295" s="100">
        <v>64</v>
      </c>
      <c r="X295" s="100">
        <v>0</v>
      </c>
      <c r="Y295" s="100">
        <v>64</v>
      </c>
      <c r="Z295" s="100">
        <v>0</v>
      </c>
      <c r="AA295" s="100">
        <v>0</v>
      </c>
      <c r="AB295" s="100">
        <v>0</v>
      </c>
      <c r="AC295" s="171"/>
      <c r="AD295" s="171"/>
      <c r="AE295" s="171"/>
      <c r="AF295" s="171" t="s">
        <v>4886</v>
      </c>
      <c r="AG295" s="171" t="s">
        <v>6172</v>
      </c>
      <c r="AH295" s="171" t="s">
        <v>6172</v>
      </c>
      <c r="AI295" s="171" t="s">
        <v>6192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23"/>
  <dimension ref="A1:AI303"/>
  <sheetViews>
    <sheetView zoomScale="130" zoomScaleNormal="130" workbookViewId="0">
      <selection activeCell="B284" sqref="B284"/>
    </sheetView>
  </sheetViews>
  <sheetFormatPr defaultRowHeight="12.75"/>
  <sheetData>
    <row r="1" spans="1:35" ht="13.5">
      <c r="J1" s="292" t="s">
        <v>542</v>
      </c>
      <c r="Q1" s="257" t="s">
        <v>543</v>
      </c>
    </row>
    <row r="3" spans="1:35">
      <c r="B3" s="258" t="s">
        <v>48</v>
      </c>
      <c r="C3" s="258"/>
      <c r="E3" s="259" t="s">
        <v>544</v>
      </c>
    </row>
    <row r="4" spans="1:35">
      <c r="B4" s="260" t="s">
        <v>5920</v>
      </c>
      <c r="C4" s="260"/>
      <c r="Q4" s="261" t="s">
        <v>49</v>
      </c>
    </row>
    <row r="6" spans="1:35" ht="13.5">
      <c r="B6" s="298" t="s">
        <v>545</v>
      </c>
      <c r="C6" s="298"/>
    </row>
    <row r="7" spans="1:35">
      <c r="D7" s="297" t="s">
        <v>546</v>
      </c>
      <c r="I7" s="265" t="s">
        <v>58</v>
      </c>
      <c r="J7" s="265" t="s">
        <v>251</v>
      </c>
      <c r="K7" s="265" t="s">
        <v>252</v>
      </c>
      <c r="L7" s="265" t="s">
        <v>253</v>
      </c>
      <c r="M7" s="265" t="s">
        <v>254</v>
      </c>
      <c r="N7" s="265" t="s">
        <v>255</v>
      </c>
      <c r="O7" s="265" t="s">
        <v>256</v>
      </c>
      <c r="P7" s="265" t="s">
        <v>257</v>
      </c>
      <c r="Q7" s="265" t="s">
        <v>258</v>
      </c>
      <c r="R7" s="265" t="s">
        <v>259</v>
      </c>
      <c r="S7" s="265" t="s">
        <v>260</v>
      </c>
      <c r="T7" s="265" t="s">
        <v>261</v>
      </c>
      <c r="U7" s="265" t="s">
        <v>262</v>
      </c>
      <c r="V7" s="265" t="s">
        <v>263</v>
      </c>
      <c r="W7" s="265" t="s">
        <v>264</v>
      </c>
      <c r="X7" s="265" t="s">
        <v>265</v>
      </c>
      <c r="Y7" s="265" t="s">
        <v>266</v>
      </c>
      <c r="Z7" s="265" t="s">
        <v>267</v>
      </c>
      <c r="AA7" s="265" t="s">
        <v>268</v>
      </c>
      <c r="AB7" s="265" t="s">
        <v>269</v>
      </c>
      <c r="AC7" s="265" t="s">
        <v>270</v>
      </c>
      <c r="AD7" s="265" t="s">
        <v>271</v>
      </c>
      <c r="AE7" s="265" t="s">
        <v>272</v>
      </c>
      <c r="AF7" s="265" t="s">
        <v>273</v>
      </c>
      <c r="AG7" s="265" t="s">
        <v>274</v>
      </c>
      <c r="AH7" s="265" t="s">
        <v>275</v>
      </c>
      <c r="AI7" s="265" t="s">
        <v>276</v>
      </c>
    </row>
    <row r="8" spans="1:35">
      <c r="A8" t="s">
        <v>2123</v>
      </c>
      <c r="B8" s="265" t="s">
        <v>277</v>
      </c>
      <c r="C8" s="265" t="s">
        <v>4552</v>
      </c>
      <c r="D8" s="265" t="s">
        <v>547</v>
      </c>
      <c r="E8" s="269" t="s">
        <v>510</v>
      </c>
      <c r="F8" s="265" t="s">
        <v>412</v>
      </c>
      <c r="G8" s="265" t="s">
        <v>272</v>
      </c>
      <c r="H8" s="265" t="s">
        <v>511</v>
      </c>
      <c r="I8" s="299">
        <v>7</v>
      </c>
      <c r="K8" s="299">
        <v>0</v>
      </c>
      <c r="L8" s="299">
        <v>5.25</v>
      </c>
      <c r="M8" s="299">
        <v>1.75</v>
      </c>
      <c r="AE8" s="299">
        <v>0</v>
      </c>
    </row>
    <row r="9" spans="1:35">
      <c r="A9" t="s">
        <v>2123</v>
      </c>
      <c r="B9" s="265" t="s">
        <v>278</v>
      </c>
      <c r="C9" s="265" t="s">
        <v>4552</v>
      </c>
      <c r="D9" s="265" t="s">
        <v>548</v>
      </c>
      <c r="E9" s="269" t="s">
        <v>510</v>
      </c>
      <c r="F9" s="265" t="s">
        <v>412</v>
      </c>
      <c r="G9" s="265" t="s">
        <v>272</v>
      </c>
      <c r="H9" s="265" t="s">
        <v>511</v>
      </c>
      <c r="I9" s="299">
        <v>7</v>
      </c>
      <c r="K9" s="299">
        <v>0</v>
      </c>
      <c r="L9" s="299">
        <v>5.25</v>
      </c>
      <c r="M9" s="299">
        <v>1.75</v>
      </c>
      <c r="AE9" s="299">
        <v>0</v>
      </c>
    </row>
    <row r="10" spans="1:35">
      <c r="A10" t="s">
        <v>2122</v>
      </c>
      <c r="B10" s="265" t="s">
        <v>279</v>
      </c>
      <c r="C10" s="265" t="s">
        <v>4552</v>
      </c>
      <c r="D10" s="265" t="s">
        <v>549</v>
      </c>
      <c r="E10" s="269" t="s">
        <v>512</v>
      </c>
      <c r="F10" s="265" t="s">
        <v>513</v>
      </c>
      <c r="G10" s="265" t="s">
        <v>272</v>
      </c>
      <c r="H10" s="265" t="s">
        <v>511</v>
      </c>
      <c r="I10" s="299">
        <v>21.8</v>
      </c>
      <c r="K10" s="299">
        <v>0</v>
      </c>
      <c r="L10" s="299">
        <v>16.350000000000001</v>
      </c>
      <c r="M10" s="299">
        <v>5.45</v>
      </c>
      <c r="AE10" s="299">
        <v>0</v>
      </c>
    </row>
    <row r="11" spans="1:35">
      <c r="A11" t="s">
        <v>3868</v>
      </c>
      <c r="B11" s="265" t="s">
        <v>280</v>
      </c>
      <c r="C11" s="265" t="s">
        <v>4556</v>
      </c>
      <c r="D11" s="265" t="s">
        <v>4794</v>
      </c>
      <c r="E11" s="269" t="s">
        <v>528</v>
      </c>
      <c r="F11" s="265" t="s">
        <v>316</v>
      </c>
      <c r="G11" s="265" t="s">
        <v>264</v>
      </c>
      <c r="H11" s="265" t="s">
        <v>518</v>
      </c>
      <c r="I11" s="299">
        <v>0</v>
      </c>
      <c r="W11" s="299">
        <v>0</v>
      </c>
    </row>
    <row r="12" spans="1:35">
      <c r="A12" t="s">
        <v>4263</v>
      </c>
      <c r="B12" s="265" t="s">
        <v>281</v>
      </c>
      <c r="C12" s="265" t="s">
        <v>4634</v>
      </c>
      <c r="D12" s="265" t="s">
        <v>4778</v>
      </c>
      <c r="E12" s="269" t="s">
        <v>517</v>
      </c>
      <c r="F12" s="265" t="s">
        <v>488</v>
      </c>
      <c r="G12" s="265" t="s">
        <v>259</v>
      </c>
      <c r="H12" s="265" t="s">
        <v>262</v>
      </c>
      <c r="I12" s="299">
        <v>75</v>
      </c>
      <c r="L12" s="299">
        <v>40</v>
      </c>
      <c r="M12" s="299">
        <v>35</v>
      </c>
      <c r="R12" s="299">
        <v>0</v>
      </c>
      <c r="U12" s="299">
        <v>0</v>
      </c>
    </row>
    <row r="13" spans="1:35">
      <c r="A13" t="s">
        <v>673</v>
      </c>
      <c r="B13" s="265" t="s">
        <v>282</v>
      </c>
      <c r="C13" s="265" t="s">
        <v>4566</v>
      </c>
      <c r="D13" s="265" t="s">
        <v>4779</v>
      </c>
      <c r="E13" s="269" t="s">
        <v>519</v>
      </c>
      <c r="F13" s="265" t="s">
        <v>296</v>
      </c>
      <c r="G13" s="265" t="s">
        <v>259</v>
      </c>
      <c r="H13" s="265" t="s">
        <v>520</v>
      </c>
      <c r="I13" s="299">
        <v>12.66</v>
      </c>
      <c r="L13" s="299">
        <v>4.66</v>
      </c>
      <c r="M13" s="299">
        <v>2</v>
      </c>
      <c r="R13" s="299">
        <v>0</v>
      </c>
      <c r="U13" s="299">
        <v>0</v>
      </c>
      <c r="AF13" s="299">
        <v>6</v>
      </c>
    </row>
    <row r="14" spans="1:35">
      <c r="A14" t="s">
        <v>875</v>
      </c>
      <c r="B14" s="265" t="s">
        <v>283</v>
      </c>
      <c r="C14" s="265" t="s">
        <v>4559</v>
      </c>
      <c r="D14" s="265" t="s">
        <v>551</v>
      </c>
      <c r="E14" s="269" t="s">
        <v>521</v>
      </c>
      <c r="F14" s="265" t="s">
        <v>306</v>
      </c>
      <c r="G14" s="265" t="s">
        <v>259</v>
      </c>
      <c r="H14" s="265" t="s">
        <v>254</v>
      </c>
      <c r="I14" s="299">
        <v>21.23</v>
      </c>
      <c r="L14" s="299">
        <v>8.4</v>
      </c>
      <c r="M14" s="299">
        <v>5.6</v>
      </c>
      <c r="R14" s="299">
        <v>0</v>
      </c>
      <c r="U14" s="299">
        <v>0</v>
      </c>
      <c r="AF14" s="299">
        <v>7.23</v>
      </c>
    </row>
    <row r="15" spans="1:35">
      <c r="A15" t="s">
        <v>4857</v>
      </c>
      <c r="B15" s="265" t="s">
        <v>284</v>
      </c>
      <c r="C15" s="265"/>
      <c r="D15" s="265" t="s">
        <v>4795</v>
      </c>
      <c r="E15" s="269" t="s">
        <v>555</v>
      </c>
      <c r="F15" s="265" t="s">
        <v>556</v>
      </c>
      <c r="G15" s="265" t="s">
        <v>251</v>
      </c>
      <c r="H15" s="265" t="s">
        <v>520</v>
      </c>
      <c r="I15" s="299">
        <v>48</v>
      </c>
      <c r="J15" s="299">
        <v>0</v>
      </c>
      <c r="K15" s="299">
        <v>0</v>
      </c>
      <c r="L15" s="299">
        <v>32</v>
      </c>
      <c r="M15" s="299">
        <v>16</v>
      </c>
    </row>
    <row r="16" spans="1:35">
      <c r="A16" t="s">
        <v>4337</v>
      </c>
      <c r="B16" s="265" t="s">
        <v>285</v>
      </c>
      <c r="C16" s="265" t="s">
        <v>79</v>
      </c>
      <c r="D16" s="265" t="s">
        <v>4780</v>
      </c>
      <c r="E16" s="269" t="s">
        <v>534</v>
      </c>
      <c r="F16" s="265" t="s">
        <v>335</v>
      </c>
      <c r="G16" s="265" t="s">
        <v>252</v>
      </c>
      <c r="H16" s="265" t="s">
        <v>258</v>
      </c>
      <c r="I16" s="299">
        <v>28.33</v>
      </c>
      <c r="K16" s="299">
        <v>0</v>
      </c>
      <c r="L16" s="299">
        <v>16.670000000000002</v>
      </c>
      <c r="M16" s="299">
        <v>8.33</v>
      </c>
      <c r="V16" s="299">
        <v>3.33</v>
      </c>
    </row>
    <row r="17" spans="1:34">
      <c r="A17" t="s">
        <v>837</v>
      </c>
      <c r="B17" s="265" t="s">
        <v>286</v>
      </c>
      <c r="C17" s="265" t="s">
        <v>4558</v>
      </c>
      <c r="D17" s="265" t="s">
        <v>4797</v>
      </c>
      <c r="E17" s="269" t="s">
        <v>4798</v>
      </c>
      <c r="F17" s="265" t="s">
        <v>291</v>
      </c>
      <c r="G17" s="265" t="s">
        <v>259</v>
      </c>
      <c r="H17" s="265" t="s">
        <v>262</v>
      </c>
      <c r="I17" s="299">
        <v>4.6399999999999997</v>
      </c>
      <c r="L17" s="299">
        <v>4</v>
      </c>
      <c r="M17" s="299">
        <v>0.38</v>
      </c>
      <c r="R17" s="299">
        <v>0</v>
      </c>
      <c r="S17" s="299">
        <v>0.13</v>
      </c>
      <c r="U17" s="299">
        <v>0.13</v>
      </c>
    </row>
    <row r="18" spans="1:34">
      <c r="A18" t="s">
        <v>699</v>
      </c>
      <c r="B18" s="265" t="s">
        <v>287</v>
      </c>
      <c r="C18" s="265" t="s">
        <v>4566</v>
      </c>
      <c r="D18" s="265" t="s">
        <v>4781</v>
      </c>
      <c r="E18" s="269" t="s">
        <v>535</v>
      </c>
      <c r="F18" s="265" t="s">
        <v>335</v>
      </c>
      <c r="G18" s="265" t="s">
        <v>259</v>
      </c>
      <c r="H18" s="265" t="s">
        <v>262</v>
      </c>
      <c r="I18" s="299">
        <v>46.67</v>
      </c>
      <c r="L18" s="299">
        <v>30</v>
      </c>
      <c r="M18" s="299">
        <v>16.670000000000002</v>
      </c>
      <c r="R18" s="299">
        <v>0</v>
      </c>
      <c r="U18" s="299">
        <v>0</v>
      </c>
      <c r="Y18" s="299">
        <v>0</v>
      </c>
    </row>
    <row r="19" spans="1:34">
      <c r="A19" t="s">
        <v>716</v>
      </c>
      <c r="B19" s="265" t="s">
        <v>288</v>
      </c>
      <c r="C19" s="265" t="s">
        <v>527</v>
      </c>
      <c r="D19" s="265" t="s">
        <v>4782</v>
      </c>
      <c r="E19" s="269" t="s">
        <v>536</v>
      </c>
      <c r="F19" s="265" t="s">
        <v>306</v>
      </c>
      <c r="G19" s="265" t="s">
        <v>251</v>
      </c>
      <c r="H19" s="265" t="s">
        <v>262</v>
      </c>
      <c r="I19" s="299">
        <v>2.5</v>
      </c>
      <c r="J19" s="299">
        <v>0</v>
      </c>
      <c r="K19" s="299">
        <v>0</v>
      </c>
      <c r="L19" s="299">
        <v>1.5</v>
      </c>
      <c r="M19" s="299">
        <v>1</v>
      </c>
      <c r="Y19" s="299">
        <v>0</v>
      </c>
    </row>
    <row r="20" spans="1:34">
      <c r="A20" t="s">
        <v>2468</v>
      </c>
      <c r="B20" s="265" t="s">
        <v>289</v>
      </c>
      <c r="C20" s="265" t="s">
        <v>4556</v>
      </c>
      <c r="D20" s="265" t="s">
        <v>4785</v>
      </c>
      <c r="E20" s="269" t="s">
        <v>522</v>
      </c>
      <c r="F20" s="265" t="s">
        <v>360</v>
      </c>
      <c r="G20" s="265" t="s">
        <v>255</v>
      </c>
      <c r="H20" s="265" t="s">
        <v>262</v>
      </c>
      <c r="I20" s="299">
        <v>46.66</v>
      </c>
      <c r="L20" s="299">
        <v>21</v>
      </c>
      <c r="M20" s="299">
        <v>8.16</v>
      </c>
      <c r="N20" s="299">
        <v>17.5</v>
      </c>
    </row>
    <row r="21" spans="1:34">
      <c r="A21" t="s">
        <v>2253</v>
      </c>
      <c r="B21" s="265" t="s">
        <v>290</v>
      </c>
      <c r="C21" s="265" t="s">
        <v>4552</v>
      </c>
      <c r="D21" s="265" t="s">
        <v>4786</v>
      </c>
      <c r="E21" s="269" t="s">
        <v>4787</v>
      </c>
      <c r="F21" s="265" t="s">
        <v>312</v>
      </c>
      <c r="G21" s="265" t="s">
        <v>251</v>
      </c>
      <c r="H21" s="265" t="s">
        <v>518</v>
      </c>
      <c r="I21" s="299">
        <v>2.4</v>
      </c>
      <c r="J21" s="299">
        <v>0</v>
      </c>
      <c r="K21" s="299">
        <v>2.4</v>
      </c>
      <c r="L21" s="299">
        <v>0</v>
      </c>
      <c r="M21" s="299">
        <v>0</v>
      </c>
      <c r="AE21" s="299">
        <v>0</v>
      </c>
    </row>
    <row r="22" spans="1:34">
      <c r="A22" t="s">
        <v>777</v>
      </c>
      <c r="B22" s="265" t="s">
        <v>291</v>
      </c>
      <c r="C22" s="265" t="s">
        <v>4559</v>
      </c>
      <c r="D22" s="265" t="s">
        <v>4788</v>
      </c>
      <c r="E22" s="269" t="s">
        <v>4789</v>
      </c>
      <c r="F22" s="265" t="s">
        <v>335</v>
      </c>
      <c r="G22" s="265" t="s">
        <v>251</v>
      </c>
      <c r="H22" s="265" t="s">
        <v>254</v>
      </c>
      <c r="I22" s="299">
        <v>24.17</v>
      </c>
      <c r="J22" s="299">
        <v>0</v>
      </c>
      <c r="L22" s="299">
        <v>20</v>
      </c>
      <c r="M22" s="299">
        <v>4.17</v>
      </c>
      <c r="AE22" s="299">
        <v>0</v>
      </c>
    </row>
    <row r="23" spans="1:34">
      <c r="A23" t="s">
        <v>2206</v>
      </c>
      <c r="B23" s="265" t="s">
        <v>292</v>
      </c>
      <c r="C23" s="265" t="s">
        <v>4552</v>
      </c>
      <c r="D23" s="265" t="s">
        <v>4790</v>
      </c>
      <c r="E23" s="269" t="s">
        <v>530</v>
      </c>
      <c r="F23" s="265" t="s">
        <v>306</v>
      </c>
      <c r="G23" s="265" t="s">
        <v>251</v>
      </c>
      <c r="H23" s="265" t="s">
        <v>262</v>
      </c>
      <c r="I23" s="299">
        <v>8</v>
      </c>
      <c r="J23" s="299">
        <v>0</v>
      </c>
      <c r="K23" s="299">
        <v>0</v>
      </c>
      <c r="L23" s="299">
        <v>7</v>
      </c>
      <c r="M23" s="299">
        <v>1</v>
      </c>
    </row>
    <row r="24" spans="1:34">
      <c r="A24" t="s">
        <v>2202</v>
      </c>
      <c r="B24" s="265" t="s">
        <v>293</v>
      </c>
      <c r="C24" s="265" t="s">
        <v>4552</v>
      </c>
      <c r="D24" s="265" t="s">
        <v>4791</v>
      </c>
      <c r="E24" s="269" t="s">
        <v>532</v>
      </c>
      <c r="F24" s="265" t="s">
        <v>349</v>
      </c>
      <c r="G24" s="265" t="s">
        <v>251</v>
      </c>
      <c r="H24" s="265" t="s">
        <v>262</v>
      </c>
      <c r="I24" s="299">
        <v>12</v>
      </c>
      <c r="J24" s="299">
        <v>0</v>
      </c>
      <c r="K24" s="299">
        <v>0</v>
      </c>
      <c r="L24" s="299">
        <v>10</v>
      </c>
      <c r="M24" s="299">
        <v>2</v>
      </c>
    </row>
    <row r="25" spans="1:34">
      <c r="A25" t="s">
        <v>2204</v>
      </c>
      <c r="B25" s="265" t="s">
        <v>294</v>
      </c>
      <c r="C25" s="265" t="s">
        <v>4552</v>
      </c>
      <c r="D25" s="265" t="s">
        <v>4792</v>
      </c>
      <c r="E25" s="269" t="s">
        <v>533</v>
      </c>
      <c r="F25" s="265" t="s">
        <v>306</v>
      </c>
      <c r="G25" s="265" t="s">
        <v>251</v>
      </c>
      <c r="H25" s="265" t="s">
        <v>262</v>
      </c>
      <c r="I25" s="299">
        <v>7</v>
      </c>
      <c r="J25" s="299">
        <v>0</v>
      </c>
      <c r="K25" s="299">
        <v>0</v>
      </c>
      <c r="L25" s="299">
        <v>6</v>
      </c>
      <c r="M25" s="299">
        <v>1</v>
      </c>
    </row>
    <row r="26" spans="1:34">
      <c r="A26" t="s">
        <v>4450</v>
      </c>
      <c r="B26" s="265" t="s">
        <v>295</v>
      </c>
      <c r="C26" s="265" t="s">
        <v>4732</v>
      </c>
      <c r="D26" s="265" t="s">
        <v>4802</v>
      </c>
      <c r="E26" s="269" t="s">
        <v>4803</v>
      </c>
      <c r="F26" s="265" t="s">
        <v>360</v>
      </c>
      <c r="G26" s="265" t="s">
        <v>251</v>
      </c>
      <c r="H26" s="265" t="s">
        <v>520</v>
      </c>
      <c r="I26" s="299">
        <v>17.5</v>
      </c>
      <c r="J26" s="299">
        <v>0</v>
      </c>
      <c r="K26" s="299">
        <v>0</v>
      </c>
      <c r="L26" s="299">
        <v>14</v>
      </c>
      <c r="M26" s="299">
        <v>3.5</v>
      </c>
    </row>
    <row r="27" spans="1:34">
      <c r="A27" t="s">
        <v>4449</v>
      </c>
      <c r="B27" s="265" t="s">
        <v>296</v>
      </c>
      <c r="C27" s="265" t="s">
        <v>96</v>
      </c>
      <c r="D27" s="265" t="s">
        <v>4804</v>
      </c>
      <c r="E27" s="269" t="s">
        <v>4805</v>
      </c>
      <c r="F27" s="265" t="s">
        <v>360</v>
      </c>
      <c r="G27" s="265" t="s">
        <v>251</v>
      </c>
      <c r="H27" s="265" t="s">
        <v>520</v>
      </c>
      <c r="I27" s="299">
        <v>17.5</v>
      </c>
      <c r="J27" s="299">
        <v>0</v>
      </c>
      <c r="K27" s="299">
        <v>0</v>
      </c>
      <c r="L27" s="299">
        <v>14</v>
      </c>
      <c r="M27" s="299">
        <v>3.5</v>
      </c>
    </row>
    <row r="28" spans="1:34">
      <c r="A28" t="s">
        <v>2203</v>
      </c>
      <c r="B28" s="265" t="s">
        <v>297</v>
      </c>
      <c r="C28" s="265" t="s">
        <v>4552</v>
      </c>
      <c r="D28" s="265" t="s">
        <v>4809</v>
      </c>
      <c r="E28" s="269" t="s">
        <v>4810</v>
      </c>
      <c r="F28" s="265" t="s">
        <v>296</v>
      </c>
      <c r="G28" s="265" t="s">
        <v>251</v>
      </c>
      <c r="H28" s="265" t="s">
        <v>262</v>
      </c>
      <c r="I28" s="299">
        <v>4.67</v>
      </c>
      <c r="J28" s="299">
        <v>0</v>
      </c>
      <c r="K28" s="299">
        <v>0</v>
      </c>
      <c r="L28" s="299">
        <v>4</v>
      </c>
      <c r="M28" s="299">
        <v>0.67</v>
      </c>
    </row>
    <row r="29" spans="1:34">
      <c r="A29" t="s">
        <v>695</v>
      </c>
      <c r="B29" s="265" t="s">
        <v>298</v>
      </c>
      <c r="C29" s="265" t="s">
        <v>4558</v>
      </c>
      <c r="D29" s="265" t="s">
        <v>5002</v>
      </c>
      <c r="E29" s="269" t="s">
        <v>5003</v>
      </c>
      <c r="F29" s="265" t="s">
        <v>280</v>
      </c>
      <c r="G29" s="265" t="s">
        <v>271</v>
      </c>
      <c r="H29" s="265" t="s">
        <v>258</v>
      </c>
      <c r="I29" s="299">
        <v>5.94</v>
      </c>
      <c r="L29" s="299">
        <v>2</v>
      </c>
      <c r="M29" s="299">
        <v>2.27</v>
      </c>
      <c r="U29" s="299">
        <v>1.67</v>
      </c>
      <c r="AD29" s="299">
        <v>0</v>
      </c>
      <c r="AH29" s="299">
        <v>0</v>
      </c>
    </row>
    <row r="30" spans="1:34">
      <c r="A30" t="s">
        <v>3035</v>
      </c>
      <c r="B30" s="265" t="s">
        <v>299</v>
      </c>
      <c r="C30" s="265" t="s">
        <v>4558</v>
      </c>
      <c r="D30" s="265" t="s">
        <v>5004</v>
      </c>
      <c r="E30" s="269" t="s">
        <v>5005</v>
      </c>
      <c r="F30" s="265" t="s">
        <v>280</v>
      </c>
      <c r="G30" s="265" t="s">
        <v>271</v>
      </c>
      <c r="H30" s="265" t="s">
        <v>5001</v>
      </c>
      <c r="I30" s="299">
        <v>5.66</v>
      </c>
      <c r="L30" s="299">
        <v>1.33</v>
      </c>
      <c r="M30" s="299">
        <v>4.33</v>
      </c>
      <c r="R30" s="299">
        <v>0</v>
      </c>
      <c r="V30" s="299">
        <v>0</v>
      </c>
      <c r="AD30" s="299">
        <v>0</v>
      </c>
      <c r="AF30" s="299">
        <v>0</v>
      </c>
      <c r="AH30" s="299">
        <v>0</v>
      </c>
    </row>
    <row r="31" spans="1:34">
      <c r="A31" t="s">
        <v>694</v>
      </c>
      <c r="B31" s="265" t="s">
        <v>300</v>
      </c>
      <c r="C31" s="265" t="s">
        <v>4558</v>
      </c>
      <c r="D31" s="265" t="s">
        <v>5009</v>
      </c>
      <c r="E31" s="269" t="s">
        <v>5010</v>
      </c>
      <c r="F31" s="265" t="s">
        <v>280</v>
      </c>
      <c r="G31" s="265" t="s">
        <v>259</v>
      </c>
      <c r="H31" s="265" t="s">
        <v>5001</v>
      </c>
      <c r="I31" s="299">
        <v>10.66</v>
      </c>
      <c r="L31" s="299">
        <v>2.67</v>
      </c>
      <c r="M31" s="299">
        <v>1.74</v>
      </c>
      <c r="R31" s="299">
        <v>0</v>
      </c>
      <c r="U31" s="299">
        <v>0</v>
      </c>
      <c r="AF31" s="299">
        <v>6.25</v>
      </c>
    </row>
    <row r="32" spans="1:34">
      <c r="A32" t="s">
        <v>691</v>
      </c>
      <c r="B32" s="265" t="s">
        <v>301</v>
      </c>
      <c r="C32" s="265" t="s">
        <v>4558</v>
      </c>
      <c r="D32" s="265" t="s">
        <v>5011</v>
      </c>
      <c r="E32" s="269" t="s">
        <v>5012</v>
      </c>
      <c r="F32" s="265" t="s">
        <v>280</v>
      </c>
      <c r="G32" s="265" t="s">
        <v>271</v>
      </c>
      <c r="H32" s="265" t="s">
        <v>258</v>
      </c>
      <c r="I32" s="299">
        <v>1.1299999999999999</v>
      </c>
      <c r="L32" s="299">
        <v>0.8</v>
      </c>
      <c r="M32" s="299">
        <v>0.33</v>
      </c>
      <c r="U32" s="299">
        <v>0</v>
      </c>
      <c r="AD32" s="299">
        <v>0</v>
      </c>
      <c r="AH32" s="299">
        <v>0</v>
      </c>
    </row>
    <row r="33" spans="1:33">
      <c r="A33" t="s">
        <v>660</v>
      </c>
      <c r="B33" s="265" t="s">
        <v>302</v>
      </c>
      <c r="C33" s="265" t="s">
        <v>4558</v>
      </c>
      <c r="D33" s="265" t="s">
        <v>5043</v>
      </c>
      <c r="E33" s="269" t="s">
        <v>5044</v>
      </c>
      <c r="F33" s="265" t="s">
        <v>284</v>
      </c>
      <c r="G33" s="265" t="s">
        <v>251</v>
      </c>
      <c r="H33" s="265" t="s">
        <v>5001</v>
      </c>
      <c r="I33" s="299">
        <v>5.92</v>
      </c>
      <c r="J33" s="299">
        <v>0</v>
      </c>
      <c r="K33" s="299">
        <v>0</v>
      </c>
      <c r="M33" s="299">
        <v>3.27</v>
      </c>
      <c r="AE33" s="299">
        <v>0</v>
      </c>
      <c r="AF33" s="299">
        <v>2.65</v>
      </c>
    </row>
    <row r="34" spans="1:33">
      <c r="A34" t="s">
        <v>2253</v>
      </c>
      <c r="B34" s="265" t="s">
        <v>303</v>
      </c>
      <c r="C34" s="265" t="s">
        <v>4552</v>
      </c>
      <c r="D34" s="265" t="s">
        <v>5209</v>
      </c>
      <c r="E34" s="269" t="s">
        <v>4787</v>
      </c>
      <c r="F34" s="265" t="s">
        <v>312</v>
      </c>
      <c r="G34" s="265" t="s">
        <v>251</v>
      </c>
      <c r="H34" s="265" t="s">
        <v>518</v>
      </c>
      <c r="I34" s="299">
        <v>6.6</v>
      </c>
      <c r="J34" s="299">
        <v>0</v>
      </c>
      <c r="K34" s="299">
        <v>2.4</v>
      </c>
      <c r="L34" s="299">
        <v>3.6</v>
      </c>
      <c r="M34" s="299">
        <v>0.6</v>
      </c>
      <c r="AE34" s="299">
        <v>0</v>
      </c>
    </row>
    <row r="35" spans="1:33">
      <c r="A35" t="s">
        <v>794</v>
      </c>
      <c r="B35" s="265" t="s">
        <v>304</v>
      </c>
      <c r="C35" s="265" t="s">
        <v>4559</v>
      </c>
      <c r="D35" s="265" t="s">
        <v>5210</v>
      </c>
      <c r="E35" s="269" t="s">
        <v>5211</v>
      </c>
      <c r="F35" s="265" t="s">
        <v>296</v>
      </c>
      <c r="G35" s="265" t="s">
        <v>270</v>
      </c>
      <c r="H35" s="265" t="s">
        <v>509</v>
      </c>
      <c r="I35" s="299">
        <v>6.83</v>
      </c>
      <c r="AA35" s="299">
        <v>6.83</v>
      </c>
      <c r="AC35" s="299">
        <v>0</v>
      </c>
    </row>
    <row r="36" spans="1:33">
      <c r="A36" t="s">
        <v>793</v>
      </c>
      <c r="B36" s="265" t="s">
        <v>305</v>
      </c>
      <c r="C36" s="265" t="s">
        <v>4559</v>
      </c>
      <c r="D36" s="265" t="s">
        <v>5212</v>
      </c>
      <c r="E36" s="269" t="s">
        <v>5213</v>
      </c>
      <c r="F36" s="265" t="s">
        <v>296</v>
      </c>
      <c r="G36" s="265" t="s">
        <v>270</v>
      </c>
      <c r="H36" s="265" t="s">
        <v>509</v>
      </c>
      <c r="I36" s="299">
        <v>3.83</v>
      </c>
      <c r="AA36" s="299">
        <v>3.83</v>
      </c>
      <c r="AC36" s="299">
        <v>0</v>
      </c>
    </row>
    <row r="37" spans="1:33">
      <c r="A37" t="s">
        <v>4172</v>
      </c>
      <c r="B37" s="265" t="s">
        <v>306</v>
      </c>
      <c r="C37" s="265" t="s">
        <v>4555</v>
      </c>
      <c r="D37" s="265" t="s">
        <v>5214</v>
      </c>
      <c r="E37" s="269" t="s">
        <v>5215</v>
      </c>
      <c r="F37" s="265" t="s">
        <v>66</v>
      </c>
      <c r="G37" s="265" t="s">
        <v>274</v>
      </c>
      <c r="H37" s="265" t="s">
        <v>509</v>
      </c>
      <c r="I37" s="299">
        <v>8.34</v>
      </c>
      <c r="L37" s="299">
        <v>6.67</v>
      </c>
      <c r="M37" s="299">
        <v>1.67</v>
      </c>
      <c r="AG37" s="299">
        <v>0</v>
      </c>
    </row>
    <row r="38" spans="1:33">
      <c r="A38" t="s">
        <v>5232</v>
      </c>
      <c r="B38" s="265" t="s">
        <v>307</v>
      </c>
      <c r="C38" s="265"/>
      <c r="D38" s="265" t="s">
        <v>5223</v>
      </c>
      <c r="E38" s="269" t="s">
        <v>5224</v>
      </c>
      <c r="F38" s="265" t="s">
        <v>5225</v>
      </c>
      <c r="G38" s="265" t="s">
        <v>274</v>
      </c>
      <c r="H38" s="265" t="s">
        <v>520</v>
      </c>
      <c r="I38" s="299">
        <v>373.33</v>
      </c>
      <c r="K38" s="299">
        <v>0</v>
      </c>
      <c r="L38" s="299">
        <v>280</v>
      </c>
      <c r="M38" s="299">
        <v>93.33</v>
      </c>
      <c r="AG38" s="299">
        <v>0</v>
      </c>
    </row>
    <row r="39" spans="1:33">
      <c r="A39" t="s">
        <v>4213</v>
      </c>
      <c r="B39" s="265" t="s">
        <v>308</v>
      </c>
      <c r="C39" s="265" t="s">
        <v>4633</v>
      </c>
      <c r="D39" s="265" t="s">
        <v>5262</v>
      </c>
      <c r="E39" s="269" t="s">
        <v>5263</v>
      </c>
      <c r="F39" s="265" t="s">
        <v>306</v>
      </c>
      <c r="G39" s="265" t="s">
        <v>251</v>
      </c>
      <c r="H39" s="265" t="s">
        <v>520</v>
      </c>
      <c r="I39" s="299">
        <v>5.5</v>
      </c>
      <c r="J39" s="299">
        <v>0</v>
      </c>
      <c r="L39" s="299">
        <v>4</v>
      </c>
      <c r="M39" s="299">
        <v>1.5</v>
      </c>
      <c r="AE39" s="299">
        <v>0</v>
      </c>
    </row>
    <row r="40" spans="1:33">
      <c r="A40" t="s">
        <v>4327</v>
      </c>
      <c r="B40" s="265" t="s">
        <v>309</v>
      </c>
      <c r="C40" s="265" t="s">
        <v>4633</v>
      </c>
      <c r="D40" s="265" t="s">
        <v>5264</v>
      </c>
      <c r="E40" s="269" t="s">
        <v>5261</v>
      </c>
      <c r="F40" s="265" t="s">
        <v>316</v>
      </c>
      <c r="G40" s="265" t="s">
        <v>251</v>
      </c>
      <c r="H40" s="265" t="s">
        <v>520</v>
      </c>
      <c r="I40" s="299">
        <v>6.66</v>
      </c>
      <c r="J40" s="299">
        <v>0</v>
      </c>
      <c r="L40" s="299">
        <v>5.33</v>
      </c>
      <c r="M40" s="299">
        <v>1.33</v>
      </c>
      <c r="AE40" s="299">
        <v>0</v>
      </c>
    </row>
    <row r="41" spans="1:33">
      <c r="A41" t="s">
        <v>4368</v>
      </c>
      <c r="B41" s="265" t="s">
        <v>310</v>
      </c>
      <c r="C41" s="265" t="s">
        <v>4696</v>
      </c>
      <c r="D41" s="265" t="s">
        <v>5265</v>
      </c>
      <c r="E41" s="269" t="s">
        <v>5266</v>
      </c>
      <c r="F41" s="265" t="s">
        <v>66</v>
      </c>
      <c r="G41" s="265" t="s">
        <v>271</v>
      </c>
      <c r="H41" s="265" t="s">
        <v>5001</v>
      </c>
      <c r="I41" s="299">
        <v>3.83</v>
      </c>
      <c r="R41" s="299">
        <v>0.83</v>
      </c>
      <c r="U41" s="299">
        <v>2.5</v>
      </c>
      <c r="AD41" s="299">
        <v>0.5</v>
      </c>
    </row>
    <row r="42" spans="1:33">
      <c r="A42" t="s">
        <v>2603</v>
      </c>
      <c r="B42" s="265" t="s">
        <v>311</v>
      </c>
      <c r="C42" s="265" t="s">
        <v>4556</v>
      </c>
      <c r="D42" s="265" t="s">
        <v>5335</v>
      </c>
      <c r="E42" s="269" t="s">
        <v>5048</v>
      </c>
      <c r="F42" s="265" t="s">
        <v>5049</v>
      </c>
      <c r="G42" s="265" t="s">
        <v>270</v>
      </c>
      <c r="H42" s="265" t="s">
        <v>518</v>
      </c>
      <c r="I42" s="299">
        <v>153.6</v>
      </c>
      <c r="AA42" s="299">
        <v>153.6</v>
      </c>
      <c r="AC42" s="299">
        <v>0</v>
      </c>
    </row>
    <row r="43" spans="1:33">
      <c r="A43" t="s">
        <v>817</v>
      </c>
      <c r="B43" s="265" t="s">
        <v>312</v>
      </c>
      <c r="C43" s="265" t="s">
        <v>4564</v>
      </c>
      <c r="D43" s="265" t="s">
        <v>5336</v>
      </c>
      <c r="E43" s="269" t="s">
        <v>514</v>
      </c>
      <c r="F43" s="265" t="s">
        <v>296</v>
      </c>
      <c r="G43" s="265" t="s">
        <v>251</v>
      </c>
      <c r="H43" s="265" t="s">
        <v>262</v>
      </c>
      <c r="I43" s="299">
        <v>8.5</v>
      </c>
      <c r="J43" s="299">
        <v>0</v>
      </c>
      <c r="M43" s="299">
        <v>1</v>
      </c>
      <c r="AE43" s="299">
        <v>0</v>
      </c>
      <c r="AF43" s="299">
        <v>7.5</v>
      </c>
    </row>
    <row r="44" spans="1:33">
      <c r="A44" t="s">
        <v>4368</v>
      </c>
      <c r="B44" s="265" t="s">
        <v>313</v>
      </c>
      <c r="C44" s="265" t="s">
        <v>4696</v>
      </c>
      <c r="D44" s="265" t="s">
        <v>5338</v>
      </c>
      <c r="E44" s="269" t="s">
        <v>5266</v>
      </c>
      <c r="F44" s="265" t="s">
        <v>66</v>
      </c>
      <c r="G44" s="265" t="s">
        <v>271</v>
      </c>
      <c r="H44" s="265" t="s">
        <v>5001</v>
      </c>
      <c r="I44" s="299">
        <v>3.83</v>
      </c>
      <c r="R44" s="299">
        <v>0.83</v>
      </c>
      <c r="U44" s="299">
        <v>2.5</v>
      </c>
      <c r="AD44" s="299">
        <v>0.5</v>
      </c>
    </row>
    <row r="45" spans="1:33">
      <c r="A45" t="s">
        <v>4273</v>
      </c>
      <c r="B45" s="265" t="s">
        <v>314</v>
      </c>
      <c r="C45" s="265" t="s">
        <v>4637</v>
      </c>
      <c r="D45" s="265" t="s">
        <v>5650</v>
      </c>
      <c r="E45" s="269" t="s">
        <v>5651</v>
      </c>
      <c r="F45" s="265" t="s">
        <v>349</v>
      </c>
      <c r="G45" s="265" t="s">
        <v>251</v>
      </c>
      <c r="H45" s="265" t="s">
        <v>520</v>
      </c>
      <c r="I45" s="299">
        <v>2.5</v>
      </c>
      <c r="J45" s="299">
        <v>0</v>
      </c>
      <c r="K45" s="299">
        <v>0</v>
      </c>
      <c r="M45" s="299">
        <v>0</v>
      </c>
      <c r="W45" s="299">
        <v>2.5</v>
      </c>
      <c r="AE45" s="299">
        <v>0</v>
      </c>
    </row>
    <row r="46" spans="1:33">
      <c r="A46" t="s">
        <v>4424</v>
      </c>
      <c r="B46" s="265" t="s">
        <v>315</v>
      </c>
      <c r="C46" s="265" t="s">
        <v>4724</v>
      </c>
      <c r="D46" s="265" t="s">
        <v>5652</v>
      </c>
      <c r="E46" s="269" t="s">
        <v>5653</v>
      </c>
      <c r="F46" s="265" t="s">
        <v>66</v>
      </c>
      <c r="G46" s="265" t="s">
        <v>268</v>
      </c>
      <c r="H46" s="265" t="s">
        <v>523</v>
      </c>
      <c r="I46" s="299">
        <v>35</v>
      </c>
      <c r="AA46" s="299">
        <v>35</v>
      </c>
    </row>
    <row r="47" spans="1:33">
      <c r="A47" t="s">
        <v>3868</v>
      </c>
      <c r="B47" s="265" t="s">
        <v>316</v>
      </c>
      <c r="C47" s="265" t="s">
        <v>4556</v>
      </c>
      <c r="D47" s="265" t="s">
        <v>5658</v>
      </c>
      <c r="E47" s="269" t="s">
        <v>528</v>
      </c>
      <c r="F47" s="265" t="s">
        <v>316</v>
      </c>
      <c r="G47" s="265" t="s">
        <v>264</v>
      </c>
      <c r="H47" s="265" t="s">
        <v>518</v>
      </c>
      <c r="I47" s="299">
        <v>0</v>
      </c>
      <c r="W47" s="299">
        <v>0</v>
      </c>
    </row>
    <row r="48" spans="1:33">
      <c r="A48" t="s">
        <v>4667</v>
      </c>
      <c r="B48" s="265" t="s">
        <v>317</v>
      </c>
      <c r="C48" s="265" t="s">
        <v>79</v>
      </c>
      <c r="D48" s="265" t="s">
        <v>5687</v>
      </c>
      <c r="E48" s="269" t="s">
        <v>5688</v>
      </c>
      <c r="F48" s="265" t="s">
        <v>335</v>
      </c>
      <c r="G48" s="265" t="s">
        <v>272</v>
      </c>
      <c r="H48" s="265" t="s">
        <v>509</v>
      </c>
      <c r="I48" s="299">
        <v>13.75</v>
      </c>
      <c r="K48" s="299">
        <v>0</v>
      </c>
      <c r="L48" s="299">
        <v>8.33</v>
      </c>
      <c r="M48" s="299">
        <v>5.42</v>
      </c>
      <c r="AE48" s="299">
        <v>0</v>
      </c>
    </row>
    <row r="49" spans="1:33">
      <c r="A49" t="s">
        <v>4311</v>
      </c>
      <c r="B49" s="265" t="s">
        <v>318</v>
      </c>
      <c r="C49" s="265" t="s">
        <v>79</v>
      </c>
      <c r="D49" s="265" t="s">
        <v>5689</v>
      </c>
      <c r="E49" s="269" t="s">
        <v>5690</v>
      </c>
      <c r="F49" s="265" t="s">
        <v>349</v>
      </c>
      <c r="G49" s="265" t="s">
        <v>251</v>
      </c>
      <c r="H49" s="265" t="s">
        <v>509</v>
      </c>
      <c r="I49" s="299">
        <v>24</v>
      </c>
      <c r="J49" s="299">
        <v>0</v>
      </c>
      <c r="L49" s="299">
        <v>12</v>
      </c>
      <c r="M49" s="299">
        <v>2</v>
      </c>
      <c r="U49" s="299">
        <v>10</v>
      </c>
      <c r="AE49" s="299">
        <v>0</v>
      </c>
    </row>
    <row r="50" spans="1:33">
      <c r="A50" t="s">
        <v>4165</v>
      </c>
      <c r="B50" s="265" t="s">
        <v>321</v>
      </c>
      <c r="C50" s="265" t="s">
        <v>4641</v>
      </c>
      <c r="D50" s="265" t="s">
        <v>5705</v>
      </c>
      <c r="E50" s="269" t="s">
        <v>5220</v>
      </c>
      <c r="F50" s="265" t="s">
        <v>316</v>
      </c>
      <c r="G50" s="265" t="s">
        <v>251</v>
      </c>
      <c r="H50" s="265" t="s">
        <v>509</v>
      </c>
      <c r="I50" s="299">
        <v>6.66</v>
      </c>
      <c r="J50" s="299">
        <v>0</v>
      </c>
      <c r="M50" s="299">
        <v>1.33</v>
      </c>
      <c r="AE50" s="299">
        <v>5.33</v>
      </c>
    </row>
    <row r="51" spans="1:33">
      <c r="A51" t="s">
        <v>4320</v>
      </c>
      <c r="B51" s="265" t="s">
        <v>323</v>
      </c>
      <c r="C51" s="265" t="s">
        <v>4654</v>
      </c>
      <c r="D51" s="265" t="s">
        <v>5706</v>
      </c>
      <c r="E51" s="269" t="s">
        <v>5222</v>
      </c>
      <c r="F51" s="265" t="s">
        <v>349</v>
      </c>
      <c r="G51" s="265" t="s">
        <v>251</v>
      </c>
      <c r="H51" s="265" t="s">
        <v>520</v>
      </c>
      <c r="I51" s="299">
        <v>9</v>
      </c>
      <c r="J51" s="299">
        <v>0</v>
      </c>
      <c r="L51" s="299">
        <v>3</v>
      </c>
      <c r="M51" s="299">
        <v>6</v>
      </c>
      <c r="AE51" s="299">
        <v>0</v>
      </c>
    </row>
    <row r="52" spans="1:33">
      <c r="A52" t="s">
        <v>4441</v>
      </c>
      <c r="B52" s="265" t="s">
        <v>325</v>
      </c>
      <c r="C52" s="265" t="s">
        <v>4634</v>
      </c>
      <c r="D52" s="265" t="s">
        <v>5716</v>
      </c>
      <c r="E52" s="269" t="s">
        <v>5717</v>
      </c>
      <c r="F52" s="265" t="s">
        <v>66</v>
      </c>
      <c r="G52" s="265" t="s">
        <v>271</v>
      </c>
      <c r="H52" s="265" t="s">
        <v>262</v>
      </c>
      <c r="I52" s="299">
        <v>5</v>
      </c>
      <c r="R52" s="299">
        <v>0</v>
      </c>
      <c r="U52" s="299">
        <v>5</v>
      </c>
      <c r="AD52" s="299">
        <v>0</v>
      </c>
    </row>
    <row r="53" spans="1:33">
      <c r="A53" t="s">
        <v>4657</v>
      </c>
      <c r="B53" s="265" t="s">
        <v>327</v>
      </c>
      <c r="C53" s="265" t="s">
        <v>4636</v>
      </c>
      <c r="D53" s="265" t="s">
        <v>5727</v>
      </c>
      <c r="E53" s="269" t="s">
        <v>5728</v>
      </c>
      <c r="F53" s="265" t="s">
        <v>306</v>
      </c>
      <c r="G53" s="265" t="s">
        <v>251</v>
      </c>
      <c r="H53" s="265" t="s">
        <v>520</v>
      </c>
      <c r="I53" s="299">
        <v>4</v>
      </c>
      <c r="J53" s="299">
        <v>0</v>
      </c>
      <c r="L53" s="299">
        <v>3</v>
      </c>
      <c r="M53" s="299">
        <v>1</v>
      </c>
      <c r="AE53" s="299">
        <v>0</v>
      </c>
    </row>
    <row r="54" spans="1:33">
      <c r="A54" t="s">
        <v>4317</v>
      </c>
      <c r="B54" s="265" t="s">
        <v>329</v>
      </c>
      <c r="C54" s="265" t="s">
        <v>4641</v>
      </c>
      <c r="D54" s="265" t="s">
        <v>5731</v>
      </c>
      <c r="E54" s="269" t="s">
        <v>5221</v>
      </c>
      <c r="F54" s="265" t="s">
        <v>316</v>
      </c>
      <c r="G54" s="265" t="s">
        <v>251</v>
      </c>
      <c r="H54" s="265" t="s">
        <v>509</v>
      </c>
      <c r="I54" s="299">
        <v>11</v>
      </c>
      <c r="J54" s="299">
        <v>0</v>
      </c>
      <c r="K54" s="299">
        <v>0.67</v>
      </c>
      <c r="M54" s="299">
        <v>2</v>
      </c>
      <c r="AE54" s="299">
        <v>8.33</v>
      </c>
    </row>
    <row r="55" spans="1:33">
      <c r="A55" t="s">
        <v>864</v>
      </c>
      <c r="B55" s="265" t="s">
        <v>331</v>
      </c>
      <c r="C55" s="265" t="s">
        <v>4564</v>
      </c>
      <c r="D55" s="265" t="s">
        <v>5738</v>
      </c>
      <c r="E55" s="269" t="s">
        <v>5739</v>
      </c>
      <c r="F55" s="265" t="s">
        <v>296</v>
      </c>
      <c r="G55" s="265" t="s">
        <v>251</v>
      </c>
      <c r="H55" s="265" t="s">
        <v>262</v>
      </c>
      <c r="I55" s="299">
        <v>0.4</v>
      </c>
      <c r="J55" s="299">
        <v>0</v>
      </c>
      <c r="K55" s="299">
        <v>7.0000000000000007E-2</v>
      </c>
      <c r="M55" s="299">
        <v>0</v>
      </c>
      <c r="AE55" s="299">
        <v>0.33</v>
      </c>
    </row>
    <row r="56" spans="1:33">
      <c r="A56" t="s">
        <v>864</v>
      </c>
      <c r="B56" s="265" t="s">
        <v>333</v>
      </c>
      <c r="C56" s="265" t="s">
        <v>4564</v>
      </c>
      <c r="D56" s="265" t="s">
        <v>5740</v>
      </c>
      <c r="E56" s="269" t="s">
        <v>5739</v>
      </c>
      <c r="F56" s="265" t="s">
        <v>296</v>
      </c>
      <c r="G56" s="265" t="s">
        <v>251</v>
      </c>
      <c r="H56" s="265" t="s">
        <v>262</v>
      </c>
      <c r="I56" s="299">
        <v>4</v>
      </c>
      <c r="J56" s="299">
        <v>0</v>
      </c>
      <c r="K56" s="299">
        <v>0.67</v>
      </c>
      <c r="M56" s="299">
        <v>0</v>
      </c>
      <c r="AE56" s="299">
        <v>3.33</v>
      </c>
    </row>
    <row r="57" spans="1:33">
      <c r="A57" t="s">
        <v>817</v>
      </c>
      <c r="B57" s="265" t="s">
        <v>335</v>
      </c>
      <c r="C57" s="265" t="s">
        <v>4564</v>
      </c>
      <c r="D57" s="265" t="s">
        <v>5741</v>
      </c>
      <c r="E57" s="269" t="s">
        <v>514</v>
      </c>
      <c r="F57" s="265" t="s">
        <v>296</v>
      </c>
      <c r="G57" s="265" t="s">
        <v>251</v>
      </c>
      <c r="H57" s="265" t="s">
        <v>262</v>
      </c>
      <c r="I57" s="299">
        <v>11.17</v>
      </c>
      <c r="J57" s="299">
        <v>0</v>
      </c>
      <c r="M57" s="299">
        <v>1</v>
      </c>
      <c r="AE57" s="299">
        <v>2.67</v>
      </c>
      <c r="AF57" s="299">
        <v>7.5</v>
      </c>
    </row>
    <row r="58" spans="1:33">
      <c r="A58" t="s">
        <v>4657</v>
      </c>
      <c r="B58" s="265" t="s">
        <v>337</v>
      </c>
      <c r="C58" s="265" t="s">
        <v>4636</v>
      </c>
      <c r="D58" s="265" t="s">
        <v>5742</v>
      </c>
      <c r="E58" s="269" t="s">
        <v>5728</v>
      </c>
      <c r="F58" s="265" t="s">
        <v>306</v>
      </c>
      <c r="G58" s="265" t="s">
        <v>251</v>
      </c>
      <c r="H58" s="265" t="s">
        <v>520</v>
      </c>
      <c r="I58" s="299">
        <v>4</v>
      </c>
      <c r="J58" s="299">
        <v>0</v>
      </c>
      <c r="L58" s="299">
        <v>3</v>
      </c>
      <c r="M58" s="299">
        <v>1</v>
      </c>
      <c r="AE58" s="299">
        <v>0</v>
      </c>
    </row>
    <row r="59" spans="1:33">
      <c r="A59" t="s">
        <v>3377</v>
      </c>
      <c r="B59" s="265" t="s">
        <v>339</v>
      </c>
      <c r="C59" s="265" t="s">
        <v>4556</v>
      </c>
      <c r="D59" s="265" t="s">
        <v>5746</v>
      </c>
      <c r="E59" s="269" t="s">
        <v>5268</v>
      </c>
      <c r="F59" s="265" t="s">
        <v>300</v>
      </c>
      <c r="G59" s="265" t="s">
        <v>259</v>
      </c>
      <c r="H59" s="265" t="s">
        <v>511</v>
      </c>
      <c r="I59" s="299">
        <v>0.4</v>
      </c>
      <c r="R59" s="299">
        <v>0</v>
      </c>
      <c r="S59" s="299">
        <v>0</v>
      </c>
      <c r="U59" s="299">
        <v>0.4</v>
      </c>
    </row>
    <row r="60" spans="1:33">
      <c r="A60" t="s">
        <v>3379</v>
      </c>
      <c r="B60" s="265" t="s">
        <v>341</v>
      </c>
      <c r="C60" s="265" t="s">
        <v>4556</v>
      </c>
      <c r="D60" s="265" t="s">
        <v>5747</v>
      </c>
      <c r="E60" s="269" t="s">
        <v>5748</v>
      </c>
      <c r="F60" s="265" t="s">
        <v>292</v>
      </c>
      <c r="G60" s="265" t="s">
        <v>259</v>
      </c>
      <c r="H60" s="265" t="s">
        <v>511</v>
      </c>
      <c r="I60" s="299">
        <v>0.27</v>
      </c>
      <c r="R60" s="299">
        <v>0</v>
      </c>
      <c r="S60" s="299">
        <v>0</v>
      </c>
      <c r="U60" s="299">
        <v>0.27</v>
      </c>
    </row>
    <row r="61" spans="1:33">
      <c r="A61" t="s">
        <v>3378</v>
      </c>
      <c r="B61" s="265" t="s">
        <v>343</v>
      </c>
      <c r="C61" s="265" t="s">
        <v>4556</v>
      </c>
      <c r="D61" s="265" t="s">
        <v>5749</v>
      </c>
      <c r="E61" s="269" t="s">
        <v>5267</v>
      </c>
      <c r="F61" s="265" t="s">
        <v>292</v>
      </c>
      <c r="G61" s="265" t="s">
        <v>259</v>
      </c>
      <c r="H61" s="265" t="s">
        <v>511</v>
      </c>
      <c r="I61" s="299">
        <v>0.27</v>
      </c>
      <c r="R61" s="299">
        <v>0</v>
      </c>
      <c r="S61" s="299">
        <v>0</v>
      </c>
      <c r="U61" s="299">
        <v>0.27</v>
      </c>
    </row>
    <row r="62" spans="1:33">
      <c r="A62" t="s">
        <v>4033</v>
      </c>
      <c r="B62" s="265" t="s">
        <v>344</v>
      </c>
      <c r="C62" s="265" t="s">
        <v>4608</v>
      </c>
      <c r="D62" s="265" t="s">
        <v>5752</v>
      </c>
      <c r="E62" s="269" t="s">
        <v>5750</v>
      </c>
      <c r="F62" s="265" t="s">
        <v>5753</v>
      </c>
      <c r="G62" s="265" t="s">
        <v>251</v>
      </c>
      <c r="H62" s="265" t="s">
        <v>262</v>
      </c>
      <c r="I62" s="299">
        <v>247.33</v>
      </c>
      <c r="J62" s="299">
        <v>22.08</v>
      </c>
      <c r="M62" s="299">
        <v>53</v>
      </c>
      <c r="AE62" s="299">
        <v>172.25</v>
      </c>
    </row>
    <row r="63" spans="1:33">
      <c r="A63" t="s">
        <v>2215</v>
      </c>
      <c r="B63" s="265" t="s">
        <v>345</v>
      </c>
      <c r="C63" s="265" t="s">
        <v>4552</v>
      </c>
      <c r="D63" s="265" t="s">
        <v>5791</v>
      </c>
      <c r="E63" s="269" t="s">
        <v>5792</v>
      </c>
      <c r="F63" s="265" t="s">
        <v>5137</v>
      </c>
      <c r="G63" s="265" t="s">
        <v>259</v>
      </c>
      <c r="H63" s="265" t="s">
        <v>262</v>
      </c>
      <c r="I63" s="299">
        <v>22.13</v>
      </c>
      <c r="L63" s="299">
        <v>21.33</v>
      </c>
      <c r="M63" s="299">
        <v>0.8</v>
      </c>
      <c r="R63" s="299">
        <v>0</v>
      </c>
      <c r="U63" s="299">
        <v>0</v>
      </c>
    </row>
    <row r="64" spans="1:33">
      <c r="A64" t="s">
        <v>909</v>
      </c>
      <c r="B64" s="265" t="s">
        <v>346</v>
      </c>
      <c r="C64" s="265" t="s">
        <v>4552</v>
      </c>
      <c r="D64" s="265" t="s">
        <v>5793</v>
      </c>
      <c r="E64" s="269" t="s">
        <v>5794</v>
      </c>
      <c r="F64" s="265" t="s">
        <v>5795</v>
      </c>
      <c r="G64" s="265" t="s">
        <v>274</v>
      </c>
      <c r="H64" s="265" t="s">
        <v>262</v>
      </c>
      <c r="I64" s="299">
        <v>22.67</v>
      </c>
      <c r="K64" s="299">
        <v>17</v>
      </c>
      <c r="AG64" s="299">
        <v>5.67</v>
      </c>
    </row>
    <row r="65" spans="1:33">
      <c r="A65" t="s">
        <v>4097</v>
      </c>
      <c r="B65" s="265" t="s">
        <v>347</v>
      </c>
      <c r="C65" s="265" t="s">
        <v>4552</v>
      </c>
      <c r="D65" s="265" t="s">
        <v>5796</v>
      </c>
      <c r="E65" s="269" t="s">
        <v>5797</v>
      </c>
      <c r="F65" s="265" t="s">
        <v>316</v>
      </c>
      <c r="G65" s="265" t="s">
        <v>274</v>
      </c>
      <c r="H65" s="265" t="s">
        <v>262</v>
      </c>
      <c r="I65" s="299">
        <v>1.88</v>
      </c>
      <c r="K65" s="299">
        <v>0.33</v>
      </c>
      <c r="AG65" s="299">
        <v>1.55</v>
      </c>
    </row>
    <row r="66" spans="1:33">
      <c r="A66" t="s">
        <v>3376</v>
      </c>
      <c r="B66" s="265" t="s">
        <v>348</v>
      </c>
      <c r="C66" s="265" t="s">
        <v>4552</v>
      </c>
      <c r="D66" s="265" t="s">
        <v>5798</v>
      </c>
      <c r="E66" s="269" t="s">
        <v>5799</v>
      </c>
      <c r="F66" s="265" t="s">
        <v>296</v>
      </c>
      <c r="G66" s="265" t="s">
        <v>259</v>
      </c>
      <c r="H66" s="265" t="s">
        <v>262</v>
      </c>
      <c r="I66" s="299">
        <v>0</v>
      </c>
      <c r="R66" s="299">
        <v>0</v>
      </c>
      <c r="S66" s="299">
        <v>0</v>
      </c>
      <c r="U66" s="299">
        <v>0</v>
      </c>
    </row>
    <row r="67" spans="1:33">
      <c r="A67" t="s">
        <v>6168</v>
      </c>
      <c r="B67" s="265" t="s">
        <v>349</v>
      </c>
      <c r="C67" s="265"/>
      <c r="D67" s="265" t="s">
        <v>5921</v>
      </c>
      <c r="E67" s="269" t="s">
        <v>5922</v>
      </c>
      <c r="F67" s="265" t="s">
        <v>5923</v>
      </c>
      <c r="G67" s="265" t="s">
        <v>259</v>
      </c>
      <c r="H67" s="265" t="s">
        <v>254</v>
      </c>
      <c r="I67" s="299">
        <v>133.33000000000001</v>
      </c>
      <c r="R67" s="299">
        <v>0</v>
      </c>
      <c r="S67" s="299">
        <v>133.33000000000001</v>
      </c>
    </row>
    <row r="68" spans="1:33">
      <c r="A68" t="s">
        <v>810</v>
      </c>
      <c r="B68" s="265" t="s">
        <v>350</v>
      </c>
      <c r="C68" s="265" t="s">
        <v>4558</v>
      </c>
      <c r="D68" s="265" t="s">
        <v>5924</v>
      </c>
      <c r="E68" s="269" t="s">
        <v>5925</v>
      </c>
      <c r="F68" s="265" t="s">
        <v>296</v>
      </c>
      <c r="G68" s="265" t="s">
        <v>251</v>
      </c>
      <c r="H68" s="265" t="s">
        <v>262</v>
      </c>
      <c r="I68" s="299">
        <v>4.67</v>
      </c>
      <c r="J68" s="299">
        <v>0</v>
      </c>
      <c r="L68" s="299">
        <v>2</v>
      </c>
      <c r="M68" s="299">
        <v>2.67</v>
      </c>
      <c r="AE68" s="299">
        <v>0</v>
      </c>
    </row>
    <row r="69" spans="1:33">
      <c r="A69" t="s">
        <v>4473</v>
      </c>
      <c r="B69" s="265" t="s">
        <v>351</v>
      </c>
      <c r="C69" s="265" t="s">
        <v>4743</v>
      </c>
      <c r="D69" s="265" t="s">
        <v>5926</v>
      </c>
      <c r="E69" s="269" t="s">
        <v>5927</v>
      </c>
      <c r="F69" s="265" t="s">
        <v>5928</v>
      </c>
      <c r="G69" s="265" t="s">
        <v>274</v>
      </c>
      <c r="H69" s="265" t="s">
        <v>511</v>
      </c>
      <c r="I69" s="299">
        <v>73.150000000000006</v>
      </c>
      <c r="K69" s="299">
        <v>12.83</v>
      </c>
      <c r="M69" s="299">
        <v>6.42</v>
      </c>
      <c r="AG69" s="299">
        <v>53.9</v>
      </c>
    </row>
    <row r="70" spans="1:33">
      <c r="A70" t="s">
        <v>4473</v>
      </c>
      <c r="B70" s="265" t="s">
        <v>352</v>
      </c>
      <c r="C70" s="265" t="s">
        <v>4743</v>
      </c>
      <c r="D70" s="265" t="s">
        <v>5929</v>
      </c>
      <c r="E70" s="269" t="s">
        <v>5927</v>
      </c>
      <c r="F70" s="265" t="s">
        <v>5928</v>
      </c>
      <c r="G70" s="265" t="s">
        <v>274</v>
      </c>
      <c r="H70" s="265" t="s">
        <v>511</v>
      </c>
      <c r="I70" s="299">
        <v>73.150000000000006</v>
      </c>
      <c r="K70" s="299">
        <v>12.83</v>
      </c>
      <c r="M70" s="299">
        <v>6.42</v>
      </c>
      <c r="AG70" s="299">
        <v>53.9</v>
      </c>
    </row>
    <row r="71" spans="1:33">
      <c r="A71" t="s">
        <v>4510</v>
      </c>
      <c r="B71" s="265" t="s">
        <v>353</v>
      </c>
      <c r="C71" s="265" t="s">
        <v>4765</v>
      </c>
      <c r="D71" s="265" t="s">
        <v>5930</v>
      </c>
      <c r="E71" s="269" t="s">
        <v>5931</v>
      </c>
      <c r="F71" s="265" t="s">
        <v>5932</v>
      </c>
      <c r="G71" s="265" t="s">
        <v>274</v>
      </c>
      <c r="H71" s="265" t="s">
        <v>262</v>
      </c>
      <c r="I71" s="299">
        <v>29</v>
      </c>
      <c r="K71" s="299">
        <v>29</v>
      </c>
      <c r="AG71" s="299">
        <v>0</v>
      </c>
    </row>
    <row r="72" spans="1:33">
      <c r="A72" t="s">
        <v>4098</v>
      </c>
      <c r="B72" s="265" t="s">
        <v>354</v>
      </c>
      <c r="C72" s="265" t="s">
        <v>4617</v>
      </c>
      <c r="D72" s="265" t="s">
        <v>5933</v>
      </c>
      <c r="E72" s="269" t="s">
        <v>5647</v>
      </c>
      <c r="F72" s="265" t="s">
        <v>335</v>
      </c>
      <c r="G72" s="265" t="s">
        <v>274</v>
      </c>
      <c r="H72" s="265" t="s">
        <v>509</v>
      </c>
      <c r="I72" s="299">
        <v>3.79</v>
      </c>
      <c r="K72" s="299">
        <v>0.83</v>
      </c>
      <c r="M72" s="299">
        <v>0.42</v>
      </c>
      <c r="AG72" s="299">
        <v>2.54</v>
      </c>
    </row>
    <row r="73" spans="1:33">
      <c r="A73" t="s">
        <v>4187</v>
      </c>
      <c r="B73" s="265" t="s">
        <v>355</v>
      </c>
      <c r="C73" s="265" t="s">
        <v>4634</v>
      </c>
      <c r="D73" s="265" t="s">
        <v>5934</v>
      </c>
      <c r="E73" s="269" t="s">
        <v>5935</v>
      </c>
      <c r="F73" s="265" t="s">
        <v>360</v>
      </c>
      <c r="G73" s="265" t="s">
        <v>274</v>
      </c>
      <c r="H73" s="265" t="s">
        <v>509</v>
      </c>
      <c r="I73" s="299">
        <v>4.67</v>
      </c>
      <c r="K73" s="299">
        <v>1.17</v>
      </c>
      <c r="AG73" s="299">
        <v>3.5</v>
      </c>
    </row>
    <row r="74" spans="1:33">
      <c r="A74" t="s">
        <v>4144</v>
      </c>
      <c r="B74" s="265" t="s">
        <v>357</v>
      </c>
      <c r="C74" s="265" t="s">
        <v>4603</v>
      </c>
      <c r="D74" s="265" t="s">
        <v>5936</v>
      </c>
      <c r="E74" s="269" t="s">
        <v>5644</v>
      </c>
      <c r="F74" s="265" t="s">
        <v>67</v>
      </c>
      <c r="G74" s="265" t="s">
        <v>274</v>
      </c>
      <c r="H74" s="265" t="s">
        <v>509</v>
      </c>
      <c r="I74" s="299">
        <v>16.670000000000002</v>
      </c>
      <c r="K74" s="299">
        <v>5</v>
      </c>
      <c r="M74" s="299">
        <v>5</v>
      </c>
      <c r="AG74" s="299">
        <v>6.67</v>
      </c>
    </row>
    <row r="75" spans="1:33">
      <c r="A75" t="s">
        <v>2242</v>
      </c>
      <c r="B75" s="265" t="s">
        <v>358</v>
      </c>
      <c r="C75" s="265" t="s">
        <v>4556</v>
      </c>
      <c r="D75" s="265" t="s">
        <v>5937</v>
      </c>
      <c r="E75" s="269" t="s">
        <v>5938</v>
      </c>
      <c r="F75" s="265" t="s">
        <v>316</v>
      </c>
      <c r="G75" s="265" t="s">
        <v>251</v>
      </c>
      <c r="H75" s="265" t="s">
        <v>518</v>
      </c>
      <c r="I75" s="299">
        <v>24</v>
      </c>
      <c r="J75" s="299">
        <v>0</v>
      </c>
      <c r="M75" s="299">
        <v>10</v>
      </c>
      <c r="AE75" s="299">
        <v>14</v>
      </c>
    </row>
    <row r="76" spans="1:33">
      <c r="A76" t="s">
        <v>564</v>
      </c>
      <c r="B76" s="265" t="s">
        <v>359</v>
      </c>
      <c r="C76" s="265" t="s">
        <v>4554</v>
      </c>
      <c r="D76" s="265" t="s">
        <v>5939</v>
      </c>
      <c r="E76" s="269" t="s">
        <v>5270</v>
      </c>
      <c r="F76" s="265" t="s">
        <v>306</v>
      </c>
      <c r="G76" s="265" t="s">
        <v>274</v>
      </c>
      <c r="H76" s="265" t="s">
        <v>509</v>
      </c>
      <c r="I76" s="299">
        <v>2.5</v>
      </c>
      <c r="M76" s="299">
        <v>1</v>
      </c>
      <c r="AG76" s="299">
        <v>1.5</v>
      </c>
    </row>
    <row r="77" spans="1:33">
      <c r="A77" t="s">
        <v>910</v>
      </c>
      <c r="B77" s="265" t="s">
        <v>360</v>
      </c>
      <c r="C77" s="265" t="s">
        <v>96</v>
      </c>
      <c r="D77" s="265" t="s">
        <v>5940</v>
      </c>
      <c r="E77" s="269" t="s">
        <v>5941</v>
      </c>
      <c r="F77" s="265" t="s">
        <v>335</v>
      </c>
      <c r="G77" s="265" t="s">
        <v>274</v>
      </c>
      <c r="H77" s="265" t="s">
        <v>509</v>
      </c>
      <c r="I77" s="299">
        <v>1.56</v>
      </c>
      <c r="M77" s="299">
        <v>0.17</v>
      </c>
      <c r="AG77" s="299">
        <v>1.39</v>
      </c>
    </row>
    <row r="78" spans="1:33">
      <c r="A78" t="s">
        <v>568</v>
      </c>
      <c r="B78" s="265" t="s">
        <v>361</v>
      </c>
      <c r="C78" s="265" t="s">
        <v>4557</v>
      </c>
      <c r="D78" s="265" t="s">
        <v>5942</v>
      </c>
      <c r="E78" s="269" t="s">
        <v>5646</v>
      </c>
      <c r="F78" s="265" t="s">
        <v>306</v>
      </c>
      <c r="G78" s="265" t="s">
        <v>274</v>
      </c>
      <c r="H78" s="265" t="s">
        <v>509</v>
      </c>
      <c r="I78" s="299">
        <v>1.75</v>
      </c>
      <c r="K78" s="299">
        <v>0.25</v>
      </c>
      <c r="M78" s="299">
        <v>0.5</v>
      </c>
      <c r="AG78" s="299">
        <v>1</v>
      </c>
    </row>
    <row r="79" spans="1:33">
      <c r="A79" t="s">
        <v>4190</v>
      </c>
      <c r="B79" s="265" t="s">
        <v>363</v>
      </c>
      <c r="C79" s="265" t="s">
        <v>4650</v>
      </c>
      <c r="D79" s="265" t="s">
        <v>5943</v>
      </c>
      <c r="E79" s="269" t="s">
        <v>5645</v>
      </c>
      <c r="F79" s="265" t="s">
        <v>335</v>
      </c>
      <c r="G79" s="265" t="s">
        <v>274</v>
      </c>
      <c r="H79" s="265" t="s">
        <v>509</v>
      </c>
      <c r="I79" s="299">
        <v>2.92</v>
      </c>
      <c r="K79" s="299">
        <v>0.42</v>
      </c>
      <c r="M79" s="299">
        <v>0.83</v>
      </c>
      <c r="AG79" s="299">
        <v>1.67</v>
      </c>
    </row>
    <row r="80" spans="1:33">
      <c r="A80" t="s">
        <v>560</v>
      </c>
      <c r="B80" s="265" t="s">
        <v>365</v>
      </c>
      <c r="C80" s="265" t="s">
        <v>96</v>
      </c>
      <c r="D80" s="265" t="s">
        <v>5944</v>
      </c>
      <c r="E80" s="269" t="s">
        <v>5945</v>
      </c>
      <c r="F80" s="265" t="s">
        <v>335</v>
      </c>
      <c r="G80" s="265" t="s">
        <v>274</v>
      </c>
      <c r="H80" s="265" t="s">
        <v>509</v>
      </c>
      <c r="I80" s="299">
        <v>4.58</v>
      </c>
      <c r="K80" s="299">
        <v>1.67</v>
      </c>
      <c r="M80" s="299">
        <v>0.83</v>
      </c>
      <c r="AG80" s="299">
        <v>2.08</v>
      </c>
    </row>
    <row r="81" spans="1:34">
      <c r="A81" t="s">
        <v>559</v>
      </c>
      <c r="B81" s="265" t="s">
        <v>367</v>
      </c>
      <c r="C81" s="265" t="s">
        <v>96</v>
      </c>
      <c r="D81" s="265" t="s">
        <v>5946</v>
      </c>
      <c r="E81" s="269" t="s">
        <v>5947</v>
      </c>
      <c r="F81" s="265" t="s">
        <v>488</v>
      </c>
      <c r="G81" s="265" t="s">
        <v>274</v>
      </c>
      <c r="H81" s="265" t="s">
        <v>509</v>
      </c>
      <c r="I81" s="299">
        <v>10</v>
      </c>
      <c r="K81" s="299">
        <v>1.25</v>
      </c>
      <c r="M81" s="299">
        <v>2.5</v>
      </c>
      <c r="AG81" s="299">
        <v>6.25</v>
      </c>
    </row>
    <row r="82" spans="1:34">
      <c r="A82" t="s">
        <v>4098</v>
      </c>
      <c r="B82" s="265" t="s">
        <v>369</v>
      </c>
      <c r="C82" s="265" t="s">
        <v>4617</v>
      </c>
      <c r="D82" s="265" t="s">
        <v>5948</v>
      </c>
      <c r="E82" s="269" t="s">
        <v>5647</v>
      </c>
      <c r="F82" s="265" t="s">
        <v>335</v>
      </c>
      <c r="G82" s="265" t="s">
        <v>274</v>
      </c>
      <c r="H82" s="265" t="s">
        <v>509</v>
      </c>
      <c r="I82" s="299">
        <v>3.79</v>
      </c>
      <c r="K82" s="299">
        <v>0.83</v>
      </c>
      <c r="M82" s="299">
        <v>0.42</v>
      </c>
      <c r="AG82" s="299">
        <v>2.54</v>
      </c>
    </row>
    <row r="83" spans="1:34">
      <c r="A83" t="s">
        <v>4187</v>
      </c>
      <c r="B83" s="265" t="s">
        <v>371</v>
      </c>
      <c r="C83" s="265" t="s">
        <v>4634</v>
      </c>
      <c r="D83" s="265" t="s">
        <v>5949</v>
      </c>
      <c r="E83" s="269" t="s">
        <v>5935</v>
      </c>
      <c r="F83" s="265" t="s">
        <v>360</v>
      </c>
      <c r="G83" s="265" t="s">
        <v>274</v>
      </c>
      <c r="H83" s="265" t="s">
        <v>509</v>
      </c>
      <c r="I83" s="299">
        <v>4.67</v>
      </c>
      <c r="K83" s="299">
        <v>1.17</v>
      </c>
      <c r="AG83" s="299">
        <v>3.5</v>
      </c>
    </row>
    <row r="84" spans="1:34">
      <c r="A84" t="s">
        <v>4489</v>
      </c>
      <c r="B84" s="265" t="s">
        <v>373</v>
      </c>
      <c r="C84" s="265" t="s">
        <v>4753</v>
      </c>
      <c r="D84" s="265" t="s">
        <v>5950</v>
      </c>
      <c r="E84" s="269" t="s">
        <v>5951</v>
      </c>
      <c r="F84" s="265" t="s">
        <v>5952</v>
      </c>
      <c r="G84" s="265" t="s">
        <v>274</v>
      </c>
      <c r="H84" s="265" t="s">
        <v>258</v>
      </c>
      <c r="I84" s="299">
        <v>57.6</v>
      </c>
      <c r="K84" s="299">
        <v>57.6</v>
      </c>
      <c r="AG84" s="299">
        <v>0</v>
      </c>
    </row>
    <row r="85" spans="1:34">
      <c r="A85" t="s">
        <v>2262</v>
      </c>
      <c r="B85" s="265" t="s">
        <v>375</v>
      </c>
      <c r="C85" s="265" t="s">
        <v>4564</v>
      </c>
      <c r="D85" s="265" t="s">
        <v>5953</v>
      </c>
      <c r="E85" s="269" t="s">
        <v>5954</v>
      </c>
      <c r="F85" s="265" t="s">
        <v>5047</v>
      </c>
      <c r="G85" s="265" t="s">
        <v>272</v>
      </c>
      <c r="H85" s="265" t="s">
        <v>518</v>
      </c>
      <c r="I85" s="299">
        <v>150</v>
      </c>
      <c r="K85" s="299">
        <v>30</v>
      </c>
      <c r="M85" s="299">
        <v>20</v>
      </c>
      <c r="AE85" s="299">
        <v>100</v>
      </c>
    </row>
    <row r="86" spans="1:34">
      <c r="A86" t="s">
        <v>4305</v>
      </c>
      <c r="B86" s="265" t="s">
        <v>377</v>
      </c>
      <c r="C86" s="265" t="s">
        <v>4557</v>
      </c>
      <c r="D86" s="265" t="s">
        <v>5955</v>
      </c>
      <c r="E86" s="269" t="s">
        <v>5956</v>
      </c>
      <c r="F86" s="265" t="s">
        <v>335</v>
      </c>
      <c r="G86" s="265" t="s">
        <v>274</v>
      </c>
      <c r="H86" s="265" t="s">
        <v>509</v>
      </c>
      <c r="I86" s="299">
        <v>5.41</v>
      </c>
      <c r="K86" s="299">
        <v>0.83</v>
      </c>
      <c r="M86" s="299">
        <v>1.25</v>
      </c>
      <c r="U86" s="299">
        <v>3.33</v>
      </c>
      <c r="AG86" s="299">
        <v>0</v>
      </c>
    </row>
    <row r="87" spans="1:34">
      <c r="A87" t="s">
        <v>4147</v>
      </c>
      <c r="B87" s="265" t="s">
        <v>379</v>
      </c>
      <c r="C87" s="265" t="s">
        <v>4557</v>
      </c>
      <c r="D87" s="265" t="s">
        <v>5957</v>
      </c>
      <c r="E87" s="269" t="s">
        <v>5958</v>
      </c>
      <c r="F87" s="265" t="s">
        <v>66</v>
      </c>
      <c r="G87" s="265" t="s">
        <v>254</v>
      </c>
      <c r="H87" s="265" t="s">
        <v>509</v>
      </c>
      <c r="I87" s="299">
        <v>45</v>
      </c>
      <c r="M87" s="299">
        <v>20</v>
      </c>
      <c r="AG87" s="299">
        <v>25</v>
      </c>
    </row>
    <row r="88" spans="1:34">
      <c r="A88" t="s">
        <v>4173</v>
      </c>
      <c r="B88" s="265" t="s">
        <v>381</v>
      </c>
      <c r="C88" s="265" t="s">
        <v>4557</v>
      </c>
      <c r="D88" s="265" t="s">
        <v>5959</v>
      </c>
      <c r="E88" s="269" t="s">
        <v>5960</v>
      </c>
      <c r="F88" s="265" t="s">
        <v>66</v>
      </c>
      <c r="G88" s="265" t="s">
        <v>274</v>
      </c>
      <c r="H88" s="265" t="s">
        <v>523</v>
      </c>
      <c r="I88" s="299">
        <v>1.67</v>
      </c>
      <c r="K88" s="299">
        <v>1.67</v>
      </c>
      <c r="AG88" s="299">
        <v>0</v>
      </c>
    </row>
    <row r="89" spans="1:34">
      <c r="A89" t="s">
        <v>4195</v>
      </c>
      <c r="B89" s="265" t="s">
        <v>383</v>
      </c>
      <c r="C89" s="265" t="s">
        <v>4557</v>
      </c>
      <c r="D89" s="265" t="s">
        <v>5961</v>
      </c>
      <c r="E89" s="269" t="s">
        <v>5962</v>
      </c>
      <c r="F89" s="265" t="s">
        <v>335</v>
      </c>
      <c r="G89" s="265" t="s">
        <v>274</v>
      </c>
      <c r="H89" s="265" t="s">
        <v>509</v>
      </c>
      <c r="I89" s="299">
        <v>0.83</v>
      </c>
      <c r="K89" s="299">
        <v>0.83</v>
      </c>
      <c r="AG89" s="299">
        <v>0</v>
      </c>
    </row>
    <row r="90" spans="1:34">
      <c r="A90" t="s">
        <v>4212</v>
      </c>
      <c r="B90" s="265" t="s">
        <v>385</v>
      </c>
      <c r="C90" s="265" t="s">
        <v>4557</v>
      </c>
      <c r="D90" s="265" t="s">
        <v>5963</v>
      </c>
      <c r="E90" s="269" t="s">
        <v>5964</v>
      </c>
      <c r="F90" s="265" t="s">
        <v>335</v>
      </c>
      <c r="G90" s="265" t="s">
        <v>274</v>
      </c>
      <c r="H90" s="265" t="s">
        <v>509</v>
      </c>
      <c r="I90" s="299">
        <v>17.760000000000002</v>
      </c>
      <c r="M90" s="299">
        <v>4.17</v>
      </c>
      <c r="U90" s="299">
        <v>1.67</v>
      </c>
      <c r="V90" s="299">
        <v>6.67</v>
      </c>
      <c r="W90" s="299">
        <v>1.67</v>
      </c>
      <c r="AG90" s="299">
        <v>3.58</v>
      </c>
    </row>
    <row r="91" spans="1:34">
      <c r="A91" t="s">
        <v>4144</v>
      </c>
      <c r="B91" s="265" t="s">
        <v>386</v>
      </c>
      <c r="C91" s="265" t="s">
        <v>4603</v>
      </c>
      <c r="D91" s="265" t="s">
        <v>5965</v>
      </c>
      <c r="E91" s="269" t="s">
        <v>5644</v>
      </c>
      <c r="F91" s="265" t="s">
        <v>67</v>
      </c>
      <c r="G91" s="265" t="s">
        <v>274</v>
      </c>
      <c r="H91" s="265" t="s">
        <v>509</v>
      </c>
      <c r="I91" s="299">
        <v>16.670000000000002</v>
      </c>
      <c r="K91" s="299">
        <v>5</v>
      </c>
      <c r="M91" s="299">
        <v>5</v>
      </c>
      <c r="AG91" s="299">
        <v>6.67</v>
      </c>
    </row>
    <row r="92" spans="1:34">
      <c r="A92" t="s">
        <v>4103</v>
      </c>
      <c r="B92" s="265" t="s">
        <v>387</v>
      </c>
      <c r="C92" s="265" t="s">
        <v>4557</v>
      </c>
      <c r="D92" s="265" t="s">
        <v>5966</v>
      </c>
      <c r="E92" s="269" t="s">
        <v>5967</v>
      </c>
      <c r="F92" s="265" t="s">
        <v>335</v>
      </c>
      <c r="G92" s="265" t="s">
        <v>274</v>
      </c>
      <c r="H92" s="265" t="s">
        <v>509</v>
      </c>
      <c r="I92" s="299">
        <v>5.01</v>
      </c>
      <c r="K92" s="299">
        <v>0.42</v>
      </c>
      <c r="M92" s="299">
        <v>1.67</v>
      </c>
      <c r="AG92" s="299">
        <v>2.92</v>
      </c>
    </row>
    <row r="93" spans="1:34">
      <c r="A93" t="s">
        <v>4308</v>
      </c>
      <c r="B93" s="265" t="s">
        <v>389</v>
      </c>
      <c r="C93" s="265" t="s">
        <v>4557</v>
      </c>
      <c r="D93" s="265" t="s">
        <v>5968</v>
      </c>
      <c r="E93" s="269" t="s">
        <v>5969</v>
      </c>
      <c r="F93" s="265" t="s">
        <v>335</v>
      </c>
      <c r="G93" s="265" t="s">
        <v>274</v>
      </c>
      <c r="H93" s="265" t="s">
        <v>509</v>
      </c>
      <c r="I93" s="299">
        <v>5.41</v>
      </c>
      <c r="K93" s="299">
        <v>0.83</v>
      </c>
      <c r="M93" s="299">
        <v>1.25</v>
      </c>
      <c r="U93" s="299">
        <v>3.33</v>
      </c>
      <c r="AG93" s="299">
        <v>0</v>
      </c>
    </row>
    <row r="94" spans="1:34">
      <c r="A94" t="s">
        <v>3888</v>
      </c>
      <c r="B94" s="265" t="s">
        <v>391</v>
      </c>
      <c r="C94" s="265" t="s">
        <v>4556</v>
      </c>
      <c r="D94" s="265" t="s">
        <v>5970</v>
      </c>
      <c r="E94" s="269" t="s">
        <v>5971</v>
      </c>
      <c r="F94" s="265" t="s">
        <v>66</v>
      </c>
      <c r="G94" s="265" t="s">
        <v>271</v>
      </c>
      <c r="H94" s="265" t="s">
        <v>265</v>
      </c>
      <c r="I94" s="299">
        <v>1.67</v>
      </c>
      <c r="U94" s="299">
        <v>1.67</v>
      </c>
      <c r="AD94" s="299">
        <v>0</v>
      </c>
    </row>
    <row r="95" spans="1:34">
      <c r="A95" t="s">
        <v>3888</v>
      </c>
      <c r="B95" s="265" t="s">
        <v>392</v>
      </c>
      <c r="C95" s="265" t="s">
        <v>4556</v>
      </c>
      <c r="D95" s="265" t="s">
        <v>5972</v>
      </c>
      <c r="E95" s="269" t="s">
        <v>5971</v>
      </c>
      <c r="F95" s="265" t="s">
        <v>66</v>
      </c>
      <c r="G95" s="265" t="s">
        <v>271</v>
      </c>
      <c r="H95" s="265" t="s">
        <v>265</v>
      </c>
      <c r="I95" s="299">
        <v>1.67</v>
      </c>
      <c r="U95" s="299">
        <v>1.67</v>
      </c>
      <c r="AD95" s="299">
        <v>0</v>
      </c>
    </row>
    <row r="96" spans="1:34">
      <c r="B96" s="297" t="s">
        <v>320</v>
      </c>
      <c r="C96" s="297"/>
      <c r="I96" s="299">
        <v>2153.2199999999998</v>
      </c>
      <c r="J96" s="299">
        <v>22.08</v>
      </c>
      <c r="K96" s="299">
        <v>187.97</v>
      </c>
      <c r="L96" s="299">
        <v>619.14</v>
      </c>
      <c r="M96" s="299">
        <v>393.37</v>
      </c>
      <c r="N96" s="299">
        <v>17.5</v>
      </c>
      <c r="R96" s="299">
        <v>1.66</v>
      </c>
      <c r="S96" s="299">
        <v>133.46</v>
      </c>
      <c r="U96" s="299">
        <v>34.409999999999997</v>
      </c>
      <c r="V96" s="299">
        <v>10</v>
      </c>
      <c r="W96" s="299">
        <v>4.17</v>
      </c>
      <c r="Y96" s="299">
        <v>0</v>
      </c>
      <c r="AA96" s="299">
        <v>199.26</v>
      </c>
      <c r="AC96" s="299">
        <v>0</v>
      </c>
      <c r="AD96" s="299">
        <v>1</v>
      </c>
      <c r="AE96" s="299">
        <v>306.24</v>
      </c>
      <c r="AF96" s="299">
        <v>37.130000000000003</v>
      </c>
      <c r="AG96" s="299">
        <v>185.83</v>
      </c>
      <c r="AH96" s="299">
        <v>0</v>
      </c>
    </row>
    <row r="98" spans="1:35" ht="13.5">
      <c r="B98" s="298" t="s">
        <v>552</v>
      </c>
      <c r="C98" s="298"/>
    </row>
    <row r="99" spans="1:35">
      <c r="D99" s="297" t="s">
        <v>546</v>
      </c>
      <c r="I99" s="265" t="s">
        <v>58</v>
      </c>
      <c r="J99" s="265" t="s">
        <v>251</v>
      </c>
      <c r="K99" s="265" t="s">
        <v>252</v>
      </c>
      <c r="L99" s="265" t="s">
        <v>253</v>
      </c>
      <c r="M99" s="265" t="s">
        <v>254</v>
      </c>
      <c r="N99" s="265" t="s">
        <v>255</v>
      </c>
      <c r="O99" s="265" t="s">
        <v>256</v>
      </c>
      <c r="P99" s="265" t="s">
        <v>257</v>
      </c>
      <c r="Q99" s="265" t="s">
        <v>258</v>
      </c>
      <c r="R99" s="265" t="s">
        <v>259</v>
      </c>
      <c r="S99" s="265" t="s">
        <v>260</v>
      </c>
      <c r="T99" s="265" t="s">
        <v>261</v>
      </c>
      <c r="U99" s="265" t="s">
        <v>262</v>
      </c>
      <c r="V99" s="265" t="s">
        <v>263</v>
      </c>
      <c r="W99" s="265" t="s">
        <v>264</v>
      </c>
      <c r="X99" s="265" t="s">
        <v>265</v>
      </c>
      <c r="Y99" s="265" t="s">
        <v>266</v>
      </c>
      <c r="Z99" s="265" t="s">
        <v>267</v>
      </c>
      <c r="AA99" s="265" t="s">
        <v>268</v>
      </c>
      <c r="AB99" s="265" t="s">
        <v>269</v>
      </c>
      <c r="AC99" s="265" t="s">
        <v>270</v>
      </c>
      <c r="AD99" s="265" t="s">
        <v>271</v>
      </c>
      <c r="AE99" s="265" t="s">
        <v>272</v>
      </c>
      <c r="AF99" s="265" t="s">
        <v>273</v>
      </c>
      <c r="AG99" s="265" t="s">
        <v>274</v>
      </c>
      <c r="AH99" s="265" t="s">
        <v>275</v>
      </c>
      <c r="AI99" s="265" t="s">
        <v>276</v>
      </c>
    </row>
    <row r="100" spans="1:35">
      <c r="A100" t="s">
        <v>4895</v>
      </c>
      <c r="B100" s="265" t="s">
        <v>277</v>
      </c>
      <c r="C100" s="265"/>
      <c r="D100" s="265" t="s">
        <v>4793</v>
      </c>
      <c r="E100" s="269" t="s">
        <v>553</v>
      </c>
      <c r="F100" s="265" t="s">
        <v>488</v>
      </c>
      <c r="G100" s="265" t="s">
        <v>271</v>
      </c>
      <c r="H100" s="265" t="s">
        <v>520</v>
      </c>
      <c r="I100" s="299">
        <v>26.25</v>
      </c>
      <c r="U100" s="299">
        <v>25</v>
      </c>
      <c r="AD100" s="299">
        <v>1.25</v>
      </c>
    </row>
    <row r="101" spans="1:35">
      <c r="A101" t="s">
        <v>4888</v>
      </c>
      <c r="B101" s="265" t="s">
        <v>278</v>
      </c>
      <c r="C101" s="265"/>
      <c r="D101" s="265" t="s">
        <v>4796</v>
      </c>
      <c r="E101" s="269" t="s">
        <v>554</v>
      </c>
      <c r="F101" s="265" t="s">
        <v>335</v>
      </c>
      <c r="G101" s="265" t="s">
        <v>259</v>
      </c>
      <c r="H101" s="265" t="s">
        <v>520</v>
      </c>
      <c r="I101" s="299">
        <v>7.92</v>
      </c>
      <c r="R101" s="299">
        <v>1.25</v>
      </c>
      <c r="U101" s="299">
        <v>6.67</v>
      </c>
    </row>
    <row r="102" spans="1:35">
      <c r="A102" t="s">
        <v>4889</v>
      </c>
      <c r="B102" s="265" t="s">
        <v>279</v>
      </c>
      <c r="C102" s="265"/>
      <c r="D102" s="265" t="s">
        <v>4799</v>
      </c>
      <c r="E102" s="269" t="s">
        <v>4800</v>
      </c>
      <c r="F102" s="265" t="s">
        <v>379</v>
      </c>
      <c r="G102" s="265" t="s">
        <v>259</v>
      </c>
      <c r="H102" s="265" t="s">
        <v>262</v>
      </c>
      <c r="I102" s="299">
        <v>8.67</v>
      </c>
      <c r="R102" s="299">
        <v>0.67</v>
      </c>
      <c r="S102" s="299">
        <v>2.67</v>
      </c>
      <c r="U102" s="299">
        <v>5.33</v>
      </c>
    </row>
    <row r="103" spans="1:35">
      <c r="A103" t="s">
        <v>4901</v>
      </c>
      <c r="B103" s="265" t="s">
        <v>280</v>
      </c>
      <c r="C103" s="265"/>
      <c r="D103" s="265" t="s">
        <v>4801</v>
      </c>
      <c r="E103" s="269" t="s">
        <v>4783</v>
      </c>
      <c r="F103" s="265" t="s">
        <v>4784</v>
      </c>
      <c r="G103" s="265" t="s">
        <v>274</v>
      </c>
      <c r="H103" s="265" t="s">
        <v>262</v>
      </c>
      <c r="I103" s="299">
        <v>26.67</v>
      </c>
      <c r="M103" s="299">
        <v>6.67</v>
      </c>
      <c r="AG103" s="299">
        <v>20</v>
      </c>
    </row>
    <row r="104" spans="1:35">
      <c r="A104" t="s">
        <v>4890</v>
      </c>
      <c r="B104" s="265" t="s">
        <v>281</v>
      </c>
      <c r="C104" s="265"/>
      <c r="D104" s="265" t="s">
        <v>4807</v>
      </c>
      <c r="E104" s="269" t="s">
        <v>4808</v>
      </c>
      <c r="F104" s="265" t="s">
        <v>550</v>
      </c>
      <c r="G104" s="265" t="s">
        <v>259</v>
      </c>
      <c r="H104" s="265" t="s">
        <v>531</v>
      </c>
      <c r="I104" s="299">
        <v>7.08</v>
      </c>
      <c r="R104" s="299">
        <v>4.17</v>
      </c>
      <c r="S104" s="299">
        <v>2.08</v>
      </c>
      <c r="U104" s="299">
        <v>0.83</v>
      </c>
    </row>
    <row r="105" spans="1:35">
      <c r="A105" t="s">
        <v>4897</v>
      </c>
      <c r="B105" s="265" t="s">
        <v>282</v>
      </c>
      <c r="C105" s="265"/>
      <c r="D105" s="265" t="s">
        <v>4811</v>
      </c>
      <c r="E105" s="269" t="s">
        <v>4812</v>
      </c>
      <c r="F105" s="265" t="s">
        <v>4813</v>
      </c>
      <c r="G105" s="265" t="s">
        <v>271</v>
      </c>
      <c r="H105" s="265" t="s">
        <v>262</v>
      </c>
      <c r="I105" s="299">
        <v>9</v>
      </c>
      <c r="U105" s="299">
        <v>6</v>
      </c>
      <c r="AD105" s="299">
        <v>3</v>
      </c>
    </row>
    <row r="106" spans="1:35">
      <c r="A106" t="s">
        <v>635</v>
      </c>
      <c r="B106" s="265" t="s">
        <v>283</v>
      </c>
      <c r="C106" s="265" t="s">
        <v>4558</v>
      </c>
      <c r="D106" s="265" t="s">
        <v>5006</v>
      </c>
      <c r="E106" s="269" t="s">
        <v>5007</v>
      </c>
      <c r="F106" s="265" t="s">
        <v>280</v>
      </c>
      <c r="G106" s="265" t="s">
        <v>253</v>
      </c>
      <c r="H106" s="265" t="s">
        <v>258</v>
      </c>
      <c r="I106" s="299">
        <v>20.010000000000002</v>
      </c>
      <c r="L106" s="299">
        <v>3.73</v>
      </c>
      <c r="M106" s="299">
        <v>3.33</v>
      </c>
      <c r="AF106" s="299">
        <v>12.95</v>
      </c>
    </row>
    <row r="107" spans="1:35">
      <c r="A107" t="s">
        <v>4890</v>
      </c>
      <c r="B107" s="265" t="s">
        <v>284</v>
      </c>
      <c r="C107" s="265"/>
      <c r="D107" s="265" t="s">
        <v>5008</v>
      </c>
      <c r="E107" s="269" t="s">
        <v>4808</v>
      </c>
      <c r="F107" s="265" t="s">
        <v>550</v>
      </c>
      <c r="G107" s="265" t="s">
        <v>259</v>
      </c>
      <c r="H107" s="265" t="s">
        <v>531</v>
      </c>
      <c r="I107" s="299">
        <v>7.08</v>
      </c>
      <c r="R107" s="299">
        <v>4.17</v>
      </c>
      <c r="S107" s="299">
        <v>2.08</v>
      </c>
      <c r="U107" s="299">
        <v>0.83</v>
      </c>
    </row>
    <row r="108" spans="1:35">
      <c r="A108" t="s">
        <v>641</v>
      </c>
      <c r="B108" s="265" t="s">
        <v>285</v>
      </c>
      <c r="C108" s="265" t="s">
        <v>4558</v>
      </c>
      <c r="D108" s="265" t="s">
        <v>5013</v>
      </c>
      <c r="E108" s="269" t="s">
        <v>5014</v>
      </c>
      <c r="F108" s="265" t="s">
        <v>280</v>
      </c>
      <c r="G108" s="265" t="s">
        <v>253</v>
      </c>
      <c r="H108" s="265" t="s">
        <v>5001</v>
      </c>
      <c r="I108" s="299">
        <v>37.79</v>
      </c>
      <c r="L108" s="299">
        <v>14.33</v>
      </c>
      <c r="M108" s="299">
        <v>2.86</v>
      </c>
      <c r="AF108" s="299">
        <v>20.6</v>
      </c>
    </row>
    <row r="109" spans="1:35">
      <c r="A109" t="s">
        <v>640</v>
      </c>
      <c r="B109" s="265" t="s">
        <v>286</v>
      </c>
      <c r="C109" s="265" t="s">
        <v>4558</v>
      </c>
      <c r="D109" s="265" t="s">
        <v>5015</v>
      </c>
      <c r="E109" s="269" t="s">
        <v>5016</v>
      </c>
      <c r="F109" s="265" t="s">
        <v>280</v>
      </c>
      <c r="G109" s="265" t="s">
        <v>273</v>
      </c>
      <c r="H109" s="265" t="s">
        <v>262</v>
      </c>
      <c r="I109" s="299">
        <v>10.31</v>
      </c>
      <c r="M109" s="299">
        <v>0.67</v>
      </c>
      <c r="AF109" s="299">
        <v>9.64</v>
      </c>
    </row>
    <row r="110" spans="1:35">
      <c r="A110" t="s">
        <v>639</v>
      </c>
      <c r="B110" s="265" t="s">
        <v>287</v>
      </c>
      <c r="C110" s="265" t="s">
        <v>4558</v>
      </c>
      <c r="D110" s="265" t="s">
        <v>5017</v>
      </c>
      <c r="E110" s="269" t="s">
        <v>5018</v>
      </c>
      <c r="F110" s="265" t="s">
        <v>280</v>
      </c>
      <c r="G110" s="265" t="s">
        <v>253</v>
      </c>
      <c r="H110" s="265" t="s">
        <v>262</v>
      </c>
      <c r="I110" s="299">
        <v>30.74</v>
      </c>
      <c r="L110" s="299">
        <v>12</v>
      </c>
      <c r="M110" s="299">
        <v>4</v>
      </c>
      <c r="AF110" s="299">
        <v>14.74</v>
      </c>
    </row>
    <row r="111" spans="1:35">
      <c r="A111" t="s">
        <v>638</v>
      </c>
      <c r="B111" s="265" t="s">
        <v>288</v>
      </c>
      <c r="C111" s="265" t="s">
        <v>4558</v>
      </c>
      <c r="D111" s="265" t="s">
        <v>5019</v>
      </c>
      <c r="E111" s="269" t="s">
        <v>5020</v>
      </c>
      <c r="F111" s="265" t="s">
        <v>280</v>
      </c>
      <c r="G111" s="265" t="s">
        <v>253</v>
      </c>
      <c r="H111" s="265" t="s">
        <v>262</v>
      </c>
      <c r="I111" s="299">
        <v>58.53</v>
      </c>
      <c r="L111" s="299">
        <v>17.53</v>
      </c>
      <c r="M111" s="299">
        <v>6.67</v>
      </c>
      <c r="AF111" s="299">
        <v>34.33</v>
      </c>
    </row>
    <row r="112" spans="1:35">
      <c r="A112" t="s">
        <v>636</v>
      </c>
      <c r="B112" s="265" t="s">
        <v>289</v>
      </c>
      <c r="C112" s="265" t="s">
        <v>4558</v>
      </c>
      <c r="D112" s="265" t="s">
        <v>5021</v>
      </c>
      <c r="E112" s="269" t="s">
        <v>5022</v>
      </c>
      <c r="F112" s="265" t="s">
        <v>280</v>
      </c>
      <c r="G112" s="265" t="s">
        <v>253</v>
      </c>
      <c r="H112" s="265" t="s">
        <v>258</v>
      </c>
      <c r="I112" s="299">
        <v>31.91</v>
      </c>
      <c r="L112" s="299">
        <v>10.6</v>
      </c>
      <c r="M112" s="299">
        <v>7.27</v>
      </c>
      <c r="AF112" s="299">
        <v>14.04</v>
      </c>
    </row>
    <row r="113" spans="1:33">
      <c r="A113" t="s">
        <v>633</v>
      </c>
      <c r="B113" s="265" t="s">
        <v>290</v>
      </c>
      <c r="C113" s="265" t="s">
        <v>4558</v>
      </c>
      <c r="D113" s="265" t="s">
        <v>5023</v>
      </c>
      <c r="E113" s="269" t="s">
        <v>5024</v>
      </c>
      <c r="F113" s="265" t="s">
        <v>280</v>
      </c>
      <c r="G113" s="265" t="s">
        <v>273</v>
      </c>
      <c r="H113" s="265" t="s">
        <v>258</v>
      </c>
      <c r="I113" s="299">
        <v>25.53</v>
      </c>
      <c r="L113" s="299">
        <v>1.53</v>
      </c>
      <c r="M113" s="299">
        <v>3.2</v>
      </c>
      <c r="AF113" s="299">
        <v>20.8</v>
      </c>
    </row>
    <row r="114" spans="1:33">
      <c r="A114" t="s">
        <v>632</v>
      </c>
      <c r="B114" s="265" t="s">
        <v>291</v>
      </c>
      <c r="C114" s="265" t="s">
        <v>4558</v>
      </c>
      <c r="D114" s="265" t="s">
        <v>5025</v>
      </c>
      <c r="E114" s="269" t="s">
        <v>5026</v>
      </c>
      <c r="F114" s="265" t="s">
        <v>280</v>
      </c>
      <c r="G114" s="265" t="s">
        <v>253</v>
      </c>
      <c r="H114" s="265" t="s">
        <v>258</v>
      </c>
      <c r="I114" s="299">
        <v>26.51</v>
      </c>
      <c r="L114" s="299">
        <v>7.13</v>
      </c>
      <c r="M114" s="299">
        <v>5.53</v>
      </c>
      <c r="AF114" s="299">
        <v>13.85</v>
      </c>
    </row>
    <row r="115" spans="1:33">
      <c r="A115" t="s">
        <v>631</v>
      </c>
      <c r="B115" s="265" t="s">
        <v>292</v>
      </c>
      <c r="C115" s="265" t="s">
        <v>4558</v>
      </c>
      <c r="D115" s="265" t="s">
        <v>5027</v>
      </c>
      <c r="E115" s="269" t="s">
        <v>5028</v>
      </c>
      <c r="F115" s="265" t="s">
        <v>280</v>
      </c>
      <c r="G115" s="265" t="s">
        <v>273</v>
      </c>
      <c r="H115" s="265" t="s">
        <v>258</v>
      </c>
      <c r="I115" s="299">
        <v>24.67</v>
      </c>
      <c r="L115" s="299">
        <v>4.33</v>
      </c>
      <c r="M115" s="299">
        <v>5.67</v>
      </c>
      <c r="AF115" s="299">
        <v>14.67</v>
      </c>
    </row>
    <row r="116" spans="1:33">
      <c r="A116" t="s">
        <v>585</v>
      </c>
      <c r="B116" s="265" t="s">
        <v>293</v>
      </c>
      <c r="C116" s="265" t="s">
        <v>4558</v>
      </c>
      <c r="D116" s="265" t="s">
        <v>5029</v>
      </c>
      <c r="E116" s="269" t="s">
        <v>5030</v>
      </c>
      <c r="F116" s="265" t="s">
        <v>280</v>
      </c>
      <c r="G116" s="265" t="s">
        <v>262</v>
      </c>
      <c r="H116" s="265" t="s">
        <v>258</v>
      </c>
      <c r="I116" s="299">
        <v>5.33</v>
      </c>
      <c r="U116" s="299">
        <v>5.33</v>
      </c>
    </row>
    <row r="117" spans="1:33">
      <c r="A117" t="s">
        <v>584</v>
      </c>
      <c r="B117" s="265" t="s">
        <v>294</v>
      </c>
      <c r="C117" s="265" t="s">
        <v>4558</v>
      </c>
      <c r="D117" s="265" t="s">
        <v>5031</v>
      </c>
      <c r="E117" s="269" t="s">
        <v>5032</v>
      </c>
      <c r="F117" s="265" t="s">
        <v>280</v>
      </c>
      <c r="G117" s="265" t="s">
        <v>262</v>
      </c>
      <c r="H117" s="265" t="s">
        <v>258</v>
      </c>
      <c r="I117" s="299">
        <v>14.4</v>
      </c>
      <c r="U117" s="299">
        <v>14.4</v>
      </c>
    </row>
    <row r="118" spans="1:33">
      <c r="A118" t="s">
        <v>813</v>
      </c>
      <c r="B118" s="265" t="s">
        <v>295</v>
      </c>
      <c r="C118" s="265" t="s">
        <v>4558</v>
      </c>
      <c r="D118" s="265" t="s">
        <v>5033</v>
      </c>
      <c r="E118" s="269" t="s">
        <v>5034</v>
      </c>
      <c r="F118" s="265" t="s">
        <v>280</v>
      </c>
      <c r="G118" s="265" t="s">
        <v>253</v>
      </c>
      <c r="H118" s="265" t="s">
        <v>5001</v>
      </c>
      <c r="I118" s="299">
        <v>17.57</v>
      </c>
      <c r="L118" s="299">
        <v>4.53</v>
      </c>
      <c r="M118" s="299">
        <v>3.53</v>
      </c>
      <c r="AF118" s="299">
        <v>9.51</v>
      </c>
    </row>
    <row r="119" spans="1:33">
      <c r="A119" t="s">
        <v>4606</v>
      </c>
      <c r="B119" s="265" t="s">
        <v>296</v>
      </c>
      <c r="C119" s="265" t="s">
        <v>4558</v>
      </c>
      <c r="D119" s="265" t="s">
        <v>5035</v>
      </c>
      <c r="E119" s="269" t="s">
        <v>5036</v>
      </c>
      <c r="F119" s="265" t="s">
        <v>280</v>
      </c>
      <c r="G119" s="265" t="s">
        <v>262</v>
      </c>
      <c r="H119" s="265" t="s">
        <v>262</v>
      </c>
      <c r="I119" s="299">
        <v>4.33</v>
      </c>
      <c r="U119" s="299">
        <v>2.33</v>
      </c>
      <c r="W119" s="299">
        <v>2</v>
      </c>
    </row>
    <row r="120" spans="1:33">
      <c r="A120" t="s">
        <v>874</v>
      </c>
      <c r="B120" s="265" t="s">
        <v>297</v>
      </c>
      <c r="C120" s="265" t="s">
        <v>4559</v>
      </c>
      <c r="D120" s="265" t="s">
        <v>5037</v>
      </c>
      <c r="E120" s="269" t="s">
        <v>5038</v>
      </c>
      <c r="F120" s="265" t="s">
        <v>284</v>
      </c>
      <c r="G120" s="265" t="s">
        <v>251</v>
      </c>
      <c r="H120" s="265" t="s">
        <v>254</v>
      </c>
      <c r="I120" s="299">
        <v>5.6</v>
      </c>
      <c r="J120" s="299">
        <v>1.07</v>
      </c>
      <c r="M120" s="299">
        <v>0.4</v>
      </c>
      <c r="N120" s="299">
        <v>3.33</v>
      </c>
      <c r="AE120" s="299">
        <v>0.8</v>
      </c>
    </row>
    <row r="121" spans="1:33">
      <c r="A121" t="s">
        <v>820</v>
      </c>
      <c r="B121" s="265" t="s">
        <v>298</v>
      </c>
      <c r="C121" s="265" t="s">
        <v>4558</v>
      </c>
      <c r="D121" s="265" t="s">
        <v>5039</v>
      </c>
      <c r="E121" s="269" t="s">
        <v>5040</v>
      </c>
      <c r="F121" s="265" t="s">
        <v>280</v>
      </c>
      <c r="G121" s="265" t="s">
        <v>253</v>
      </c>
      <c r="H121" s="265" t="s">
        <v>258</v>
      </c>
      <c r="I121" s="299">
        <v>9.09</v>
      </c>
      <c r="L121" s="299">
        <v>2.13</v>
      </c>
      <c r="M121" s="299">
        <v>1.93</v>
      </c>
      <c r="AF121" s="299">
        <v>5.03</v>
      </c>
    </row>
    <row r="122" spans="1:33">
      <c r="A122" t="s">
        <v>814</v>
      </c>
      <c r="B122" s="265" t="s">
        <v>299</v>
      </c>
      <c r="C122" s="265" t="s">
        <v>4558</v>
      </c>
      <c r="D122" s="265" t="s">
        <v>5041</v>
      </c>
      <c r="E122" s="269" t="s">
        <v>5042</v>
      </c>
      <c r="F122" s="265" t="s">
        <v>280</v>
      </c>
      <c r="G122" s="265" t="s">
        <v>273</v>
      </c>
      <c r="H122" s="265" t="s">
        <v>258</v>
      </c>
      <c r="I122" s="299">
        <v>16.170000000000002</v>
      </c>
      <c r="L122" s="299">
        <v>3.67</v>
      </c>
      <c r="M122" s="299">
        <v>4.33</v>
      </c>
      <c r="AF122" s="299">
        <v>8.17</v>
      </c>
    </row>
    <row r="123" spans="1:33">
      <c r="A123" t="s">
        <v>634</v>
      </c>
      <c r="B123" s="265" t="s">
        <v>300</v>
      </c>
      <c r="C123" s="265" t="s">
        <v>4558</v>
      </c>
      <c r="D123" s="265" t="s">
        <v>5045</v>
      </c>
      <c r="E123" s="269" t="s">
        <v>5046</v>
      </c>
      <c r="F123" s="265" t="s">
        <v>280</v>
      </c>
      <c r="G123" s="265" t="s">
        <v>253</v>
      </c>
      <c r="H123" s="265" t="s">
        <v>258</v>
      </c>
      <c r="I123" s="299">
        <v>23.38</v>
      </c>
      <c r="L123" s="299">
        <v>9.33</v>
      </c>
      <c r="M123" s="299">
        <v>4.07</v>
      </c>
      <c r="AF123" s="299">
        <v>9.98</v>
      </c>
    </row>
    <row r="124" spans="1:33">
      <c r="A124" t="s">
        <v>4358</v>
      </c>
      <c r="B124" s="265" t="s">
        <v>301</v>
      </c>
      <c r="C124" s="265" t="s">
        <v>4686</v>
      </c>
      <c r="D124" s="265" t="s">
        <v>5216</v>
      </c>
      <c r="E124" s="269" t="s">
        <v>5217</v>
      </c>
      <c r="F124" s="265" t="s">
        <v>335</v>
      </c>
      <c r="G124" s="265" t="s">
        <v>271</v>
      </c>
      <c r="H124" s="265" t="s">
        <v>5001</v>
      </c>
      <c r="I124" s="299">
        <v>1.92</v>
      </c>
      <c r="R124" s="299">
        <v>0.42</v>
      </c>
      <c r="U124" s="299">
        <v>1.25</v>
      </c>
      <c r="AD124" s="299">
        <v>0.25</v>
      </c>
    </row>
    <row r="125" spans="1:33">
      <c r="A125" t="s">
        <v>2101</v>
      </c>
      <c r="B125" s="265" t="s">
        <v>302</v>
      </c>
      <c r="C125" s="265" t="s">
        <v>4552</v>
      </c>
      <c r="D125" s="265" t="s">
        <v>5218</v>
      </c>
      <c r="E125" s="269" t="s">
        <v>5219</v>
      </c>
      <c r="F125" s="265" t="s">
        <v>403</v>
      </c>
      <c r="G125" s="265" t="s">
        <v>259</v>
      </c>
      <c r="H125" s="265" t="s">
        <v>518</v>
      </c>
      <c r="I125" s="299">
        <v>6.4</v>
      </c>
      <c r="R125" s="299">
        <v>0.8</v>
      </c>
      <c r="S125" s="299">
        <v>2.4</v>
      </c>
      <c r="U125" s="299">
        <v>3.2</v>
      </c>
    </row>
    <row r="126" spans="1:33">
      <c r="A126" t="s">
        <v>4422</v>
      </c>
      <c r="B126" s="265" t="s">
        <v>303</v>
      </c>
      <c r="C126" s="265" t="s">
        <v>4603</v>
      </c>
      <c r="D126" s="265" t="s">
        <v>5326</v>
      </c>
      <c r="E126" s="269" t="s">
        <v>5327</v>
      </c>
      <c r="F126" s="265" t="s">
        <v>335</v>
      </c>
      <c r="G126" s="265" t="s">
        <v>259</v>
      </c>
      <c r="H126" s="265" t="s">
        <v>520</v>
      </c>
      <c r="I126" s="299">
        <v>5</v>
      </c>
      <c r="R126" s="299">
        <v>0.83</v>
      </c>
      <c r="AA126" s="299">
        <v>4.17</v>
      </c>
    </row>
    <row r="127" spans="1:33">
      <c r="A127" t="s">
        <v>4126</v>
      </c>
      <c r="B127" s="265" t="s">
        <v>304</v>
      </c>
      <c r="C127" s="265" t="s">
        <v>4557</v>
      </c>
      <c r="D127" s="265" t="s">
        <v>5330</v>
      </c>
      <c r="E127" s="269" t="s">
        <v>5331</v>
      </c>
      <c r="F127" s="265" t="s">
        <v>335</v>
      </c>
      <c r="G127" s="265" t="s">
        <v>274</v>
      </c>
      <c r="H127" s="265" t="s">
        <v>509</v>
      </c>
      <c r="I127" s="299">
        <v>2.92</v>
      </c>
      <c r="M127" s="299">
        <v>0.42</v>
      </c>
      <c r="AG127" s="299">
        <v>2.5</v>
      </c>
    </row>
    <row r="128" spans="1:33">
      <c r="A128" t="s">
        <v>4292</v>
      </c>
      <c r="B128" s="265" t="s">
        <v>305</v>
      </c>
      <c r="C128" s="265" t="s">
        <v>79</v>
      </c>
      <c r="D128" s="265" t="s">
        <v>5333</v>
      </c>
      <c r="E128" s="269" t="s">
        <v>5334</v>
      </c>
      <c r="F128" s="265" t="s">
        <v>306</v>
      </c>
      <c r="G128" s="265" t="s">
        <v>259</v>
      </c>
      <c r="H128" s="265" t="s">
        <v>262</v>
      </c>
      <c r="I128" s="299">
        <v>31</v>
      </c>
      <c r="R128" s="299">
        <v>3.25</v>
      </c>
      <c r="U128" s="299">
        <v>27.75</v>
      </c>
    </row>
    <row r="129" spans="1:34">
      <c r="A129" t="s">
        <v>4434</v>
      </c>
      <c r="B129" s="265" t="s">
        <v>306</v>
      </c>
      <c r="C129" s="265" t="s">
        <v>4727</v>
      </c>
      <c r="D129" s="265" t="s">
        <v>5654</v>
      </c>
      <c r="E129" s="269" t="s">
        <v>5329</v>
      </c>
      <c r="F129" s="265" t="s">
        <v>68</v>
      </c>
      <c r="G129" s="265" t="s">
        <v>270</v>
      </c>
      <c r="H129" s="265" t="s">
        <v>523</v>
      </c>
      <c r="I129" s="299">
        <v>135</v>
      </c>
      <c r="AA129" s="299">
        <v>115</v>
      </c>
      <c r="AC129" s="299">
        <v>20</v>
      </c>
    </row>
    <row r="130" spans="1:34">
      <c r="A130" t="s">
        <v>4254</v>
      </c>
      <c r="B130" s="265" t="s">
        <v>307</v>
      </c>
      <c r="C130" s="265" t="s">
        <v>4650</v>
      </c>
      <c r="D130" s="265" t="s">
        <v>5655</v>
      </c>
      <c r="E130" s="269" t="s">
        <v>5656</v>
      </c>
      <c r="F130" s="265" t="s">
        <v>550</v>
      </c>
      <c r="G130" s="265" t="s">
        <v>270</v>
      </c>
      <c r="H130" s="265" t="s">
        <v>523</v>
      </c>
      <c r="I130" s="299">
        <v>58.33</v>
      </c>
      <c r="AA130" s="299">
        <v>50</v>
      </c>
      <c r="AC130" s="299">
        <v>8.33</v>
      </c>
    </row>
    <row r="131" spans="1:34">
      <c r="A131" t="s">
        <v>4335</v>
      </c>
      <c r="B131" s="265" t="s">
        <v>308</v>
      </c>
      <c r="C131" s="265" t="s">
        <v>4557</v>
      </c>
      <c r="D131" s="265" t="s">
        <v>5659</v>
      </c>
      <c r="E131" s="269" t="s">
        <v>5660</v>
      </c>
      <c r="F131" s="265" t="s">
        <v>335</v>
      </c>
      <c r="G131" s="265" t="s">
        <v>270</v>
      </c>
      <c r="H131" s="265" t="s">
        <v>509</v>
      </c>
      <c r="I131" s="299">
        <v>6.67</v>
      </c>
      <c r="AA131" s="299">
        <v>4.17</v>
      </c>
      <c r="AC131" s="299">
        <v>2.5</v>
      </c>
    </row>
    <row r="132" spans="1:34">
      <c r="A132" t="s">
        <v>4302</v>
      </c>
      <c r="B132" s="265" t="s">
        <v>309</v>
      </c>
      <c r="C132" s="265" t="s">
        <v>4642</v>
      </c>
      <c r="D132" s="265" t="s">
        <v>5661</v>
      </c>
      <c r="E132" s="269" t="s">
        <v>5662</v>
      </c>
      <c r="F132" s="265" t="s">
        <v>69</v>
      </c>
      <c r="G132" s="265" t="s">
        <v>274</v>
      </c>
      <c r="H132" s="265" t="s">
        <v>509</v>
      </c>
      <c r="I132" s="299">
        <v>240</v>
      </c>
      <c r="M132" s="299">
        <v>213.33</v>
      </c>
      <c r="AG132" s="299">
        <v>26.67</v>
      </c>
    </row>
    <row r="133" spans="1:34">
      <c r="A133" t="s">
        <v>4302</v>
      </c>
      <c r="B133" s="265" t="s">
        <v>310</v>
      </c>
      <c r="C133" s="265" t="s">
        <v>4642</v>
      </c>
      <c r="D133" s="265" t="s">
        <v>5663</v>
      </c>
      <c r="E133" s="269" t="s">
        <v>5662</v>
      </c>
      <c r="F133" s="265" t="s">
        <v>69</v>
      </c>
      <c r="G133" s="265" t="s">
        <v>274</v>
      </c>
      <c r="H133" s="265" t="s">
        <v>509</v>
      </c>
      <c r="I133" s="299">
        <v>240</v>
      </c>
      <c r="M133" s="299">
        <v>213.33</v>
      </c>
      <c r="AG133" s="299">
        <v>26.67</v>
      </c>
    </row>
    <row r="134" spans="1:34">
      <c r="A134" t="s">
        <v>4313</v>
      </c>
      <c r="B134" s="265" t="s">
        <v>311</v>
      </c>
      <c r="C134" s="265" t="s">
        <v>79</v>
      </c>
      <c r="D134" s="265" t="s">
        <v>5664</v>
      </c>
      <c r="E134" s="269" t="s">
        <v>5665</v>
      </c>
      <c r="F134" s="265" t="s">
        <v>68</v>
      </c>
      <c r="G134" s="265" t="s">
        <v>259</v>
      </c>
      <c r="H134" s="265" t="s">
        <v>509</v>
      </c>
      <c r="I134" s="299">
        <v>77.5</v>
      </c>
      <c r="K134" s="299">
        <v>5</v>
      </c>
      <c r="R134" s="299">
        <v>2.5</v>
      </c>
      <c r="S134" s="299">
        <v>10</v>
      </c>
      <c r="U134" s="299">
        <v>60</v>
      </c>
    </row>
    <row r="135" spans="1:34">
      <c r="A135" t="s">
        <v>4294</v>
      </c>
      <c r="B135" s="265" t="s">
        <v>312</v>
      </c>
      <c r="C135" s="265" t="s">
        <v>4561</v>
      </c>
      <c r="D135" s="265" t="s">
        <v>5666</v>
      </c>
      <c r="E135" s="269" t="s">
        <v>5667</v>
      </c>
      <c r="F135" s="265" t="s">
        <v>296</v>
      </c>
      <c r="G135" s="265" t="s">
        <v>251</v>
      </c>
      <c r="H135" s="265" t="s">
        <v>531</v>
      </c>
      <c r="I135" s="299">
        <v>12.46</v>
      </c>
      <c r="J135" s="299">
        <v>0.17</v>
      </c>
      <c r="L135" s="299">
        <v>6.33</v>
      </c>
      <c r="M135" s="299">
        <v>1.69</v>
      </c>
      <c r="AE135" s="299">
        <v>4.2699999999999996</v>
      </c>
    </row>
    <row r="136" spans="1:34">
      <c r="A136" t="s">
        <v>5766</v>
      </c>
      <c r="B136" s="265" t="s">
        <v>313</v>
      </c>
      <c r="C136" s="265"/>
      <c r="D136" s="265" t="s">
        <v>5668</v>
      </c>
      <c r="E136" s="269" t="s">
        <v>5669</v>
      </c>
      <c r="F136" s="265" t="s">
        <v>306</v>
      </c>
      <c r="G136" s="265" t="s">
        <v>259</v>
      </c>
      <c r="H136" s="265" t="s">
        <v>509</v>
      </c>
      <c r="I136" s="299">
        <v>5.75</v>
      </c>
      <c r="R136" s="299">
        <v>1.25</v>
      </c>
      <c r="U136" s="299">
        <v>4.5</v>
      </c>
    </row>
    <row r="137" spans="1:34">
      <c r="A137" t="s">
        <v>5767</v>
      </c>
      <c r="B137" s="265" t="s">
        <v>314</v>
      </c>
      <c r="C137" s="265"/>
      <c r="D137" s="265" t="s">
        <v>5670</v>
      </c>
      <c r="E137" s="269" t="s">
        <v>5671</v>
      </c>
      <c r="F137" s="265" t="s">
        <v>335</v>
      </c>
      <c r="G137" s="265" t="s">
        <v>259</v>
      </c>
      <c r="H137" s="265" t="s">
        <v>509</v>
      </c>
      <c r="I137" s="299">
        <v>23.75</v>
      </c>
      <c r="L137" s="299">
        <v>8.33</v>
      </c>
      <c r="M137" s="299">
        <v>14.17</v>
      </c>
      <c r="R137" s="299">
        <v>0.42</v>
      </c>
      <c r="U137" s="299">
        <v>0.83</v>
      </c>
    </row>
    <row r="138" spans="1:34">
      <c r="A138" t="s">
        <v>4288</v>
      </c>
      <c r="B138" s="265" t="s">
        <v>315</v>
      </c>
      <c r="C138" s="265" t="s">
        <v>79</v>
      </c>
      <c r="D138" s="265" t="s">
        <v>5672</v>
      </c>
      <c r="E138" s="269" t="s">
        <v>5673</v>
      </c>
      <c r="F138" s="265" t="s">
        <v>66</v>
      </c>
      <c r="G138" s="265" t="s">
        <v>272</v>
      </c>
      <c r="H138" s="265" t="s">
        <v>509</v>
      </c>
      <c r="I138" s="299">
        <v>95.84</v>
      </c>
      <c r="K138" s="299">
        <v>1.67</v>
      </c>
      <c r="L138" s="299">
        <v>16.670000000000002</v>
      </c>
      <c r="M138" s="299">
        <v>10.83</v>
      </c>
      <c r="AE138" s="299">
        <v>66.67</v>
      </c>
    </row>
    <row r="139" spans="1:34">
      <c r="A139" t="s">
        <v>4296</v>
      </c>
      <c r="B139" s="265" t="s">
        <v>316</v>
      </c>
      <c r="C139" s="265" t="s">
        <v>79</v>
      </c>
      <c r="D139" s="265" t="s">
        <v>5675</v>
      </c>
      <c r="E139" s="269" t="s">
        <v>5676</v>
      </c>
      <c r="F139" s="265" t="s">
        <v>306</v>
      </c>
      <c r="G139" s="265" t="s">
        <v>259</v>
      </c>
      <c r="H139" s="265" t="s">
        <v>509</v>
      </c>
      <c r="I139" s="299">
        <v>52.21</v>
      </c>
      <c r="M139" s="299">
        <v>10.5</v>
      </c>
      <c r="R139" s="299">
        <v>0.5</v>
      </c>
      <c r="U139" s="299">
        <v>37.5</v>
      </c>
      <c r="AF139" s="299">
        <v>3.71</v>
      </c>
    </row>
    <row r="140" spans="1:34">
      <c r="A140" t="s">
        <v>4297</v>
      </c>
      <c r="B140" s="265" t="s">
        <v>317</v>
      </c>
      <c r="C140" s="265" t="s">
        <v>79</v>
      </c>
      <c r="D140" s="265" t="s">
        <v>5677</v>
      </c>
      <c r="E140" s="269" t="s">
        <v>5678</v>
      </c>
      <c r="F140" s="265" t="s">
        <v>296</v>
      </c>
      <c r="G140" s="265" t="s">
        <v>259</v>
      </c>
      <c r="H140" s="265" t="s">
        <v>509</v>
      </c>
      <c r="I140" s="299">
        <v>22.33</v>
      </c>
      <c r="M140" s="299">
        <v>6.67</v>
      </c>
      <c r="R140" s="299">
        <v>0.33</v>
      </c>
      <c r="U140" s="299">
        <v>9.33</v>
      </c>
      <c r="AF140" s="299">
        <v>6</v>
      </c>
    </row>
    <row r="141" spans="1:34">
      <c r="A141" t="s">
        <v>901</v>
      </c>
      <c r="B141" s="265" t="s">
        <v>318</v>
      </c>
      <c r="C141" s="265" t="s">
        <v>4599</v>
      </c>
      <c r="D141" s="265" t="s">
        <v>5679</v>
      </c>
      <c r="E141" s="269" t="s">
        <v>5680</v>
      </c>
      <c r="F141" s="265" t="s">
        <v>5047</v>
      </c>
      <c r="G141" s="265" t="s">
        <v>270</v>
      </c>
      <c r="H141" s="265" t="s">
        <v>509</v>
      </c>
      <c r="I141" s="299">
        <v>25</v>
      </c>
      <c r="AA141" s="299">
        <v>20</v>
      </c>
      <c r="AC141" s="299">
        <v>5</v>
      </c>
    </row>
    <row r="142" spans="1:34">
      <c r="A142" t="s">
        <v>2919</v>
      </c>
      <c r="B142" s="265" t="s">
        <v>321</v>
      </c>
      <c r="C142" s="265" t="s">
        <v>4558</v>
      </c>
      <c r="D142" s="265" t="s">
        <v>5681</v>
      </c>
      <c r="E142" s="269" t="s">
        <v>5682</v>
      </c>
      <c r="F142" s="265" t="s">
        <v>306</v>
      </c>
      <c r="G142" s="265" t="s">
        <v>271</v>
      </c>
      <c r="H142" s="265" t="s">
        <v>509</v>
      </c>
      <c r="I142" s="299">
        <v>0.75</v>
      </c>
      <c r="U142" s="299">
        <v>0.5</v>
      </c>
      <c r="AD142" s="299">
        <v>0.25</v>
      </c>
    </row>
    <row r="143" spans="1:34">
      <c r="A143" t="s">
        <v>4604</v>
      </c>
      <c r="B143" s="265" t="s">
        <v>323</v>
      </c>
      <c r="C143" s="265" t="s">
        <v>4558</v>
      </c>
      <c r="D143" s="265" t="s">
        <v>5683</v>
      </c>
      <c r="E143" s="269" t="s">
        <v>5684</v>
      </c>
      <c r="F143" s="265" t="s">
        <v>335</v>
      </c>
      <c r="G143" s="265" t="s">
        <v>271</v>
      </c>
      <c r="H143" s="265" t="s">
        <v>509</v>
      </c>
      <c r="I143" s="299">
        <v>1.47</v>
      </c>
      <c r="R143" s="299">
        <v>0.42</v>
      </c>
      <c r="AD143" s="299">
        <v>0.42</v>
      </c>
      <c r="AH143" s="299">
        <v>0.63</v>
      </c>
    </row>
    <row r="144" spans="1:34">
      <c r="A144" t="s">
        <v>4893</v>
      </c>
      <c r="B144" s="265" t="s">
        <v>325</v>
      </c>
      <c r="C144" s="265"/>
      <c r="D144" s="265" t="s">
        <v>5685</v>
      </c>
      <c r="E144" s="269" t="s">
        <v>4806</v>
      </c>
      <c r="F144" s="265" t="s">
        <v>335</v>
      </c>
      <c r="G144" s="265" t="s">
        <v>259</v>
      </c>
      <c r="H144" s="265" t="s">
        <v>520</v>
      </c>
      <c r="I144" s="299">
        <v>6.67</v>
      </c>
      <c r="R144" s="299">
        <v>1.67</v>
      </c>
      <c r="AA144" s="299">
        <v>5</v>
      </c>
    </row>
    <row r="145" spans="1:32">
      <c r="A145" t="s">
        <v>4379</v>
      </c>
      <c r="B145" s="265" t="s">
        <v>327</v>
      </c>
      <c r="C145" s="265" t="s">
        <v>4701</v>
      </c>
      <c r="D145" s="265" t="s">
        <v>5686</v>
      </c>
      <c r="E145" s="269" t="s">
        <v>5332</v>
      </c>
      <c r="F145" s="265" t="s">
        <v>335</v>
      </c>
      <c r="G145" s="265" t="s">
        <v>271</v>
      </c>
      <c r="H145" s="265" t="s">
        <v>5001</v>
      </c>
      <c r="I145" s="299">
        <v>1.67</v>
      </c>
      <c r="R145" s="299">
        <v>0.42</v>
      </c>
      <c r="U145" s="299">
        <v>0.83</v>
      </c>
      <c r="AD145" s="299">
        <v>0.42</v>
      </c>
    </row>
    <row r="146" spans="1:32">
      <c r="A146" t="s">
        <v>4267</v>
      </c>
      <c r="B146" s="265" t="s">
        <v>329</v>
      </c>
      <c r="C146" s="265" t="s">
        <v>79</v>
      </c>
      <c r="D146" s="265" t="s">
        <v>5691</v>
      </c>
      <c r="E146" s="269" t="s">
        <v>515</v>
      </c>
      <c r="F146" s="265" t="s">
        <v>516</v>
      </c>
      <c r="G146" s="265" t="s">
        <v>259</v>
      </c>
      <c r="H146" s="265" t="s">
        <v>262</v>
      </c>
      <c r="I146" s="299">
        <v>97.04</v>
      </c>
      <c r="L146" s="299">
        <v>9.4700000000000006</v>
      </c>
      <c r="M146" s="299">
        <v>9.4700000000000006</v>
      </c>
      <c r="R146" s="299">
        <v>2.37</v>
      </c>
      <c r="U146" s="299">
        <v>4.7300000000000004</v>
      </c>
      <c r="AF146" s="299">
        <v>71</v>
      </c>
    </row>
    <row r="147" spans="1:32">
      <c r="A147" t="s">
        <v>4281</v>
      </c>
      <c r="B147" s="265" t="s">
        <v>331</v>
      </c>
      <c r="C147" s="265" t="s">
        <v>4636</v>
      </c>
      <c r="D147" s="265" t="s">
        <v>5692</v>
      </c>
      <c r="E147" s="269" t="s">
        <v>5693</v>
      </c>
      <c r="F147" s="265" t="s">
        <v>349</v>
      </c>
      <c r="G147" s="265" t="s">
        <v>259</v>
      </c>
      <c r="H147" s="265" t="s">
        <v>520</v>
      </c>
      <c r="I147" s="299">
        <v>8</v>
      </c>
      <c r="R147" s="299">
        <v>2</v>
      </c>
      <c r="AA147" s="299">
        <v>6</v>
      </c>
    </row>
    <row r="148" spans="1:32">
      <c r="A148" t="s">
        <v>4280</v>
      </c>
      <c r="B148" s="265" t="s">
        <v>333</v>
      </c>
      <c r="C148" s="265" t="s">
        <v>4652</v>
      </c>
      <c r="D148" s="265" t="s">
        <v>5694</v>
      </c>
      <c r="E148" s="269" t="s">
        <v>5695</v>
      </c>
      <c r="F148" s="265" t="s">
        <v>395</v>
      </c>
      <c r="G148" s="265" t="s">
        <v>259</v>
      </c>
      <c r="H148" s="265" t="s">
        <v>520</v>
      </c>
      <c r="I148" s="299">
        <v>9</v>
      </c>
      <c r="R148" s="299">
        <v>3</v>
      </c>
      <c r="AA148" s="299">
        <v>6</v>
      </c>
    </row>
    <row r="149" spans="1:32">
      <c r="A149" t="s">
        <v>4421</v>
      </c>
      <c r="B149" s="265" t="s">
        <v>335</v>
      </c>
      <c r="C149" s="265" t="s">
        <v>4557</v>
      </c>
      <c r="D149" s="265" t="s">
        <v>5697</v>
      </c>
      <c r="E149" s="269" t="s">
        <v>5698</v>
      </c>
      <c r="F149" s="265" t="s">
        <v>335</v>
      </c>
      <c r="G149" s="265" t="s">
        <v>259</v>
      </c>
      <c r="H149" s="265" t="s">
        <v>520</v>
      </c>
      <c r="I149" s="299">
        <v>5.84</v>
      </c>
      <c r="R149" s="299">
        <v>1.67</v>
      </c>
      <c r="AA149" s="299">
        <v>4.17</v>
      </c>
    </row>
    <row r="150" spans="1:32">
      <c r="A150" t="s">
        <v>4060</v>
      </c>
      <c r="B150" s="265" t="s">
        <v>337</v>
      </c>
      <c r="C150" s="265" t="s">
        <v>4556</v>
      </c>
      <c r="D150" s="265" t="s">
        <v>5699</v>
      </c>
      <c r="E150" s="269" t="s">
        <v>5700</v>
      </c>
      <c r="F150" s="265" t="s">
        <v>67</v>
      </c>
      <c r="G150" s="265" t="s">
        <v>272</v>
      </c>
      <c r="H150" s="265" t="s">
        <v>518</v>
      </c>
      <c r="I150" s="299">
        <v>15.34</v>
      </c>
      <c r="M150" s="299">
        <v>1.67</v>
      </c>
      <c r="AE150" s="299">
        <v>13.67</v>
      </c>
    </row>
    <row r="151" spans="1:32">
      <c r="A151" t="s">
        <v>4208</v>
      </c>
      <c r="B151" s="265" t="s">
        <v>339</v>
      </c>
      <c r="C151" s="265" t="s">
        <v>4654</v>
      </c>
      <c r="D151" s="265" t="s">
        <v>5701</v>
      </c>
      <c r="E151" s="269" t="s">
        <v>5702</v>
      </c>
      <c r="F151" s="265" t="s">
        <v>66</v>
      </c>
      <c r="G151" s="265" t="s">
        <v>262</v>
      </c>
      <c r="H151" s="265" t="s">
        <v>520</v>
      </c>
      <c r="I151" s="299">
        <v>16.670000000000002</v>
      </c>
      <c r="U151" s="299">
        <v>16.670000000000002</v>
      </c>
    </row>
    <row r="152" spans="1:32">
      <c r="A152" t="s">
        <v>4318</v>
      </c>
      <c r="B152" s="265" t="s">
        <v>341</v>
      </c>
      <c r="C152" s="265" t="s">
        <v>4641</v>
      </c>
      <c r="D152" s="265" t="s">
        <v>5703</v>
      </c>
      <c r="E152" s="269" t="s">
        <v>5704</v>
      </c>
      <c r="F152" s="265" t="s">
        <v>316</v>
      </c>
      <c r="G152" s="265" t="s">
        <v>251</v>
      </c>
      <c r="H152" s="265" t="s">
        <v>509</v>
      </c>
      <c r="I152" s="299">
        <v>9.99</v>
      </c>
      <c r="J152" s="299">
        <v>0.33</v>
      </c>
      <c r="K152" s="299">
        <v>3.33</v>
      </c>
      <c r="M152" s="299">
        <v>2.33</v>
      </c>
      <c r="AE152" s="299">
        <v>4</v>
      </c>
    </row>
    <row r="153" spans="1:32">
      <c r="A153" t="s">
        <v>4316</v>
      </c>
      <c r="B153" s="265" t="s">
        <v>343</v>
      </c>
      <c r="C153" s="265" t="s">
        <v>4641</v>
      </c>
      <c r="D153" s="265" t="s">
        <v>5707</v>
      </c>
      <c r="E153" s="269" t="s">
        <v>5269</v>
      </c>
      <c r="F153" s="265" t="s">
        <v>316</v>
      </c>
      <c r="G153" s="265" t="s">
        <v>271</v>
      </c>
      <c r="H153" s="265" t="s">
        <v>509</v>
      </c>
      <c r="I153" s="299">
        <v>4.33</v>
      </c>
      <c r="U153" s="299">
        <v>4</v>
      </c>
      <c r="AD153" s="299">
        <v>0.33</v>
      </c>
    </row>
    <row r="154" spans="1:32">
      <c r="A154" t="s">
        <v>4282</v>
      </c>
      <c r="B154" s="265" t="s">
        <v>344</v>
      </c>
      <c r="C154" s="265" t="s">
        <v>4641</v>
      </c>
      <c r="D154" s="265" t="s">
        <v>5708</v>
      </c>
      <c r="E154" s="269" t="s">
        <v>5709</v>
      </c>
      <c r="F154" s="265" t="s">
        <v>316</v>
      </c>
      <c r="G154" s="265" t="s">
        <v>259</v>
      </c>
      <c r="H154" s="265" t="s">
        <v>509</v>
      </c>
      <c r="I154" s="299">
        <v>8</v>
      </c>
      <c r="R154" s="299">
        <v>1.33</v>
      </c>
      <c r="AA154" s="299">
        <v>6.67</v>
      </c>
    </row>
    <row r="155" spans="1:32">
      <c r="A155" t="s">
        <v>4422</v>
      </c>
      <c r="B155" s="265" t="s">
        <v>345</v>
      </c>
      <c r="C155" s="265" t="s">
        <v>4603</v>
      </c>
      <c r="D155" s="265" t="s">
        <v>5710</v>
      </c>
      <c r="E155" s="269" t="s">
        <v>5327</v>
      </c>
      <c r="F155" s="265" t="s">
        <v>335</v>
      </c>
      <c r="G155" s="265" t="s">
        <v>259</v>
      </c>
      <c r="H155" s="265" t="s">
        <v>520</v>
      </c>
      <c r="I155" s="299">
        <v>5</v>
      </c>
      <c r="R155" s="299">
        <v>0.83</v>
      </c>
      <c r="AA155" s="299">
        <v>4.17</v>
      </c>
    </row>
    <row r="156" spans="1:32">
      <c r="A156" t="s">
        <v>4379</v>
      </c>
      <c r="B156" s="265" t="s">
        <v>346</v>
      </c>
      <c r="C156" s="265" t="s">
        <v>4701</v>
      </c>
      <c r="D156" s="265" t="s">
        <v>5711</v>
      </c>
      <c r="E156" s="269" t="s">
        <v>5332</v>
      </c>
      <c r="F156" s="265" t="s">
        <v>335</v>
      </c>
      <c r="G156" s="265" t="s">
        <v>271</v>
      </c>
      <c r="H156" s="265" t="s">
        <v>5001</v>
      </c>
      <c r="I156" s="299">
        <v>1.67</v>
      </c>
      <c r="R156" s="299">
        <v>0.42</v>
      </c>
      <c r="U156" s="299">
        <v>0.83</v>
      </c>
      <c r="AD156" s="299">
        <v>0.42</v>
      </c>
    </row>
    <row r="157" spans="1:32">
      <c r="A157" t="s">
        <v>4379</v>
      </c>
      <c r="B157" s="265" t="s">
        <v>347</v>
      </c>
      <c r="C157" s="265" t="s">
        <v>4701</v>
      </c>
      <c r="D157" s="265" t="s">
        <v>5712</v>
      </c>
      <c r="E157" s="269" t="s">
        <v>5332</v>
      </c>
      <c r="F157" s="265" t="s">
        <v>66</v>
      </c>
      <c r="G157" s="265" t="s">
        <v>271</v>
      </c>
      <c r="H157" s="265" t="s">
        <v>531</v>
      </c>
      <c r="I157" s="299">
        <v>3.33</v>
      </c>
      <c r="R157" s="299">
        <v>0.83</v>
      </c>
      <c r="U157" s="299">
        <v>1.67</v>
      </c>
      <c r="AD157" s="299">
        <v>0.83</v>
      </c>
    </row>
    <row r="158" spans="1:32">
      <c r="A158" t="s">
        <v>4379</v>
      </c>
      <c r="B158" s="265" t="s">
        <v>348</v>
      </c>
      <c r="C158" s="265" t="s">
        <v>4701</v>
      </c>
      <c r="D158" s="265" t="s">
        <v>5713</v>
      </c>
      <c r="E158" s="269" t="s">
        <v>5332</v>
      </c>
      <c r="F158" s="265" t="s">
        <v>66</v>
      </c>
      <c r="G158" s="265" t="s">
        <v>271</v>
      </c>
      <c r="H158" s="265" t="s">
        <v>531</v>
      </c>
      <c r="I158" s="299">
        <v>3.33</v>
      </c>
      <c r="R158" s="299">
        <v>0.83</v>
      </c>
      <c r="U158" s="299">
        <v>1.67</v>
      </c>
      <c r="AD158" s="299">
        <v>0.83</v>
      </c>
    </row>
    <row r="159" spans="1:32">
      <c r="A159" t="s">
        <v>839</v>
      </c>
      <c r="B159" s="265" t="s">
        <v>349</v>
      </c>
      <c r="C159" s="265" t="s">
        <v>4558</v>
      </c>
      <c r="D159" s="265" t="s">
        <v>5714</v>
      </c>
      <c r="E159" s="269" t="s">
        <v>5715</v>
      </c>
      <c r="F159" s="265" t="s">
        <v>296</v>
      </c>
      <c r="G159" s="265" t="s">
        <v>268</v>
      </c>
      <c r="H159" s="265" t="s">
        <v>520</v>
      </c>
      <c r="I159" s="299">
        <v>16</v>
      </c>
      <c r="AA159" s="299">
        <v>16</v>
      </c>
    </row>
    <row r="160" spans="1:32">
      <c r="A160" t="s">
        <v>4279</v>
      </c>
      <c r="B160" s="265" t="s">
        <v>350</v>
      </c>
      <c r="C160" s="265" t="s">
        <v>4555</v>
      </c>
      <c r="D160" s="265" t="s">
        <v>5718</v>
      </c>
      <c r="E160" s="269" t="s">
        <v>5719</v>
      </c>
      <c r="F160" s="265" t="s">
        <v>316</v>
      </c>
      <c r="G160" s="265" t="s">
        <v>259</v>
      </c>
      <c r="H160" s="265" t="s">
        <v>520</v>
      </c>
      <c r="I160" s="299">
        <v>7.34</v>
      </c>
      <c r="R160" s="299">
        <v>0.67</v>
      </c>
      <c r="AA160" s="299">
        <v>6.67</v>
      </c>
    </row>
    <row r="161" spans="1:33">
      <c r="A161" t="s">
        <v>625</v>
      </c>
      <c r="B161" s="265" t="s">
        <v>351</v>
      </c>
      <c r="C161" s="265" t="s">
        <v>4558</v>
      </c>
      <c r="D161" s="265" t="s">
        <v>5720</v>
      </c>
      <c r="E161" s="269" t="s">
        <v>5721</v>
      </c>
      <c r="F161" s="265" t="s">
        <v>296</v>
      </c>
      <c r="G161" s="265" t="s">
        <v>259</v>
      </c>
      <c r="H161" s="265" t="s">
        <v>258</v>
      </c>
      <c r="I161" s="299">
        <v>2.66</v>
      </c>
      <c r="R161" s="299">
        <v>0.33</v>
      </c>
      <c r="U161" s="299">
        <v>2.33</v>
      </c>
    </row>
    <row r="162" spans="1:33">
      <c r="A162" t="s">
        <v>4425</v>
      </c>
      <c r="B162" s="265" t="s">
        <v>352</v>
      </c>
      <c r="C162" s="265" t="s">
        <v>4725</v>
      </c>
      <c r="D162" s="265" t="s">
        <v>5722</v>
      </c>
      <c r="E162" s="269" t="s">
        <v>5723</v>
      </c>
      <c r="F162" s="265" t="s">
        <v>5225</v>
      </c>
      <c r="G162" s="265" t="s">
        <v>262</v>
      </c>
      <c r="H162" s="265" t="s">
        <v>262</v>
      </c>
      <c r="I162" s="299">
        <v>93.33</v>
      </c>
      <c r="U162" s="299">
        <v>93.33</v>
      </c>
    </row>
    <row r="163" spans="1:33">
      <c r="A163" t="s">
        <v>4298</v>
      </c>
      <c r="B163" s="265" t="s">
        <v>353</v>
      </c>
      <c r="C163" s="265" t="s">
        <v>79</v>
      </c>
      <c r="D163" s="265" t="s">
        <v>5724</v>
      </c>
      <c r="E163" s="269" t="s">
        <v>5725</v>
      </c>
      <c r="F163" s="265" t="s">
        <v>306</v>
      </c>
      <c r="G163" s="265" t="s">
        <v>259</v>
      </c>
      <c r="H163" s="265" t="s">
        <v>262</v>
      </c>
      <c r="I163" s="299">
        <v>29.75</v>
      </c>
      <c r="R163" s="299">
        <v>2.75</v>
      </c>
      <c r="S163" s="299">
        <v>0.5</v>
      </c>
      <c r="U163" s="299">
        <v>26.5</v>
      </c>
    </row>
    <row r="164" spans="1:33">
      <c r="A164" t="s">
        <v>4298</v>
      </c>
      <c r="B164" s="265" t="s">
        <v>354</v>
      </c>
      <c r="C164" s="265" t="s">
        <v>79</v>
      </c>
      <c r="D164" s="265" t="s">
        <v>5726</v>
      </c>
      <c r="E164" s="269" t="s">
        <v>5725</v>
      </c>
      <c r="F164" s="265" t="s">
        <v>306</v>
      </c>
      <c r="G164" s="265" t="s">
        <v>259</v>
      </c>
      <c r="H164" s="265" t="s">
        <v>262</v>
      </c>
      <c r="I164" s="299">
        <v>29.75</v>
      </c>
      <c r="R164" s="299">
        <v>2.75</v>
      </c>
      <c r="S164" s="299">
        <v>0.5</v>
      </c>
      <c r="U164" s="299">
        <v>26.5</v>
      </c>
    </row>
    <row r="165" spans="1:33">
      <c r="A165" t="s">
        <v>4209</v>
      </c>
      <c r="B165" s="265" t="s">
        <v>355</v>
      </c>
      <c r="C165" s="265" t="s">
        <v>4654</v>
      </c>
      <c r="D165" s="265" t="s">
        <v>5729</v>
      </c>
      <c r="E165" s="269" t="s">
        <v>524</v>
      </c>
      <c r="F165" s="265" t="s">
        <v>306</v>
      </c>
      <c r="G165" s="265" t="s">
        <v>251</v>
      </c>
      <c r="H165" s="265" t="s">
        <v>520</v>
      </c>
      <c r="I165" s="299">
        <v>18.79</v>
      </c>
      <c r="J165" s="299">
        <v>0.25</v>
      </c>
      <c r="K165" s="299">
        <v>1.5</v>
      </c>
      <c r="L165" s="299">
        <v>11</v>
      </c>
      <c r="M165" s="299">
        <v>2.5299999999999998</v>
      </c>
      <c r="AE165" s="299">
        <v>3.51</v>
      </c>
    </row>
    <row r="166" spans="1:33">
      <c r="A166" t="s">
        <v>4327</v>
      </c>
      <c r="B166" s="265" t="s">
        <v>357</v>
      </c>
      <c r="C166" s="265" t="s">
        <v>4633</v>
      </c>
      <c r="D166" s="265" t="s">
        <v>5730</v>
      </c>
      <c r="E166" s="269" t="s">
        <v>5261</v>
      </c>
      <c r="F166" s="265" t="s">
        <v>316</v>
      </c>
      <c r="G166" s="265" t="s">
        <v>251</v>
      </c>
      <c r="H166" s="265" t="s">
        <v>520</v>
      </c>
      <c r="I166" s="299">
        <v>15.66</v>
      </c>
      <c r="J166" s="299">
        <v>2.67</v>
      </c>
      <c r="K166" s="299">
        <v>0.67</v>
      </c>
      <c r="L166" s="299">
        <v>5.33</v>
      </c>
      <c r="M166" s="299">
        <v>2</v>
      </c>
      <c r="AE166" s="299">
        <v>4.99</v>
      </c>
    </row>
    <row r="167" spans="1:33">
      <c r="A167" t="s">
        <v>4315</v>
      </c>
      <c r="B167" s="265" t="s">
        <v>358</v>
      </c>
      <c r="C167" s="265" t="s">
        <v>4641</v>
      </c>
      <c r="D167" s="265" t="s">
        <v>5732</v>
      </c>
      <c r="E167" s="269" t="s">
        <v>5733</v>
      </c>
      <c r="F167" s="265" t="s">
        <v>436</v>
      </c>
      <c r="G167" s="265" t="s">
        <v>271</v>
      </c>
      <c r="H167" s="265" t="s">
        <v>509</v>
      </c>
      <c r="I167" s="299">
        <v>7</v>
      </c>
      <c r="U167" s="299">
        <v>6</v>
      </c>
      <c r="AD167" s="299">
        <v>1</v>
      </c>
    </row>
    <row r="168" spans="1:33">
      <c r="A168" t="s">
        <v>4315</v>
      </c>
      <c r="B168" s="265" t="s">
        <v>359</v>
      </c>
      <c r="C168" s="265" t="s">
        <v>4641</v>
      </c>
      <c r="D168" s="265" t="s">
        <v>5734</v>
      </c>
      <c r="E168" s="269" t="s">
        <v>5733</v>
      </c>
      <c r="F168" s="265" t="s">
        <v>436</v>
      </c>
      <c r="G168" s="265" t="s">
        <v>271</v>
      </c>
      <c r="H168" s="265" t="s">
        <v>509</v>
      </c>
      <c r="I168" s="299">
        <v>7</v>
      </c>
      <c r="U168" s="299">
        <v>6</v>
      </c>
      <c r="AD168" s="299">
        <v>1</v>
      </c>
    </row>
    <row r="169" spans="1:33">
      <c r="A169" t="s">
        <v>4665</v>
      </c>
      <c r="B169" s="265" t="s">
        <v>360</v>
      </c>
      <c r="C169" s="265" t="s">
        <v>4636</v>
      </c>
      <c r="D169" s="265" t="s">
        <v>5735</v>
      </c>
      <c r="E169" s="269" t="s">
        <v>5736</v>
      </c>
      <c r="F169" s="265" t="s">
        <v>349</v>
      </c>
      <c r="G169" s="265" t="s">
        <v>259</v>
      </c>
      <c r="H169" s="265" t="s">
        <v>520</v>
      </c>
      <c r="I169" s="299">
        <v>12</v>
      </c>
      <c r="R169" s="299">
        <v>2</v>
      </c>
      <c r="AA169" s="299">
        <v>10</v>
      </c>
    </row>
    <row r="170" spans="1:33">
      <c r="A170" t="s">
        <v>4282</v>
      </c>
      <c r="B170" s="265" t="s">
        <v>361</v>
      </c>
      <c r="C170" s="265" t="s">
        <v>4641</v>
      </c>
      <c r="D170" s="265" t="s">
        <v>5737</v>
      </c>
      <c r="E170" s="269" t="s">
        <v>5709</v>
      </c>
      <c r="F170" s="265" t="s">
        <v>316</v>
      </c>
      <c r="G170" s="265" t="s">
        <v>259</v>
      </c>
      <c r="H170" s="265" t="s">
        <v>509</v>
      </c>
      <c r="I170" s="299">
        <v>8</v>
      </c>
      <c r="R170" s="299">
        <v>1.33</v>
      </c>
      <c r="AA170" s="299">
        <v>6.67</v>
      </c>
    </row>
    <row r="171" spans="1:33">
      <c r="A171" t="s">
        <v>5769</v>
      </c>
      <c r="B171" s="265" t="s">
        <v>363</v>
      </c>
      <c r="C171" s="265"/>
      <c r="D171" s="265" t="s">
        <v>5743</v>
      </c>
      <c r="E171" s="269" t="s">
        <v>5744</v>
      </c>
      <c r="F171" s="265" t="s">
        <v>335</v>
      </c>
      <c r="G171" s="265" t="s">
        <v>259</v>
      </c>
      <c r="H171" s="265" t="s">
        <v>520</v>
      </c>
      <c r="I171" s="299">
        <v>8.34</v>
      </c>
      <c r="R171" s="299">
        <v>0.42</v>
      </c>
      <c r="S171" s="299">
        <v>0.83</v>
      </c>
      <c r="U171" s="299">
        <v>7.09</v>
      </c>
    </row>
    <row r="172" spans="1:33">
      <c r="A172" t="s">
        <v>4033</v>
      </c>
      <c r="B172" s="265" t="s">
        <v>365</v>
      </c>
      <c r="C172" s="265" t="s">
        <v>4608</v>
      </c>
      <c r="D172" s="265" t="s">
        <v>5751</v>
      </c>
      <c r="E172" s="269" t="s">
        <v>5750</v>
      </c>
      <c r="F172" s="265" t="s">
        <v>68</v>
      </c>
      <c r="G172" s="265" t="s">
        <v>251</v>
      </c>
      <c r="H172" s="265" t="s">
        <v>262</v>
      </c>
      <c r="I172" s="299">
        <v>140</v>
      </c>
      <c r="J172" s="299">
        <v>12.5</v>
      </c>
      <c r="M172" s="299">
        <v>30</v>
      </c>
      <c r="AE172" s="299">
        <v>97.5</v>
      </c>
    </row>
    <row r="173" spans="1:33">
      <c r="A173" t="s">
        <v>4033</v>
      </c>
      <c r="B173" s="265" t="s">
        <v>367</v>
      </c>
      <c r="C173" s="265" t="s">
        <v>4608</v>
      </c>
      <c r="D173" s="265" t="s">
        <v>5754</v>
      </c>
      <c r="E173" s="269" t="s">
        <v>5750</v>
      </c>
      <c r="F173" s="265" t="s">
        <v>5753</v>
      </c>
      <c r="G173" s="265" t="s">
        <v>251</v>
      </c>
      <c r="H173" s="265" t="s">
        <v>262</v>
      </c>
      <c r="I173" s="299">
        <v>247.33</v>
      </c>
      <c r="J173" s="299">
        <v>22.08</v>
      </c>
      <c r="M173" s="299">
        <v>53</v>
      </c>
      <c r="AE173" s="299">
        <v>172.25</v>
      </c>
    </row>
    <row r="174" spans="1:33">
      <c r="A174" t="s">
        <v>2127</v>
      </c>
      <c r="B174" s="265" t="s">
        <v>369</v>
      </c>
      <c r="C174" s="265" t="s">
        <v>4556</v>
      </c>
      <c r="D174" s="265" t="s">
        <v>5785</v>
      </c>
      <c r="E174" s="269" t="s">
        <v>5649</v>
      </c>
      <c r="F174" s="265" t="s">
        <v>5786</v>
      </c>
      <c r="G174" s="265" t="s">
        <v>274</v>
      </c>
      <c r="H174" s="265" t="s">
        <v>523</v>
      </c>
      <c r="I174" s="299">
        <v>270.83999999999997</v>
      </c>
      <c r="K174" s="299">
        <v>54.17</v>
      </c>
      <c r="AG174" s="299">
        <v>216.67</v>
      </c>
    </row>
    <row r="175" spans="1:33">
      <c r="A175" t="s">
        <v>4317</v>
      </c>
      <c r="B175" s="265" t="s">
        <v>371</v>
      </c>
      <c r="C175" s="265" t="s">
        <v>4641</v>
      </c>
      <c r="D175" s="265" t="s">
        <v>5787</v>
      </c>
      <c r="E175" s="269" t="s">
        <v>5221</v>
      </c>
      <c r="F175" s="265" t="s">
        <v>335</v>
      </c>
      <c r="G175" s="265" t="s">
        <v>251</v>
      </c>
      <c r="H175" s="265" t="s">
        <v>520</v>
      </c>
      <c r="I175" s="299">
        <v>13.83</v>
      </c>
      <c r="J175" s="299">
        <v>0.04</v>
      </c>
      <c r="K175" s="299">
        <v>0.83</v>
      </c>
      <c r="M175" s="299">
        <v>2.54</v>
      </c>
      <c r="AE175" s="299">
        <v>10.42</v>
      </c>
    </row>
    <row r="176" spans="1:33">
      <c r="A176" t="s">
        <v>4316</v>
      </c>
      <c r="B176" s="265" t="s">
        <v>373</v>
      </c>
      <c r="C176" s="265" t="s">
        <v>4641</v>
      </c>
      <c r="D176" s="265" t="s">
        <v>5790</v>
      </c>
      <c r="E176" s="269" t="s">
        <v>5269</v>
      </c>
      <c r="F176" s="265" t="s">
        <v>316</v>
      </c>
      <c r="G176" s="265" t="s">
        <v>271</v>
      </c>
      <c r="H176" s="265" t="s">
        <v>509</v>
      </c>
      <c r="I176" s="299">
        <v>4.33</v>
      </c>
      <c r="U176" s="299">
        <v>4</v>
      </c>
      <c r="AD176" s="299">
        <v>0.33</v>
      </c>
    </row>
    <row r="177" spans="1:33">
      <c r="A177" t="s">
        <v>2205</v>
      </c>
      <c r="B177" s="265" t="s">
        <v>375</v>
      </c>
      <c r="C177" s="265" t="s">
        <v>4552</v>
      </c>
      <c r="D177" s="265" t="s">
        <v>5800</v>
      </c>
      <c r="E177" s="269" t="s">
        <v>5801</v>
      </c>
      <c r="F177" s="265" t="s">
        <v>296</v>
      </c>
      <c r="G177" s="265" t="s">
        <v>251</v>
      </c>
      <c r="H177" s="265" t="s">
        <v>262</v>
      </c>
      <c r="I177" s="299">
        <v>8.68</v>
      </c>
      <c r="J177" s="299">
        <v>0.17</v>
      </c>
      <c r="K177" s="299">
        <v>0.67</v>
      </c>
      <c r="L177" s="299">
        <v>6.67</v>
      </c>
      <c r="M177" s="299">
        <v>1.17</v>
      </c>
    </row>
    <row r="178" spans="1:33">
      <c r="A178" t="s">
        <v>2206</v>
      </c>
      <c r="B178" s="265" t="s">
        <v>377</v>
      </c>
      <c r="C178" s="265" t="s">
        <v>4552</v>
      </c>
      <c r="D178" s="265" t="s">
        <v>5802</v>
      </c>
      <c r="E178" s="269" t="s">
        <v>530</v>
      </c>
      <c r="F178" s="265" t="s">
        <v>306</v>
      </c>
      <c r="G178" s="265" t="s">
        <v>251</v>
      </c>
      <c r="H178" s="265" t="s">
        <v>262</v>
      </c>
      <c r="I178" s="299">
        <v>9.1</v>
      </c>
      <c r="J178" s="299">
        <v>0.05</v>
      </c>
      <c r="K178" s="299">
        <v>1</v>
      </c>
      <c r="L178" s="299">
        <v>7</v>
      </c>
      <c r="M178" s="299">
        <v>1.05</v>
      </c>
    </row>
    <row r="179" spans="1:33">
      <c r="A179" t="s">
        <v>4546</v>
      </c>
      <c r="B179" s="265" t="s">
        <v>379</v>
      </c>
      <c r="C179" s="265" t="s">
        <v>4552</v>
      </c>
      <c r="D179" s="265" t="s">
        <v>5803</v>
      </c>
      <c r="E179" s="269" t="s">
        <v>5804</v>
      </c>
      <c r="F179" s="265" t="s">
        <v>5805</v>
      </c>
      <c r="G179" s="265" t="s">
        <v>274</v>
      </c>
      <c r="H179" s="265" t="s">
        <v>262</v>
      </c>
      <c r="I179" s="299">
        <v>18.66</v>
      </c>
      <c r="K179" s="299">
        <v>9.33</v>
      </c>
      <c r="M179" s="299">
        <v>3.73</v>
      </c>
      <c r="AG179" s="299">
        <v>5.6</v>
      </c>
    </row>
    <row r="180" spans="1:33">
      <c r="A180" t="s">
        <v>4545</v>
      </c>
      <c r="B180" s="265" t="s">
        <v>381</v>
      </c>
      <c r="C180" s="265" t="s">
        <v>4552</v>
      </c>
      <c r="D180" s="265" t="s">
        <v>5806</v>
      </c>
      <c r="E180" s="269" t="s">
        <v>5807</v>
      </c>
      <c r="F180" s="265" t="s">
        <v>470</v>
      </c>
      <c r="G180" s="265" t="s">
        <v>274</v>
      </c>
      <c r="H180" s="265" t="s">
        <v>262</v>
      </c>
      <c r="I180" s="299">
        <v>11.66</v>
      </c>
      <c r="K180" s="299">
        <v>5.83</v>
      </c>
      <c r="AG180" s="299">
        <v>5.83</v>
      </c>
    </row>
    <row r="181" spans="1:33">
      <c r="A181" t="s">
        <v>2204</v>
      </c>
      <c r="B181" s="265" t="s">
        <v>383</v>
      </c>
      <c r="C181" s="265" t="s">
        <v>4552</v>
      </c>
      <c r="D181" s="265" t="s">
        <v>5808</v>
      </c>
      <c r="E181" s="269" t="s">
        <v>533</v>
      </c>
      <c r="F181" s="265" t="s">
        <v>306</v>
      </c>
      <c r="G181" s="265" t="s">
        <v>251</v>
      </c>
      <c r="H181" s="265" t="s">
        <v>262</v>
      </c>
      <c r="I181" s="299">
        <v>8.5</v>
      </c>
      <c r="J181" s="299">
        <v>0.25</v>
      </c>
      <c r="K181" s="299">
        <v>1</v>
      </c>
      <c r="L181" s="299">
        <v>6</v>
      </c>
      <c r="M181" s="299">
        <v>1.25</v>
      </c>
    </row>
    <row r="182" spans="1:33">
      <c r="A182" t="s">
        <v>849</v>
      </c>
      <c r="B182" s="265" t="s">
        <v>385</v>
      </c>
      <c r="C182" s="265" t="s">
        <v>4559</v>
      </c>
      <c r="D182" s="265" t="s">
        <v>5973</v>
      </c>
      <c r="E182" s="269" t="s">
        <v>5974</v>
      </c>
      <c r="F182" s="265" t="s">
        <v>335</v>
      </c>
      <c r="G182" s="265" t="s">
        <v>251</v>
      </c>
      <c r="H182" s="265" t="s">
        <v>254</v>
      </c>
      <c r="I182" s="299">
        <v>25.42</v>
      </c>
      <c r="J182" s="299">
        <v>0.42</v>
      </c>
      <c r="K182" s="299">
        <v>0.83</v>
      </c>
      <c r="L182" s="299">
        <v>5</v>
      </c>
      <c r="M182" s="299">
        <v>12.09</v>
      </c>
      <c r="AE182" s="299">
        <v>7.08</v>
      </c>
    </row>
    <row r="183" spans="1:33">
      <c r="A183" t="s">
        <v>830</v>
      </c>
      <c r="B183" s="265" t="s">
        <v>386</v>
      </c>
      <c r="C183" s="265" t="s">
        <v>4559</v>
      </c>
      <c r="D183" s="265" t="s">
        <v>5975</v>
      </c>
      <c r="E183" s="269" t="s">
        <v>5976</v>
      </c>
      <c r="F183" s="265" t="s">
        <v>335</v>
      </c>
      <c r="G183" s="265" t="s">
        <v>251</v>
      </c>
      <c r="H183" s="265" t="s">
        <v>254</v>
      </c>
      <c r="I183" s="299">
        <v>7.08</v>
      </c>
      <c r="J183" s="299">
        <v>1.25</v>
      </c>
      <c r="K183" s="299">
        <v>5</v>
      </c>
      <c r="M183" s="299">
        <v>0.83</v>
      </c>
    </row>
    <row r="184" spans="1:33">
      <c r="A184" t="s">
        <v>4280</v>
      </c>
      <c r="B184" s="265" t="s">
        <v>387</v>
      </c>
      <c r="C184" s="265" t="s">
        <v>4652</v>
      </c>
      <c r="D184" s="265" t="s">
        <v>5977</v>
      </c>
      <c r="E184" s="269" t="s">
        <v>5695</v>
      </c>
      <c r="F184" s="265" t="s">
        <v>395</v>
      </c>
      <c r="G184" s="265" t="s">
        <v>259</v>
      </c>
      <c r="H184" s="265" t="s">
        <v>520</v>
      </c>
      <c r="I184" s="299">
        <v>9</v>
      </c>
      <c r="R184" s="299">
        <v>3</v>
      </c>
      <c r="AA184" s="299">
        <v>6</v>
      </c>
    </row>
    <row r="185" spans="1:33">
      <c r="A185" t="s">
        <v>6181</v>
      </c>
      <c r="B185" s="265" t="s">
        <v>389</v>
      </c>
      <c r="C185" s="265"/>
      <c r="D185" s="265" t="s">
        <v>5978</v>
      </c>
      <c r="E185" s="269" t="s">
        <v>5979</v>
      </c>
      <c r="F185" s="265" t="s">
        <v>306</v>
      </c>
      <c r="G185" s="265" t="s">
        <v>271</v>
      </c>
      <c r="H185" s="265" t="s">
        <v>262</v>
      </c>
      <c r="I185" s="299">
        <v>4.9400000000000004</v>
      </c>
      <c r="L185" s="299">
        <v>2.5</v>
      </c>
      <c r="M185" s="299">
        <v>1.5</v>
      </c>
      <c r="U185" s="299">
        <v>0.75</v>
      </c>
      <c r="AD185" s="299">
        <v>0.19</v>
      </c>
    </row>
    <row r="186" spans="1:33">
      <c r="A186" t="s">
        <v>3058</v>
      </c>
      <c r="B186" s="265" t="s">
        <v>391</v>
      </c>
      <c r="C186" s="265" t="s">
        <v>4552</v>
      </c>
      <c r="D186" s="265" t="s">
        <v>5980</v>
      </c>
      <c r="E186" s="269" t="s">
        <v>5981</v>
      </c>
      <c r="F186" s="265" t="s">
        <v>379</v>
      </c>
      <c r="G186" s="265" t="s">
        <v>259</v>
      </c>
      <c r="H186" s="265" t="s">
        <v>262</v>
      </c>
      <c r="I186" s="299">
        <v>10</v>
      </c>
      <c r="R186" s="299">
        <v>1.33</v>
      </c>
      <c r="S186" s="299">
        <v>1.33</v>
      </c>
      <c r="U186" s="299">
        <v>7.34</v>
      </c>
    </row>
    <row r="187" spans="1:33">
      <c r="A187" t="s">
        <v>775</v>
      </c>
      <c r="B187" s="265" t="s">
        <v>392</v>
      </c>
      <c r="C187" s="265" t="s">
        <v>4559</v>
      </c>
      <c r="D187" s="265" t="s">
        <v>5982</v>
      </c>
      <c r="E187" s="269" t="s">
        <v>5983</v>
      </c>
      <c r="F187" s="265" t="s">
        <v>292</v>
      </c>
      <c r="G187" s="265" t="s">
        <v>268</v>
      </c>
      <c r="H187" s="265" t="s">
        <v>5984</v>
      </c>
      <c r="I187" s="299">
        <v>3.47</v>
      </c>
      <c r="AA187" s="299">
        <v>3.47</v>
      </c>
    </row>
    <row r="188" spans="1:33">
      <c r="A188" t="s">
        <v>775</v>
      </c>
      <c r="B188" s="265" t="s">
        <v>394</v>
      </c>
      <c r="C188" s="265" t="s">
        <v>4559</v>
      </c>
      <c r="D188" s="265" t="s">
        <v>5985</v>
      </c>
      <c r="E188" s="269" t="s">
        <v>5983</v>
      </c>
      <c r="F188" s="265" t="s">
        <v>292</v>
      </c>
      <c r="G188" s="265" t="s">
        <v>268</v>
      </c>
      <c r="H188" s="265" t="s">
        <v>5984</v>
      </c>
      <c r="I188" s="299">
        <v>3.47</v>
      </c>
      <c r="AA188" s="299">
        <v>3.47</v>
      </c>
    </row>
    <row r="189" spans="1:33">
      <c r="A189" t="s">
        <v>4358</v>
      </c>
      <c r="B189" s="265" t="s">
        <v>395</v>
      </c>
      <c r="C189" s="265" t="s">
        <v>4686</v>
      </c>
      <c r="D189" s="265" t="s">
        <v>5986</v>
      </c>
      <c r="E189" s="269" t="s">
        <v>5217</v>
      </c>
      <c r="F189" s="265" t="s">
        <v>335</v>
      </c>
      <c r="G189" s="265" t="s">
        <v>271</v>
      </c>
      <c r="H189" s="265" t="s">
        <v>5001</v>
      </c>
      <c r="I189" s="299">
        <v>1.92</v>
      </c>
      <c r="R189" s="299">
        <v>0.42</v>
      </c>
      <c r="U189" s="299">
        <v>1.25</v>
      </c>
      <c r="AD189" s="299">
        <v>0.25</v>
      </c>
    </row>
    <row r="190" spans="1:33">
      <c r="A190" t="s">
        <v>3381</v>
      </c>
      <c r="B190" s="265" t="s">
        <v>397</v>
      </c>
      <c r="C190" s="265" t="s">
        <v>4556</v>
      </c>
      <c r="D190" s="265" t="s">
        <v>5987</v>
      </c>
      <c r="E190" s="269" t="s">
        <v>5988</v>
      </c>
      <c r="F190" s="265" t="s">
        <v>292</v>
      </c>
      <c r="G190" s="265" t="s">
        <v>259</v>
      </c>
      <c r="H190" s="265" t="s">
        <v>511</v>
      </c>
      <c r="I190" s="299">
        <v>2.8</v>
      </c>
      <c r="R190" s="299">
        <v>0.8</v>
      </c>
      <c r="S190" s="299">
        <v>0.4</v>
      </c>
      <c r="U190" s="299">
        <v>1.6</v>
      </c>
    </row>
    <row r="191" spans="1:33">
      <c r="A191" t="s">
        <v>2962</v>
      </c>
      <c r="B191" s="265" t="s">
        <v>399</v>
      </c>
      <c r="C191" s="265" t="s">
        <v>4552</v>
      </c>
      <c r="D191" s="265" t="s">
        <v>5989</v>
      </c>
      <c r="E191" s="269" t="s">
        <v>5990</v>
      </c>
      <c r="F191" s="265" t="s">
        <v>296</v>
      </c>
      <c r="G191" s="265" t="s">
        <v>259</v>
      </c>
      <c r="H191" s="265" t="s">
        <v>262</v>
      </c>
      <c r="I191" s="299">
        <v>1.84</v>
      </c>
      <c r="R191" s="299">
        <v>0.17</v>
      </c>
      <c r="S191" s="299">
        <v>1</v>
      </c>
      <c r="U191" s="299">
        <v>0.67</v>
      </c>
    </row>
    <row r="192" spans="1:33">
      <c r="A192" t="s">
        <v>2970</v>
      </c>
      <c r="B192" s="265" t="s">
        <v>400</v>
      </c>
      <c r="C192" s="265" t="s">
        <v>4552</v>
      </c>
      <c r="D192" s="265" t="s">
        <v>5991</v>
      </c>
      <c r="E192" s="269" t="s">
        <v>5992</v>
      </c>
      <c r="F192" s="265" t="s">
        <v>296</v>
      </c>
      <c r="G192" s="265" t="s">
        <v>259</v>
      </c>
      <c r="H192" s="265" t="s">
        <v>262</v>
      </c>
      <c r="I192" s="299">
        <v>3.5</v>
      </c>
      <c r="R192" s="299">
        <v>0.17</v>
      </c>
      <c r="S192" s="299">
        <v>0.33</v>
      </c>
      <c r="U192" s="299">
        <v>3</v>
      </c>
    </row>
    <row r="193" spans="1:31">
      <c r="A193" t="s">
        <v>6168</v>
      </c>
      <c r="B193" s="265" t="s">
        <v>401</v>
      </c>
      <c r="C193" s="265"/>
      <c r="D193" s="265" t="s">
        <v>5993</v>
      </c>
      <c r="E193" s="269" t="s">
        <v>5922</v>
      </c>
      <c r="F193" s="265" t="s">
        <v>5994</v>
      </c>
      <c r="G193" s="265" t="s">
        <v>259</v>
      </c>
      <c r="H193" s="265" t="s">
        <v>5984</v>
      </c>
      <c r="I193" s="299">
        <v>50</v>
      </c>
      <c r="R193" s="299">
        <v>16.670000000000002</v>
      </c>
      <c r="S193" s="299">
        <v>33.33</v>
      </c>
    </row>
    <row r="194" spans="1:31">
      <c r="A194" t="s">
        <v>2216</v>
      </c>
      <c r="B194" s="265" t="s">
        <v>402</v>
      </c>
      <c r="C194" s="265" t="s">
        <v>4552</v>
      </c>
      <c r="D194" s="265" t="s">
        <v>5995</v>
      </c>
      <c r="E194" s="269" t="s">
        <v>4814</v>
      </c>
      <c r="F194" s="265" t="s">
        <v>292</v>
      </c>
      <c r="G194" s="265" t="s">
        <v>252</v>
      </c>
      <c r="H194" s="265" t="s">
        <v>518</v>
      </c>
      <c r="I194" s="299">
        <v>5.2</v>
      </c>
      <c r="K194" s="299">
        <v>2.67</v>
      </c>
      <c r="L194" s="299">
        <v>2.13</v>
      </c>
      <c r="M194" s="299">
        <v>0.4</v>
      </c>
    </row>
    <row r="195" spans="1:31">
      <c r="A195" t="s">
        <v>4275</v>
      </c>
      <c r="B195" s="265" t="s">
        <v>403</v>
      </c>
      <c r="C195" s="265" t="s">
        <v>4555</v>
      </c>
      <c r="D195" s="265" t="s">
        <v>5996</v>
      </c>
      <c r="E195" s="269" t="s">
        <v>5997</v>
      </c>
      <c r="F195" s="265" t="s">
        <v>66</v>
      </c>
      <c r="G195" s="265" t="s">
        <v>259</v>
      </c>
      <c r="H195" s="265" t="s">
        <v>509</v>
      </c>
      <c r="I195" s="299">
        <v>5</v>
      </c>
      <c r="R195" s="299">
        <v>3.33</v>
      </c>
      <c r="AA195" s="299">
        <v>1.67</v>
      </c>
    </row>
    <row r="196" spans="1:31">
      <c r="A196" t="s">
        <v>4406</v>
      </c>
      <c r="B196" s="265" t="s">
        <v>404</v>
      </c>
      <c r="C196" s="265" t="s">
        <v>4674</v>
      </c>
      <c r="D196" s="265" t="s">
        <v>5998</v>
      </c>
      <c r="E196" s="269" t="s">
        <v>5999</v>
      </c>
      <c r="F196" s="265" t="s">
        <v>66</v>
      </c>
      <c r="G196" s="265" t="s">
        <v>259</v>
      </c>
      <c r="H196" s="265" t="s">
        <v>531</v>
      </c>
      <c r="I196" s="299">
        <v>4.17</v>
      </c>
      <c r="R196" s="299">
        <v>0.83</v>
      </c>
      <c r="S196" s="299">
        <v>1.67</v>
      </c>
      <c r="U196" s="299">
        <v>1.67</v>
      </c>
    </row>
    <row r="197" spans="1:31">
      <c r="A197" t="s">
        <v>4432</v>
      </c>
      <c r="B197" s="265" t="s">
        <v>405</v>
      </c>
      <c r="C197" s="265" t="s">
        <v>79</v>
      </c>
      <c r="D197" s="265" t="s">
        <v>6000</v>
      </c>
      <c r="E197" s="269" t="s">
        <v>6001</v>
      </c>
      <c r="F197" s="265" t="s">
        <v>488</v>
      </c>
      <c r="G197" s="265" t="s">
        <v>259</v>
      </c>
      <c r="H197" s="265" t="s">
        <v>509</v>
      </c>
      <c r="I197" s="299">
        <v>5</v>
      </c>
      <c r="R197" s="299">
        <v>1.25</v>
      </c>
      <c r="S197" s="299">
        <v>1.25</v>
      </c>
      <c r="U197" s="299">
        <v>2.5</v>
      </c>
    </row>
    <row r="198" spans="1:31">
      <c r="A198" t="s">
        <v>4312</v>
      </c>
      <c r="B198" s="265" t="s">
        <v>406</v>
      </c>
      <c r="C198" s="265" t="s">
        <v>79</v>
      </c>
      <c r="D198" s="265" t="s">
        <v>6002</v>
      </c>
      <c r="E198" s="269" t="s">
        <v>6003</v>
      </c>
      <c r="F198" s="265" t="s">
        <v>335</v>
      </c>
      <c r="G198" s="265" t="s">
        <v>259</v>
      </c>
      <c r="H198" s="265" t="s">
        <v>509</v>
      </c>
      <c r="I198" s="299">
        <v>7.08</v>
      </c>
      <c r="R198" s="299">
        <v>0.42</v>
      </c>
      <c r="S198" s="299">
        <v>0.83</v>
      </c>
      <c r="U198" s="299">
        <v>2.5</v>
      </c>
      <c r="V198" s="299">
        <v>3.33</v>
      </c>
    </row>
    <row r="199" spans="1:31">
      <c r="A199" t="s">
        <v>4271</v>
      </c>
      <c r="B199" s="265" t="s">
        <v>66</v>
      </c>
      <c r="C199" s="265" t="s">
        <v>4634</v>
      </c>
      <c r="D199" s="265" t="s">
        <v>6004</v>
      </c>
      <c r="E199" s="269" t="s">
        <v>6005</v>
      </c>
      <c r="F199" s="265" t="s">
        <v>335</v>
      </c>
      <c r="G199" s="265" t="s">
        <v>251</v>
      </c>
      <c r="H199" s="265" t="s">
        <v>509</v>
      </c>
      <c r="I199" s="299">
        <v>42.91</v>
      </c>
      <c r="J199" s="299">
        <v>0.42</v>
      </c>
      <c r="K199" s="299">
        <v>3.33</v>
      </c>
      <c r="L199" s="299">
        <v>3.33</v>
      </c>
      <c r="M199" s="299">
        <v>6.66</v>
      </c>
      <c r="AE199" s="299">
        <v>29.17</v>
      </c>
    </row>
    <row r="200" spans="1:31">
      <c r="A200" t="s">
        <v>4380</v>
      </c>
      <c r="B200" s="265" t="s">
        <v>408</v>
      </c>
      <c r="C200" s="265" t="s">
        <v>4555</v>
      </c>
      <c r="D200" s="265" t="s">
        <v>6006</v>
      </c>
      <c r="E200" s="269" t="s">
        <v>6007</v>
      </c>
      <c r="F200" s="265" t="s">
        <v>335</v>
      </c>
      <c r="G200" s="265" t="s">
        <v>271</v>
      </c>
      <c r="H200" s="265" t="s">
        <v>531</v>
      </c>
      <c r="I200" s="299">
        <v>1.67</v>
      </c>
      <c r="R200" s="299">
        <v>0.42</v>
      </c>
      <c r="U200" s="299">
        <v>0.83</v>
      </c>
      <c r="AD200" s="299">
        <v>0.42</v>
      </c>
    </row>
    <row r="201" spans="1:31">
      <c r="A201" t="s">
        <v>4368</v>
      </c>
      <c r="B201" s="265" t="s">
        <v>409</v>
      </c>
      <c r="C201" s="265" t="s">
        <v>4696</v>
      </c>
      <c r="D201" s="265" t="s">
        <v>6008</v>
      </c>
      <c r="E201" s="269" t="s">
        <v>5266</v>
      </c>
      <c r="F201" s="265" t="s">
        <v>66</v>
      </c>
      <c r="G201" s="265" t="s">
        <v>271</v>
      </c>
      <c r="H201" s="265" t="s">
        <v>509</v>
      </c>
      <c r="I201" s="299">
        <v>3.83</v>
      </c>
      <c r="R201" s="299">
        <v>0.83</v>
      </c>
      <c r="U201" s="299">
        <v>2.5</v>
      </c>
      <c r="AD201" s="299">
        <v>0.5</v>
      </c>
    </row>
    <row r="202" spans="1:31">
      <c r="A202" t="s">
        <v>891</v>
      </c>
      <c r="B202" s="265" t="s">
        <v>410</v>
      </c>
      <c r="C202" s="265" t="s">
        <v>4598</v>
      </c>
      <c r="D202" s="265" t="s">
        <v>6009</v>
      </c>
      <c r="E202" s="269" t="s">
        <v>6010</v>
      </c>
      <c r="F202" s="265" t="s">
        <v>66</v>
      </c>
      <c r="G202" s="265" t="s">
        <v>268</v>
      </c>
      <c r="H202" s="265" t="s">
        <v>509</v>
      </c>
      <c r="I202" s="299">
        <v>3.33</v>
      </c>
      <c r="AA202" s="299">
        <v>3.33</v>
      </c>
    </row>
    <row r="203" spans="1:31">
      <c r="A203" t="s">
        <v>809</v>
      </c>
      <c r="B203" s="265" t="s">
        <v>411</v>
      </c>
      <c r="C203" s="265" t="s">
        <v>4559</v>
      </c>
      <c r="D203" s="265" t="s">
        <v>6011</v>
      </c>
      <c r="E203" s="269" t="s">
        <v>6012</v>
      </c>
      <c r="F203" s="265" t="s">
        <v>288</v>
      </c>
      <c r="G203" s="265" t="s">
        <v>272</v>
      </c>
      <c r="H203" s="265" t="s">
        <v>509</v>
      </c>
      <c r="I203" s="299">
        <v>4.1500000000000004</v>
      </c>
      <c r="K203" s="299">
        <v>0.4</v>
      </c>
      <c r="M203" s="299">
        <v>0.4</v>
      </c>
      <c r="U203" s="299">
        <v>0.8</v>
      </c>
      <c r="V203" s="299">
        <v>1.6</v>
      </c>
      <c r="W203" s="299">
        <v>0.2</v>
      </c>
      <c r="AE203" s="299">
        <v>0.75</v>
      </c>
    </row>
    <row r="204" spans="1:31">
      <c r="A204" t="s">
        <v>799</v>
      </c>
      <c r="B204" s="265" t="s">
        <v>412</v>
      </c>
      <c r="C204" s="265" t="s">
        <v>4559</v>
      </c>
      <c r="D204" s="265" t="s">
        <v>6013</v>
      </c>
      <c r="E204" s="269" t="s">
        <v>6014</v>
      </c>
      <c r="F204" s="265" t="s">
        <v>292</v>
      </c>
      <c r="G204" s="265" t="s">
        <v>268</v>
      </c>
      <c r="H204" s="265" t="s">
        <v>509</v>
      </c>
      <c r="I204" s="299">
        <v>3.2</v>
      </c>
      <c r="AA204" s="299">
        <v>3.2</v>
      </c>
    </row>
    <row r="205" spans="1:31">
      <c r="A205" t="s">
        <v>3982</v>
      </c>
      <c r="B205" s="265" t="s">
        <v>172</v>
      </c>
      <c r="C205" s="265" t="s">
        <v>4608</v>
      </c>
      <c r="D205" s="265" t="s">
        <v>6015</v>
      </c>
      <c r="E205" s="269" t="s">
        <v>6016</v>
      </c>
      <c r="F205" s="265" t="s">
        <v>316</v>
      </c>
      <c r="G205" s="265" t="s">
        <v>251</v>
      </c>
      <c r="H205" s="265" t="s">
        <v>509</v>
      </c>
      <c r="I205" s="299">
        <v>11.37</v>
      </c>
      <c r="J205" s="299">
        <v>0.03</v>
      </c>
      <c r="AA205" s="299">
        <v>4.67</v>
      </c>
      <c r="AE205" s="299">
        <v>6.67</v>
      </c>
    </row>
    <row r="206" spans="1:31">
      <c r="A206" t="s">
        <v>628</v>
      </c>
      <c r="B206" s="265" t="s">
        <v>414</v>
      </c>
      <c r="C206" s="265" t="s">
        <v>4558</v>
      </c>
      <c r="D206" s="265" t="s">
        <v>6017</v>
      </c>
      <c r="E206" s="269" t="s">
        <v>6018</v>
      </c>
      <c r="F206" s="265" t="s">
        <v>66</v>
      </c>
      <c r="G206" s="265" t="s">
        <v>259</v>
      </c>
      <c r="H206" s="265" t="s">
        <v>509</v>
      </c>
      <c r="I206" s="299">
        <v>10.83</v>
      </c>
      <c r="R206" s="299">
        <v>0.83</v>
      </c>
      <c r="S206" s="299">
        <v>3.33</v>
      </c>
      <c r="U206" s="299">
        <v>6.67</v>
      </c>
    </row>
    <row r="207" spans="1:31">
      <c r="A207" t="s">
        <v>2927</v>
      </c>
      <c r="B207" s="265" t="s">
        <v>415</v>
      </c>
      <c r="C207" s="265" t="s">
        <v>4558</v>
      </c>
      <c r="D207" s="265" t="s">
        <v>6019</v>
      </c>
      <c r="E207" s="269" t="s">
        <v>6020</v>
      </c>
      <c r="F207" s="265" t="s">
        <v>335</v>
      </c>
      <c r="G207" s="265" t="s">
        <v>271</v>
      </c>
      <c r="H207" s="265" t="s">
        <v>509</v>
      </c>
      <c r="I207" s="299">
        <v>4.59</v>
      </c>
      <c r="U207" s="299">
        <v>4.17</v>
      </c>
      <c r="AD207" s="299">
        <v>0.42</v>
      </c>
    </row>
    <row r="208" spans="1:31">
      <c r="A208" t="s">
        <v>2953</v>
      </c>
      <c r="B208" s="265" t="s">
        <v>417</v>
      </c>
      <c r="C208" s="265" t="s">
        <v>4552</v>
      </c>
      <c r="D208" s="265" t="s">
        <v>6021</v>
      </c>
      <c r="E208" s="269" t="s">
        <v>6022</v>
      </c>
      <c r="F208" s="265" t="s">
        <v>296</v>
      </c>
      <c r="G208" s="265" t="s">
        <v>259</v>
      </c>
      <c r="H208" s="265" t="s">
        <v>262</v>
      </c>
      <c r="I208" s="299">
        <v>1.84</v>
      </c>
      <c r="R208" s="299">
        <v>0.17</v>
      </c>
      <c r="S208" s="299">
        <v>1</v>
      </c>
      <c r="U208" s="299">
        <v>0.67</v>
      </c>
    </row>
    <row r="209" spans="1:33">
      <c r="A209" t="s">
        <v>3079</v>
      </c>
      <c r="B209" s="265" t="s">
        <v>419</v>
      </c>
      <c r="C209" s="265" t="s">
        <v>4612</v>
      </c>
      <c r="D209" s="265" t="s">
        <v>6023</v>
      </c>
      <c r="E209" s="269" t="s">
        <v>6024</v>
      </c>
      <c r="F209" s="265" t="s">
        <v>306</v>
      </c>
      <c r="G209" s="265" t="s">
        <v>271</v>
      </c>
      <c r="H209" s="265" t="s">
        <v>511</v>
      </c>
      <c r="I209" s="299">
        <v>0.63</v>
      </c>
      <c r="U209" s="299">
        <v>0.5</v>
      </c>
      <c r="AD209" s="299">
        <v>0.13</v>
      </c>
    </row>
    <row r="210" spans="1:33">
      <c r="A210" t="s">
        <v>4371</v>
      </c>
      <c r="B210" s="265" t="s">
        <v>420</v>
      </c>
      <c r="C210" s="265" t="s">
        <v>4698</v>
      </c>
      <c r="D210" s="265" t="s">
        <v>6025</v>
      </c>
      <c r="E210" s="269" t="s">
        <v>4910</v>
      </c>
      <c r="F210" s="265" t="s">
        <v>66</v>
      </c>
      <c r="G210" s="265" t="s">
        <v>271</v>
      </c>
      <c r="H210" s="265" t="s">
        <v>531</v>
      </c>
      <c r="I210" s="299">
        <v>3.83</v>
      </c>
      <c r="R210" s="299">
        <v>0.83</v>
      </c>
      <c r="U210" s="299">
        <v>2.5</v>
      </c>
      <c r="AD210" s="299">
        <v>0.5</v>
      </c>
    </row>
    <row r="211" spans="1:33">
      <c r="A211" t="s">
        <v>3434</v>
      </c>
      <c r="B211" s="265" t="s">
        <v>422</v>
      </c>
      <c r="C211" s="265" t="s">
        <v>4556</v>
      </c>
      <c r="D211" s="265" t="s">
        <v>6026</v>
      </c>
      <c r="E211" s="269" t="s">
        <v>6027</v>
      </c>
      <c r="F211" s="265" t="s">
        <v>292</v>
      </c>
      <c r="G211" s="265" t="s">
        <v>259</v>
      </c>
      <c r="H211" s="265" t="s">
        <v>511</v>
      </c>
      <c r="I211" s="299">
        <v>2.93</v>
      </c>
      <c r="R211" s="299">
        <v>0.93</v>
      </c>
      <c r="S211" s="299">
        <v>0.4</v>
      </c>
      <c r="U211" s="299">
        <v>1.6</v>
      </c>
    </row>
    <row r="212" spans="1:33">
      <c r="A212" t="s">
        <v>3433</v>
      </c>
      <c r="B212" s="265" t="s">
        <v>424</v>
      </c>
      <c r="C212" s="265" t="s">
        <v>4556</v>
      </c>
      <c r="D212" s="265" t="s">
        <v>6028</v>
      </c>
      <c r="E212" s="269" t="s">
        <v>5745</v>
      </c>
      <c r="F212" s="265" t="s">
        <v>292</v>
      </c>
      <c r="G212" s="265" t="s">
        <v>259</v>
      </c>
      <c r="H212" s="265" t="s">
        <v>511</v>
      </c>
      <c r="I212" s="299">
        <v>2.8</v>
      </c>
      <c r="R212" s="299">
        <v>1.07</v>
      </c>
      <c r="S212" s="299">
        <v>0.4</v>
      </c>
      <c r="U212" s="299">
        <v>1.33</v>
      </c>
    </row>
    <row r="213" spans="1:33">
      <c r="A213" t="s">
        <v>2961</v>
      </c>
      <c r="B213" s="265" t="s">
        <v>426</v>
      </c>
      <c r="C213" s="265" t="s">
        <v>4552</v>
      </c>
      <c r="D213" s="265" t="s">
        <v>6029</v>
      </c>
      <c r="E213" s="269" t="s">
        <v>6030</v>
      </c>
      <c r="F213" s="265" t="s">
        <v>296</v>
      </c>
      <c r="G213" s="265" t="s">
        <v>259</v>
      </c>
      <c r="H213" s="265" t="s">
        <v>511</v>
      </c>
      <c r="I213" s="299">
        <v>1.84</v>
      </c>
      <c r="R213" s="299">
        <v>0.17</v>
      </c>
      <c r="S213" s="299">
        <v>1</v>
      </c>
      <c r="U213" s="299">
        <v>0.67</v>
      </c>
    </row>
    <row r="214" spans="1:33">
      <c r="A214" t="s">
        <v>3098</v>
      </c>
      <c r="B214" s="265" t="s">
        <v>428</v>
      </c>
      <c r="C214" s="265" t="s">
        <v>4556</v>
      </c>
      <c r="D214" s="265" t="s">
        <v>6031</v>
      </c>
      <c r="E214" s="269" t="s">
        <v>6032</v>
      </c>
      <c r="F214" s="265" t="s">
        <v>331</v>
      </c>
      <c r="G214" s="265" t="s">
        <v>259</v>
      </c>
      <c r="H214" s="265" t="s">
        <v>511</v>
      </c>
      <c r="I214" s="299">
        <v>4.8</v>
      </c>
      <c r="R214" s="299">
        <v>0.4</v>
      </c>
      <c r="S214" s="299">
        <v>1.2</v>
      </c>
      <c r="U214" s="299">
        <v>3.2</v>
      </c>
    </row>
    <row r="215" spans="1:33">
      <c r="A215" t="s">
        <v>3101</v>
      </c>
      <c r="B215" s="265" t="s">
        <v>430</v>
      </c>
      <c r="C215" s="265" t="s">
        <v>4556</v>
      </c>
      <c r="D215" s="265" t="s">
        <v>6033</v>
      </c>
      <c r="E215" s="269" t="s">
        <v>6034</v>
      </c>
      <c r="F215" s="265" t="s">
        <v>312</v>
      </c>
      <c r="G215" s="265" t="s">
        <v>259</v>
      </c>
      <c r="H215" s="265" t="s">
        <v>511</v>
      </c>
      <c r="I215" s="299">
        <v>3.6</v>
      </c>
      <c r="R215" s="299">
        <v>0.3</v>
      </c>
      <c r="S215" s="299">
        <v>0.9</v>
      </c>
      <c r="U215" s="299">
        <v>2.4</v>
      </c>
    </row>
    <row r="216" spans="1:33">
      <c r="A216" t="s">
        <v>4436</v>
      </c>
      <c r="B216" s="265" t="s">
        <v>432</v>
      </c>
      <c r="C216" s="265" t="s">
        <v>4728</v>
      </c>
      <c r="D216" s="265" t="s">
        <v>6035</v>
      </c>
      <c r="E216" s="269" t="s">
        <v>5657</v>
      </c>
      <c r="F216" s="265" t="s">
        <v>70</v>
      </c>
      <c r="G216" s="265" t="s">
        <v>270</v>
      </c>
      <c r="H216" s="265" t="s">
        <v>523</v>
      </c>
      <c r="I216" s="299">
        <v>83.34</v>
      </c>
      <c r="AA216" s="299">
        <v>66.67</v>
      </c>
      <c r="AC216" s="299">
        <v>16.670000000000002</v>
      </c>
    </row>
    <row r="217" spans="1:33">
      <c r="A217" t="s">
        <v>4166</v>
      </c>
      <c r="B217" s="265" t="s">
        <v>171</v>
      </c>
      <c r="C217" s="265" t="s">
        <v>4642</v>
      </c>
      <c r="D217" s="265" t="s">
        <v>6036</v>
      </c>
      <c r="E217" s="269" t="s">
        <v>5674</v>
      </c>
      <c r="F217" s="265" t="s">
        <v>550</v>
      </c>
      <c r="G217" s="265" t="s">
        <v>272</v>
      </c>
      <c r="H217" s="265" t="s">
        <v>509</v>
      </c>
      <c r="I217" s="299">
        <v>108.34</v>
      </c>
      <c r="K217" s="299">
        <v>4.17</v>
      </c>
      <c r="U217" s="299">
        <v>91.67</v>
      </c>
      <c r="AE217" s="299">
        <v>12.5</v>
      </c>
    </row>
    <row r="218" spans="1:33">
      <c r="A218" t="s">
        <v>4306</v>
      </c>
      <c r="B218" s="265" t="s">
        <v>434</v>
      </c>
      <c r="C218" s="265" t="s">
        <v>4603</v>
      </c>
      <c r="D218" s="265" t="s">
        <v>6037</v>
      </c>
      <c r="E218" s="269" t="s">
        <v>6038</v>
      </c>
      <c r="F218" s="265" t="s">
        <v>335</v>
      </c>
      <c r="G218" s="265" t="s">
        <v>274</v>
      </c>
      <c r="H218" s="265" t="s">
        <v>509</v>
      </c>
      <c r="I218" s="299">
        <v>6.66</v>
      </c>
      <c r="K218" s="299">
        <v>0.83</v>
      </c>
      <c r="M218" s="299">
        <v>1.25</v>
      </c>
      <c r="U218" s="299">
        <v>3.33</v>
      </c>
      <c r="AG218" s="299">
        <v>1.25</v>
      </c>
    </row>
    <row r="219" spans="1:33">
      <c r="A219" t="s">
        <v>3820</v>
      </c>
      <c r="B219" s="265" t="s">
        <v>436</v>
      </c>
      <c r="C219" s="265" t="s">
        <v>4556</v>
      </c>
      <c r="D219" s="265" t="s">
        <v>6039</v>
      </c>
      <c r="E219" s="269" t="s">
        <v>6040</v>
      </c>
      <c r="F219" s="265" t="s">
        <v>6041</v>
      </c>
      <c r="G219" s="265" t="s">
        <v>271</v>
      </c>
      <c r="H219" s="265" t="s">
        <v>511</v>
      </c>
      <c r="I219" s="299">
        <v>11.38</v>
      </c>
      <c r="U219" s="299">
        <v>2.92</v>
      </c>
      <c r="W219" s="299">
        <v>5.83</v>
      </c>
      <c r="AD219" s="299">
        <v>2.63</v>
      </c>
    </row>
    <row r="220" spans="1:33">
      <c r="A220" t="s">
        <v>3428</v>
      </c>
      <c r="B220" s="265" t="s">
        <v>438</v>
      </c>
      <c r="C220" s="265" t="s">
        <v>4556</v>
      </c>
      <c r="D220" s="265" t="s">
        <v>6042</v>
      </c>
      <c r="E220" s="269" t="s">
        <v>6043</v>
      </c>
      <c r="F220" s="265" t="s">
        <v>308</v>
      </c>
      <c r="G220" s="265" t="s">
        <v>259</v>
      </c>
      <c r="H220" s="265" t="s">
        <v>511</v>
      </c>
      <c r="I220" s="299">
        <v>5.87</v>
      </c>
      <c r="R220" s="299">
        <v>1.87</v>
      </c>
      <c r="S220" s="299">
        <v>0.8</v>
      </c>
      <c r="U220" s="299">
        <v>3.2</v>
      </c>
    </row>
    <row r="221" spans="1:33">
      <c r="A221" t="s">
        <v>3429</v>
      </c>
      <c r="B221" s="265" t="s">
        <v>440</v>
      </c>
      <c r="C221" s="265" t="s">
        <v>4556</v>
      </c>
      <c r="D221" s="265" t="s">
        <v>6044</v>
      </c>
      <c r="E221" s="269" t="s">
        <v>6045</v>
      </c>
      <c r="F221" s="265" t="s">
        <v>308</v>
      </c>
      <c r="G221" s="265" t="s">
        <v>259</v>
      </c>
      <c r="H221" s="265" t="s">
        <v>511</v>
      </c>
      <c r="I221" s="299">
        <v>6.13</v>
      </c>
      <c r="R221" s="299">
        <v>2.13</v>
      </c>
      <c r="S221" s="299">
        <v>0.8</v>
      </c>
      <c r="U221" s="299">
        <v>3.2</v>
      </c>
    </row>
    <row r="222" spans="1:33">
      <c r="A222" t="s">
        <v>3379</v>
      </c>
      <c r="B222" s="265" t="s">
        <v>442</v>
      </c>
      <c r="C222" s="265" t="s">
        <v>4556</v>
      </c>
      <c r="D222" s="265" t="s">
        <v>6046</v>
      </c>
      <c r="E222" s="269" t="s">
        <v>5748</v>
      </c>
      <c r="F222" s="265" t="s">
        <v>292</v>
      </c>
      <c r="G222" s="265" t="s">
        <v>259</v>
      </c>
      <c r="H222" s="265" t="s">
        <v>511</v>
      </c>
      <c r="I222" s="299">
        <v>2.66</v>
      </c>
      <c r="R222" s="299">
        <v>0.66</v>
      </c>
      <c r="S222" s="299">
        <v>0.4</v>
      </c>
      <c r="U222" s="299">
        <v>1.6</v>
      </c>
    </row>
    <row r="223" spans="1:33">
      <c r="A223" t="s">
        <v>4270</v>
      </c>
      <c r="B223" s="265" t="s">
        <v>443</v>
      </c>
      <c r="C223" s="265" t="s">
        <v>96</v>
      </c>
      <c r="D223" s="265" t="s">
        <v>6047</v>
      </c>
      <c r="E223" s="269" t="s">
        <v>6048</v>
      </c>
      <c r="F223" s="265" t="s">
        <v>296</v>
      </c>
      <c r="G223" s="265" t="s">
        <v>251</v>
      </c>
      <c r="H223" s="265" t="s">
        <v>509</v>
      </c>
      <c r="I223" s="299">
        <v>4.5</v>
      </c>
      <c r="J223" s="299">
        <v>0.17</v>
      </c>
      <c r="K223" s="299">
        <v>4</v>
      </c>
      <c r="R223" s="299">
        <v>0.33</v>
      </c>
    </row>
    <row r="224" spans="1:33">
      <c r="A224" t="s">
        <v>619</v>
      </c>
      <c r="B224" s="265" t="s">
        <v>444</v>
      </c>
      <c r="C224" s="265" t="s">
        <v>4564</v>
      </c>
      <c r="D224" s="265" t="s">
        <v>6049</v>
      </c>
      <c r="E224" s="269" t="s">
        <v>6050</v>
      </c>
      <c r="F224" s="265" t="s">
        <v>296</v>
      </c>
      <c r="G224" s="265" t="s">
        <v>268</v>
      </c>
      <c r="H224" s="265" t="s">
        <v>531</v>
      </c>
      <c r="I224" s="299">
        <v>1.83</v>
      </c>
      <c r="AA224" s="299">
        <v>1.83</v>
      </c>
    </row>
    <row r="225" spans="1:33">
      <c r="A225" t="s">
        <v>619</v>
      </c>
      <c r="B225" s="265" t="s">
        <v>446</v>
      </c>
      <c r="C225" s="265" t="s">
        <v>4564</v>
      </c>
      <c r="D225" s="265" t="s">
        <v>6051</v>
      </c>
      <c r="E225" s="269" t="s">
        <v>6050</v>
      </c>
      <c r="F225" s="265" t="s">
        <v>296</v>
      </c>
      <c r="G225" s="265" t="s">
        <v>268</v>
      </c>
      <c r="H225" s="265" t="s">
        <v>531</v>
      </c>
      <c r="I225" s="299">
        <v>1.83</v>
      </c>
      <c r="AA225" s="299">
        <v>1.83</v>
      </c>
    </row>
    <row r="226" spans="1:33">
      <c r="A226" t="s">
        <v>6185</v>
      </c>
      <c r="B226" s="265" t="s">
        <v>447</v>
      </c>
      <c r="C226" s="265"/>
      <c r="D226" s="265" t="s">
        <v>6052</v>
      </c>
      <c r="E226" s="269" t="s">
        <v>6053</v>
      </c>
      <c r="F226" s="265" t="s">
        <v>300</v>
      </c>
      <c r="G226" s="265" t="s">
        <v>272</v>
      </c>
      <c r="H226" s="265" t="s">
        <v>509</v>
      </c>
      <c r="I226" s="299">
        <v>2.84</v>
      </c>
      <c r="M226" s="299">
        <v>0.4</v>
      </c>
      <c r="AE226" s="299">
        <v>2.44</v>
      </c>
    </row>
    <row r="227" spans="1:33">
      <c r="A227" t="s">
        <v>4332</v>
      </c>
      <c r="B227" s="265" t="s">
        <v>448</v>
      </c>
      <c r="C227" s="265" t="s">
        <v>4634</v>
      </c>
      <c r="D227" s="265" t="s">
        <v>6054</v>
      </c>
      <c r="E227" s="269" t="s">
        <v>6055</v>
      </c>
      <c r="F227" s="265" t="s">
        <v>335</v>
      </c>
      <c r="G227" s="265" t="s">
        <v>272</v>
      </c>
      <c r="H227" s="265" t="s">
        <v>509</v>
      </c>
      <c r="I227" s="299">
        <v>5.42</v>
      </c>
      <c r="K227" s="299">
        <v>0.42</v>
      </c>
      <c r="M227" s="299">
        <v>1.67</v>
      </c>
      <c r="AE227" s="299">
        <v>3.33</v>
      </c>
    </row>
    <row r="228" spans="1:33">
      <c r="A228" t="s">
        <v>4177</v>
      </c>
      <c r="B228" s="265" t="s">
        <v>449</v>
      </c>
      <c r="C228" s="265" t="s">
        <v>4634</v>
      </c>
      <c r="D228" s="265" t="s">
        <v>6056</v>
      </c>
      <c r="E228" s="269" t="s">
        <v>6057</v>
      </c>
      <c r="F228" s="265" t="s">
        <v>360</v>
      </c>
      <c r="G228" s="265" t="s">
        <v>251</v>
      </c>
      <c r="H228" s="265" t="s">
        <v>509</v>
      </c>
      <c r="I228" s="299">
        <v>19.07</v>
      </c>
      <c r="J228" s="299">
        <v>1.75</v>
      </c>
      <c r="M228" s="299">
        <v>4.67</v>
      </c>
      <c r="AE228" s="299">
        <v>12.65</v>
      </c>
    </row>
    <row r="229" spans="1:33">
      <c r="A229" t="s">
        <v>4469</v>
      </c>
      <c r="B229" s="265" t="s">
        <v>450</v>
      </c>
      <c r="C229" s="265" t="s">
        <v>4634</v>
      </c>
      <c r="D229" s="265" t="s">
        <v>6058</v>
      </c>
      <c r="E229" s="269" t="s">
        <v>6059</v>
      </c>
      <c r="F229" s="265" t="s">
        <v>360</v>
      </c>
      <c r="G229" s="265" t="s">
        <v>251</v>
      </c>
      <c r="H229" s="265" t="s">
        <v>509</v>
      </c>
      <c r="I229" s="299">
        <v>19.38</v>
      </c>
      <c r="J229" s="299">
        <v>1.75</v>
      </c>
      <c r="K229" s="299">
        <v>1.17</v>
      </c>
      <c r="M229" s="299">
        <v>12.84</v>
      </c>
      <c r="AE229" s="299">
        <v>3.62</v>
      </c>
    </row>
    <row r="230" spans="1:33">
      <c r="A230" t="s">
        <v>4112</v>
      </c>
      <c r="B230" s="265" t="s">
        <v>452</v>
      </c>
      <c r="C230" s="265" t="s">
        <v>4619</v>
      </c>
      <c r="D230" s="265" t="s">
        <v>6060</v>
      </c>
      <c r="E230" s="269" t="s">
        <v>5078</v>
      </c>
      <c r="F230" s="265" t="s">
        <v>335</v>
      </c>
      <c r="G230" s="265" t="s">
        <v>271</v>
      </c>
      <c r="H230" s="265" t="s">
        <v>509</v>
      </c>
      <c r="I230" s="299">
        <v>3.98</v>
      </c>
      <c r="R230" s="299">
        <v>0.42</v>
      </c>
      <c r="U230" s="299">
        <v>1.67</v>
      </c>
      <c r="AD230" s="299">
        <v>1.89</v>
      </c>
    </row>
    <row r="231" spans="1:33">
      <c r="A231" t="s">
        <v>4264</v>
      </c>
      <c r="B231" s="265" t="s">
        <v>454</v>
      </c>
      <c r="C231" s="265" t="s">
        <v>96</v>
      </c>
      <c r="D231" s="265" t="s">
        <v>6061</v>
      </c>
      <c r="E231" s="269" t="s">
        <v>6062</v>
      </c>
      <c r="F231" s="265" t="s">
        <v>6041</v>
      </c>
      <c r="G231" s="265" t="s">
        <v>271</v>
      </c>
      <c r="H231" s="265" t="s">
        <v>509</v>
      </c>
      <c r="I231" s="299">
        <v>54.26</v>
      </c>
      <c r="R231" s="299">
        <v>2.92</v>
      </c>
      <c r="U231" s="299">
        <v>46.67</v>
      </c>
      <c r="AD231" s="299">
        <v>4.67</v>
      </c>
    </row>
    <row r="232" spans="1:33">
      <c r="A232" t="s">
        <v>4374</v>
      </c>
      <c r="B232" s="265" t="s">
        <v>456</v>
      </c>
      <c r="C232" s="265" t="s">
        <v>4699</v>
      </c>
      <c r="D232" s="265" t="s">
        <v>6063</v>
      </c>
      <c r="E232" s="269" t="s">
        <v>6064</v>
      </c>
      <c r="F232" s="265" t="s">
        <v>66</v>
      </c>
      <c r="G232" s="265" t="s">
        <v>271</v>
      </c>
      <c r="H232" s="265" t="s">
        <v>531</v>
      </c>
      <c r="I232" s="299">
        <v>3.83</v>
      </c>
      <c r="R232" s="299">
        <v>0.83</v>
      </c>
      <c r="U232" s="299">
        <v>2.5</v>
      </c>
      <c r="AD232" s="299">
        <v>0.5</v>
      </c>
    </row>
    <row r="233" spans="1:33">
      <c r="A233" t="s">
        <v>4271</v>
      </c>
      <c r="B233" s="265" t="s">
        <v>458</v>
      </c>
      <c r="C233" s="265" t="s">
        <v>4634</v>
      </c>
      <c r="D233" s="265" t="s">
        <v>6065</v>
      </c>
      <c r="E233" s="269" t="s">
        <v>6005</v>
      </c>
      <c r="F233" s="265" t="s">
        <v>335</v>
      </c>
      <c r="G233" s="265" t="s">
        <v>251</v>
      </c>
      <c r="H233" s="265" t="s">
        <v>509</v>
      </c>
      <c r="I233" s="299">
        <v>42.91</v>
      </c>
      <c r="J233" s="299">
        <v>0.42</v>
      </c>
      <c r="K233" s="299">
        <v>3.33</v>
      </c>
      <c r="L233" s="299">
        <v>3.33</v>
      </c>
      <c r="M233" s="299">
        <v>6.66</v>
      </c>
      <c r="AE233" s="299">
        <v>29.17</v>
      </c>
    </row>
    <row r="234" spans="1:33">
      <c r="A234" t="s">
        <v>4489</v>
      </c>
      <c r="B234" s="265" t="s">
        <v>460</v>
      </c>
      <c r="C234" s="265" t="s">
        <v>4753</v>
      </c>
      <c r="D234" s="265" t="s">
        <v>6066</v>
      </c>
      <c r="E234" s="269" t="s">
        <v>5951</v>
      </c>
      <c r="F234" s="265" t="s">
        <v>5952</v>
      </c>
      <c r="G234" s="265" t="s">
        <v>274</v>
      </c>
      <c r="H234" s="265" t="s">
        <v>258</v>
      </c>
      <c r="I234" s="299">
        <v>153.6</v>
      </c>
      <c r="K234" s="299">
        <v>57.6</v>
      </c>
      <c r="AG234" s="299">
        <v>96</v>
      </c>
    </row>
    <row r="235" spans="1:33">
      <c r="A235" t="s">
        <v>2227</v>
      </c>
      <c r="B235" s="265" t="s">
        <v>462</v>
      </c>
      <c r="C235" s="265" t="s">
        <v>4556</v>
      </c>
      <c r="D235" s="265" t="s">
        <v>6067</v>
      </c>
      <c r="E235" s="269" t="s">
        <v>6068</v>
      </c>
      <c r="F235" s="265" t="s">
        <v>360</v>
      </c>
      <c r="G235" s="265" t="s">
        <v>274</v>
      </c>
      <c r="H235" s="265" t="s">
        <v>511</v>
      </c>
      <c r="I235" s="299">
        <v>3.85</v>
      </c>
      <c r="K235" s="299">
        <v>1.75</v>
      </c>
      <c r="M235" s="299">
        <v>0.57999999999999996</v>
      </c>
      <c r="AG235" s="299">
        <v>1.52</v>
      </c>
    </row>
    <row r="236" spans="1:33">
      <c r="A236" t="s">
        <v>3005</v>
      </c>
      <c r="B236" s="265" t="s">
        <v>464</v>
      </c>
      <c r="C236" s="265" t="s">
        <v>4556</v>
      </c>
      <c r="D236" s="265" t="s">
        <v>6069</v>
      </c>
      <c r="E236" s="269" t="s">
        <v>6070</v>
      </c>
      <c r="F236" s="265" t="s">
        <v>363</v>
      </c>
      <c r="G236" s="265" t="s">
        <v>271</v>
      </c>
      <c r="H236" s="265" t="s">
        <v>511</v>
      </c>
      <c r="I236" s="299">
        <v>3</v>
      </c>
      <c r="U236" s="299">
        <v>2.4</v>
      </c>
      <c r="AD236" s="299">
        <v>0.6</v>
      </c>
    </row>
    <row r="237" spans="1:33">
      <c r="A237" t="s">
        <v>2711</v>
      </c>
      <c r="B237" s="265" t="s">
        <v>466</v>
      </c>
      <c r="C237" s="265" t="s">
        <v>4552</v>
      </c>
      <c r="D237" s="265" t="s">
        <v>6071</v>
      </c>
      <c r="E237" s="269" t="s">
        <v>6072</v>
      </c>
      <c r="F237" s="265" t="s">
        <v>312</v>
      </c>
      <c r="G237" s="265" t="s">
        <v>259</v>
      </c>
      <c r="H237" s="265" t="s">
        <v>518</v>
      </c>
      <c r="I237" s="299">
        <v>14.7</v>
      </c>
      <c r="R237" s="299">
        <v>0.3</v>
      </c>
      <c r="S237" s="299">
        <v>1.2</v>
      </c>
      <c r="U237" s="299">
        <v>13.2</v>
      </c>
    </row>
    <row r="238" spans="1:33">
      <c r="A238" t="s">
        <v>2242</v>
      </c>
      <c r="B238" s="265" t="s">
        <v>468</v>
      </c>
      <c r="C238" s="265" t="s">
        <v>4556</v>
      </c>
      <c r="D238" s="265" t="s">
        <v>6073</v>
      </c>
      <c r="E238" s="269" t="s">
        <v>5938</v>
      </c>
      <c r="F238" s="265" t="s">
        <v>316</v>
      </c>
      <c r="G238" s="265" t="s">
        <v>251</v>
      </c>
      <c r="H238" s="265" t="s">
        <v>518</v>
      </c>
      <c r="I238" s="299">
        <v>24.7</v>
      </c>
      <c r="J238" s="299">
        <v>0.67</v>
      </c>
      <c r="M238" s="299">
        <v>10.029999999999999</v>
      </c>
      <c r="AE238" s="299">
        <v>14</v>
      </c>
    </row>
    <row r="239" spans="1:33">
      <c r="A239" t="s">
        <v>4467</v>
      </c>
      <c r="B239" s="265" t="s">
        <v>470</v>
      </c>
      <c r="C239" s="265" t="s">
        <v>4557</v>
      </c>
      <c r="D239" s="265" t="s">
        <v>6074</v>
      </c>
      <c r="E239" s="269" t="s">
        <v>6075</v>
      </c>
      <c r="F239" s="265" t="s">
        <v>335</v>
      </c>
      <c r="G239" s="265" t="s">
        <v>259</v>
      </c>
      <c r="H239" s="265" t="s">
        <v>509</v>
      </c>
      <c r="I239" s="299">
        <v>3.34</v>
      </c>
      <c r="R239" s="299">
        <v>0.42</v>
      </c>
      <c r="S239" s="299">
        <v>1.25</v>
      </c>
      <c r="U239" s="299">
        <v>1.67</v>
      </c>
    </row>
    <row r="240" spans="1:33">
      <c r="A240" t="s">
        <v>4468</v>
      </c>
      <c r="B240" s="265" t="s">
        <v>472</v>
      </c>
      <c r="C240" s="265" t="s">
        <v>4557</v>
      </c>
      <c r="D240" s="265" t="s">
        <v>6076</v>
      </c>
      <c r="E240" s="269" t="s">
        <v>6077</v>
      </c>
      <c r="F240" s="265" t="s">
        <v>335</v>
      </c>
      <c r="G240" s="265" t="s">
        <v>259</v>
      </c>
      <c r="H240" s="265" t="s">
        <v>509</v>
      </c>
      <c r="I240" s="299">
        <v>3.34</v>
      </c>
      <c r="R240" s="299">
        <v>0.42</v>
      </c>
      <c r="S240" s="299">
        <v>1.25</v>
      </c>
      <c r="U240" s="299">
        <v>1.67</v>
      </c>
    </row>
    <row r="241" spans="1:33">
      <c r="A241" t="s">
        <v>4178</v>
      </c>
      <c r="B241" s="265" t="s">
        <v>474</v>
      </c>
      <c r="C241" s="265" t="s">
        <v>4603</v>
      </c>
      <c r="D241" s="265" t="s">
        <v>6078</v>
      </c>
      <c r="E241" s="269" t="s">
        <v>6079</v>
      </c>
      <c r="F241" s="265" t="s">
        <v>335</v>
      </c>
      <c r="G241" s="265" t="s">
        <v>272</v>
      </c>
      <c r="H241" s="265" t="s">
        <v>509</v>
      </c>
      <c r="I241" s="299">
        <v>26.67</v>
      </c>
      <c r="K241" s="299">
        <v>12.5</v>
      </c>
      <c r="L241" s="299">
        <v>8.33</v>
      </c>
      <c r="M241" s="299">
        <v>1.67</v>
      </c>
      <c r="AE241" s="299">
        <v>4.17</v>
      </c>
    </row>
    <row r="242" spans="1:33">
      <c r="A242" t="s">
        <v>4287</v>
      </c>
      <c r="B242" s="265" t="s">
        <v>476</v>
      </c>
      <c r="C242" s="265" t="s">
        <v>4638</v>
      </c>
      <c r="D242" s="265" t="s">
        <v>6080</v>
      </c>
      <c r="E242" s="269" t="s">
        <v>6081</v>
      </c>
      <c r="F242" s="265" t="s">
        <v>335</v>
      </c>
      <c r="G242" s="265" t="s">
        <v>272</v>
      </c>
      <c r="H242" s="265" t="s">
        <v>509</v>
      </c>
      <c r="I242" s="299">
        <v>12</v>
      </c>
      <c r="K242" s="299">
        <v>3.33</v>
      </c>
      <c r="M242" s="299">
        <v>1.67</v>
      </c>
      <c r="AE242" s="299">
        <v>7</v>
      </c>
    </row>
    <row r="243" spans="1:33">
      <c r="A243" t="s">
        <v>4139</v>
      </c>
      <c r="B243" s="265" t="s">
        <v>478</v>
      </c>
      <c r="C243" s="265" t="s">
        <v>4557</v>
      </c>
      <c r="D243" s="265" t="s">
        <v>6082</v>
      </c>
      <c r="E243" s="269" t="s">
        <v>6083</v>
      </c>
      <c r="F243" s="265" t="s">
        <v>335</v>
      </c>
      <c r="G243" s="265" t="s">
        <v>268</v>
      </c>
      <c r="H243" s="265" t="s">
        <v>509</v>
      </c>
      <c r="I243" s="299">
        <v>14.17</v>
      </c>
      <c r="AA243" s="299">
        <v>14.17</v>
      </c>
    </row>
    <row r="244" spans="1:33">
      <c r="A244" t="s">
        <v>4300</v>
      </c>
      <c r="B244" s="265" t="s">
        <v>480</v>
      </c>
      <c r="C244" s="265" t="s">
        <v>4557</v>
      </c>
      <c r="D244" s="265" t="s">
        <v>6084</v>
      </c>
      <c r="E244" s="269" t="s">
        <v>6085</v>
      </c>
      <c r="F244" s="265" t="s">
        <v>306</v>
      </c>
      <c r="G244" s="265" t="s">
        <v>272</v>
      </c>
      <c r="H244" s="265" t="s">
        <v>509</v>
      </c>
      <c r="I244" s="299">
        <v>4</v>
      </c>
      <c r="AA244" s="299">
        <v>2.5</v>
      </c>
      <c r="AE244" s="299">
        <v>1.5</v>
      </c>
    </row>
    <row r="245" spans="1:33">
      <c r="A245" t="s">
        <v>4293</v>
      </c>
      <c r="B245" s="265" t="s">
        <v>482</v>
      </c>
      <c r="C245" s="265" t="s">
        <v>4557</v>
      </c>
      <c r="D245" s="265" t="s">
        <v>6086</v>
      </c>
      <c r="E245" s="269" t="s">
        <v>6087</v>
      </c>
      <c r="F245" s="265" t="s">
        <v>66</v>
      </c>
      <c r="G245" s="265" t="s">
        <v>271</v>
      </c>
      <c r="H245" s="265" t="s">
        <v>523</v>
      </c>
      <c r="I245" s="299">
        <v>6.67</v>
      </c>
      <c r="R245" s="299">
        <v>1.67</v>
      </c>
      <c r="U245" s="299">
        <v>3.33</v>
      </c>
      <c r="AD245" s="299">
        <v>1.67</v>
      </c>
    </row>
    <row r="246" spans="1:33">
      <c r="A246" t="s">
        <v>4368</v>
      </c>
      <c r="B246" s="265" t="s">
        <v>484</v>
      </c>
      <c r="C246" s="265" t="s">
        <v>4696</v>
      </c>
      <c r="D246" s="265" t="s">
        <v>6088</v>
      </c>
      <c r="E246" s="269" t="s">
        <v>5266</v>
      </c>
      <c r="F246" s="265" t="s">
        <v>66</v>
      </c>
      <c r="G246" s="265" t="s">
        <v>271</v>
      </c>
      <c r="H246" s="265" t="s">
        <v>509</v>
      </c>
      <c r="I246" s="299">
        <v>3.83</v>
      </c>
      <c r="R246" s="299">
        <v>0.83</v>
      </c>
      <c r="U246" s="299">
        <v>2.5</v>
      </c>
      <c r="AD246" s="299">
        <v>0.5</v>
      </c>
    </row>
    <row r="247" spans="1:33">
      <c r="A247" t="s">
        <v>4324</v>
      </c>
      <c r="B247" s="265" t="s">
        <v>485</v>
      </c>
      <c r="C247" s="265" t="s">
        <v>4557</v>
      </c>
      <c r="D247" s="265" t="s">
        <v>6089</v>
      </c>
      <c r="E247" s="269" t="s">
        <v>6090</v>
      </c>
      <c r="F247" s="265" t="s">
        <v>379</v>
      </c>
      <c r="G247" s="265" t="s">
        <v>259</v>
      </c>
      <c r="H247" s="265" t="s">
        <v>520</v>
      </c>
      <c r="I247" s="299">
        <v>5.34</v>
      </c>
      <c r="R247" s="299">
        <v>0.67</v>
      </c>
      <c r="S247" s="299">
        <v>2</v>
      </c>
      <c r="U247" s="299">
        <v>2.67</v>
      </c>
    </row>
    <row r="248" spans="1:33">
      <c r="A248" t="s">
        <v>4324</v>
      </c>
      <c r="B248" s="265" t="s">
        <v>486</v>
      </c>
      <c r="C248" s="265" t="s">
        <v>4557</v>
      </c>
      <c r="D248" s="265" t="s">
        <v>6091</v>
      </c>
      <c r="E248" s="269" t="s">
        <v>6090</v>
      </c>
      <c r="F248" s="265" t="s">
        <v>379</v>
      </c>
      <c r="G248" s="265" t="s">
        <v>259</v>
      </c>
      <c r="H248" s="265" t="s">
        <v>520</v>
      </c>
      <c r="I248" s="299">
        <v>5.34</v>
      </c>
      <c r="R248" s="299">
        <v>0.67</v>
      </c>
      <c r="S248" s="299">
        <v>2</v>
      </c>
      <c r="U248" s="299">
        <v>2.67</v>
      </c>
    </row>
    <row r="249" spans="1:33">
      <c r="A249" t="s">
        <v>4309</v>
      </c>
      <c r="B249" s="265" t="s">
        <v>488</v>
      </c>
      <c r="C249" s="265" t="s">
        <v>4637</v>
      </c>
      <c r="D249" s="265" t="s">
        <v>6092</v>
      </c>
      <c r="E249" s="269" t="s">
        <v>6093</v>
      </c>
      <c r="F249" s="265" t="s">
        <v>67</v>
      </c>
      <c r="G249" s="265" t="s">
        <v>272</v>
      </c>
      <c r="H249" s="265" t="s">
        <v>520</v>
      </c>
      <c r="I249" s="299">
        <v>31.67</v>
      </c>
      <c r="L249" s="299">
        <v>10</v>
      </c>
      <c r="M249" s="299">
        <v>6.67</v>
      </c>
      <c r="AE249" s="299">
        <v>15</v>
      </c>
    </row>
    <row r="250" spans="1:33">
      <c r="A250" t="s">
        <v>6188</v>
      </c>
      <c r="B250" s="265" t="s">
        <v>490</v>
      </c>
      <c r="C250" s="265"/>
      <c r="D250" s="265" t="s">
        <v>6094</v>
      </c>
      <c r="E250" s="269" t="s">
        <v>6095</v>
      </c>
      <c r="F250" s="265" t="s">
        <v>6096</v>
      </c>
      <c r="G250" s="265" t="s">
        <v>274</v>
      </c>
      <c r="H250" s="265" t="s">
        <v>509</v>
      </c>
      <c r="I250" s="299">
        <v>10.8</v>
      </c>
      <c r="K250" s="299">
        <v>3.6</v>
      </c>
      <c r="AG250" s="299">
        <v>7.2</v>
      </c>
    </row>
    <row r="251" spans="1:33">
      <c r="A251" t="s">
        <v>6188</v>
      </c>
      <c r="B251" s="265" t="s">
        <v>492</v>
      </c>
      <c r="C251" s="265"/>
      <c r="D251" s="265" t="s">
        <v>6097</v>
      </c>
      <c r="E251" s="269" t="s">
        <v>6095</v>
      </c>
      <c r="F251" s="265" t="s">
        <v>6096</v>
      </c>
      <c r="G251" s="265" t="s">
        <v>274</v>
      </c>
      <c r="H251" s="265" t="s">
        <v>509</v>
      </c>
      <c r="I251" s="299">
        <v>10.8</v>
      </c>
      <c r="K251" s="299">
        <v>3.6</v>
      </c>
      <c r="AG251" s="299">
        <v>7.2</v>
      </c>
    </row>
    <row r="252" spans="1:33">
      <c r="A252" t="s">
        <v>2128</v>
      </c>
      <c r="B252" s="265" t="s">
        <v>493</v>
      </c>
      <c r="C252" s="265" t="s">
        <v>4556</v>
      </c>
      <c r="D252" s="265" t="s">
        <v>6098</v>
      </c>
      <c r="E252" s="269" t="s">
        <v>6099</v>
      </c>
      <c r="F252" s="265" t="s">
        <v>455</v>
      </c>
      <c r="G252" s="265" t="s">
        <v>274</v>
      </c>
      <c r="H252" s="265" t="s">
        <v>523</v>
      </c>
      <c r="I252" s="299">
        <v>140</v>
      </c>
      <c r="K252" s="299">
        <v>28</v>
      </c>
      <c r="AG252" s="299">
        <v>112</v>
      </c>
    </row>
    <row r="253" spans="1:33">
      <c r="A253" t="s">
        <v>2129</v>
      </c>
      <c r="B253" s="265" t="s">
        <v>494</v>
      </c>
      <c r="C253" s="265" t="s">
        <v>4556</v>
      </c>
      <c r="D253" s="265" t="s">
        <v>6100</v>
      </c>
      <c r="E253" s="269" t="s">
        <v>6101</v>
      </c>
      <c r="F253" s="265" t="s">
        <v>5789</v>
      </c>
      <c r="G253" s="265" t="s">
        <v>274</v>
      </c>
      <c r="H253" s="265" t="s">
        <v>523</v>
      </c>
      <c r="I253" s="299">
        <v>52.5</v>
      </c>
      <c r="K253" s="299">
        <v>10.5</v>
      </c>
      <c r="AG253" s="299">
        <v>42</v>
      </c>
    </row>
    <row r="254" spans="1:33">
      <c r="A254" t="s">
        <v>4398</v>
      </c>
      <c r="B254" s="265" t="s">
        <v>4971</v>
      </c>
      <c r="C254" s="265" t="s">
        <v>4711</v>
      </c>
      <c r="D254" s="265" t="s">
        <v>6102</v>
      </c>
      <c r="E254" s="269" t="s">
        <v>6103</v>
      </c>
      <c r="F254" s="265" t="s">
        <v>6104</v>
      </c>
      <c r="G254" s="265" t="s">
        <v>274</v>
      </c>
      <c r="H254" s="265" t="s">
        <v>523</v>
      </c>
      <c r="I254" s="299">
        <v>541.66</v>
      </c>
      <c r="K254" s="299">
        <v>108.33</v>
      </c>
      <c r="AG254" s="299">
        <v>433.33</v>
      </c>
    </row>
    <row r="255" spans="1:33">
      <c r="A255" t="s">
        <v>2127</v>
      </c>
      <c r="B255" s="265" t="s">
        <v>4974</v>
      </c>
      <c r="C255" s="265" t="s">
        <v>4556</v>
      </c>
      <c r="D255" s="265" t="s">
        <v>6105</v>
      </c>
      <c r="E255" s="269" t="s">
        <v>5649</v>
      </c>
      <c r="F255" s="265" t="s">
        <v>5786</v>
      </c>
      <c r="G255" s="265" t="s">
        <v>274</v>
      </c>
      <c r="H255" s="265" t="s">
        <v>523</v>
      </c>
      <c r="I255" s="299">
        <v>270.83999999999997</v>
      </c>
      <c r="K255" s="299">
        <v>54.17</v>
      </c>
      <c r="AG255" s="299">
        <v>216.67</v>
      </c>
    </row>
    <row r="256" spans="1:33">
      <c r="A256" t="s">
        <v>2189</v>
      </c>
      <c r="B256" s="265" t="s">
        <v>4977</v>
      </c>
      <c r="C256" s="265" t="s">
        <v>4556</v>
      </c>
      <c r="D256" s="265" t="s">
        <v>6106</v>
      </c>
      <c r="E256" s="269" t="s">
        <v>5788</v>
      </c>
      <c r="F256" s="265" t="s">
        <v>5789</v>
      </c>
      <c r="G256" s="265" t="s">
        <v>274</v>
      </c>
      <c r="H256" s="265" t="s">
        <v>523</v>
      </c>
      <c r="I256" s="299">
        <v>73.5</v>
      </c>
      <c r="K256" s="299">
        <v>21</v>
      </c>
      <c r="AG256" s="299">
        <v>52.5</v>
      </c>
    </row>
    <row r="257" spans="1:33">
      <c r="A257" t="s">
        <v>4398</v>
      </c>
      <c r="B257" s="265" t="s">
        <v>4980</v>
      </c>
      <c r="C257" s="265" t="s">
        <v>4711</v>
      </c>
      <c r="D257" s="265" t="s">
        <v>6107</v>
      </c>
      <c r="E257" s="269" t="s">
        <v>6103</v>
      </c>
      <c r="F257" s="265" t="s">
        <v>6104</v>
      </c>
      <c r="G257" s="265" t="s">
        <v>274</v>
      </c>
      <c r="H257" s="265" t="s">
        <v>523</v>
      </c>
      <c r="I257" s="299">
        <v>541.66</v>
      </c>
      <c r="K257" s="299">
        <v>108.33</v>
      </c>
      <c r="AG257" s="299">
        <v>433.33</v>
      </c>
    </row>
    <row r="258" spans="1:33">
      <c r="A258" t="s">
        <v>2128</v>
      </c>
      <c r="B258" s="265" t="s">
        <v>5135</v>
      </c>
      <c r="C258" s="265" t="s">
        <v>4556</v>
      </c>
      <c r="D258" s="265" t="s">
        <v>6108</v>
      </c>
      <c r="E258" s="269" t="s">
        <v>6099</v>
      </c>
      <c r="F258" s="265" t="s">
        <v>455</v>
      </c>
      <c r="G258" s="265" t="s">
        <v>274</v>
      </c>
      <c r="H258" s="265" t="s">
        <v>523</v>
      </c>
      <c r="I258" s="299">
        <v>140</v>
      </c>
      <c r="K258" s="299">
        <v>28</v>
      </c>
      <c r="AG258" s="299">
        <v>112</v>
      </c>
    </row>
    <row r="259" spans="1:33">
      <c r="A259" t="s">
        <v>4400</v>
      </c>
      <c r="B259" s="265" t="s">
        <v>5137</v>
      </c>
      <c r="C259" s="265" t="s">
        <v>4715</v>
      </c>
      <c r="D259" s="265" t="s">
        <v>6109</v>
      </c>
      <c r="E259" s="269" t="s">
        <v>5337</v>
      </c>
      <c r="F259" s="265" t="s">
        <v>335</v>
      </c>
      <c r="G259" s="265" t="s">
        <v>274</v>
      </c>
      <c r="H259" s="265" t="s">
        <v>523</v>
      </c>
      <c r="I259" s="299">
        <v>0.84</v>
      </c>
      <c r="M259" s="299">
        <v>0.42</v>
      </c>
      <c r="AG259" s="299">
        <v>0.42</v>
      </c>
    </row>
    <row r="260" spans="1:33">
      <c r="A260" t="s">
        <v>4717</v>
      </c>
      <c r="B260" s="265" t="s">
        <v>5139</v>
      </c>
      <c r="C260" s="265" t="s">
        <v>4718</v>
      </c>
      <c r="D260" s="265" t="s">
        <v>6110</v>
      </c>
      <c r="E260" s="269" t="s">
        <v>5648</v>
      </c>
      <c r="F260" s="265" t="s">
        <v>335</v>
      </c>
      <c r="G260" s="265" t="s">
        <v>274</v>
      </c>
      <c r="H260" s="265" t="s">
        <v>523</v>
      </c>
      <c r="I260" s="299">
        <v>2.09</v>
      </c>
      <c r="K260" s="299">
        <v>0.42</v>
      </c>
      <c r="AG260" s="299">
        <v>1.67</v>
      </c>
    </row>
    <row r="261" spans="1:33">
      <c r="A261" t="s">
        <v>4344</v>
      </c>
      <c r="B261" s="265" t="s">
        <v>5141</v>
      </c>
      <c r="C261" s="265" t="s">
        <v>4552</v>
      </c>
      <c r="D261" s="265" t="s">
        <v>6111</v>
      </c>
      <c r="E261" s="269" t="s">
        <v>6112</v>
      </c>
      <c r="F261" s="265" t="s">
        <v>331</v>
      </c>
      <c r="G261" s="265" t="s">
        <v>274</v>
      </c>
      <c r="H261" s="265" t="s">
        <v>511</v>
      </c>
      <c r="I261" s="299">
        <v>1.2</v>
      </c>
      <c r="K261" s="299">
        <v>0.4</v>
      </c>
      <c r="AG261" s="299">
        <v>0.8</v>
      </c>
    </row>
    <row r="262" spans="1:33">
      <c r="A262" t="s">
        <v>4392</v>
      </c>
      <c r="B262" s="265" t="s">
        <v>5143</v>
      </c>
      <c r="C262" s="265" t="s">
        <v>4709</v>
      </c>
      <c r="D262" s="265" t="s">
        <v>6113</v>
      </c>
      <c r="E262" s="269" t="s">
        <v>6114</v>
      </c>
      <c r="F262" s="265" t="s">
        <v>6115</v>
      </c>
      <c r="G262" s="265" t="s">
        <v>271</v>
      </c>
      <c r="H262" s="265" t="s">
        <v>511</v>
      </c>
      <c r="I262" s="299">
        <v>31</v>
      </c>
      <c r="R262" s="299">
        <v>12.4</v>
      </c>
      <c r="U262" s="299">
        <v>12.4</v>
      </c>
      <c r="AD262" s="299">
        <v>6.2</v>
      </c>
    </row>
    <row r="263" spans="1:33">
      <c r="A263" t="s">
        <v>3064</v>
      </c>
      <c r="B263" s="265" t="s">
        <v>5145</v>
      </c>
      <c r="C263" s="265" t="s">
        <v>4556</v>
      </c>
      <c r="D263" s="265" t="s">
        <v>6116</v>
      </c>
      <c r="E263" s="269" t="s">
        <v>6117</v>
      </c>
      <c r="F263" s="265" t="s">
        <v>300</v>
      </c>
      <c r="G263" s="265" t="s">
        <v>259</v>
      </c>
      <c r="H263" s="265" t="s">
        <v>511</v>
      </c>
      <c r="I263" s="299">
        <v>3</v>
      </c>
      <c r="R263" s="299">
        <v>0.2</v>
      </c>
      <c r="S263" s="299">
        <v>1</v>
      </c>
      <c r="U263" s="299">
        <v>1.8</v>
      </c>
    </row>
    <row r="264" spans="1:33">
      <c r="A264" t="s">
        <v>3082</v>
      </c>
      <c r="B264" s="265" t="s">
        <v>5147</v>
      </c>
      <c r="C264" s="265" t="s">
        <v>4556</v>
      </c>
      <c r="D264" s="265" t="s">
        <v>6118</v>
      </c>
      <c r="E264" s="269" t="s">
        <v>6119</v>
      </c>
      <c r="F264" s="265" t="s">
        <v>312</v>
      </c>
      <c r="G264" s="265" t="s">
        <v>259</v>
      </c>
      <c r="H264" s="265" t="s">
        <v>511</v>
      </c>
      <c r="I264" s="299">
        <v>3.9</v>
      </c>
      <c r="R264" s="299">
        <v>0.3</v>
      </c>
      <c r="S264" s="299">
        <v>1.2</v>
      </c>
      <c r="U264" s="299">
        <v>2.4</v>
      </c>
    </row>
    <row r="265" spans="1:33">
      <c r="A265" t="s">
        <v>4363</v>
      </c>
      <c r="B265" s="265" t="s">
        <v>5149</v>
      </c>
      <c r="C265" s="265" t="s">
        <v>4691</v>
      </c>
      <c r="D265" s="265" t="s">
        <v>6120</v>
      </c>
      <c r="E265" s="269" t="s">
        <v>6121</v>
      </c>
      <c r="F265" s="265" t="s">
        <v>4974</v>
      </c>
      <c r="G265" s="265" t="s">
        <v>271</v>
      </c>
      <c r="H265" s="265" t="s">
        <v>511</v>
      </c>
      <c r="I265" s="299">
        <v>4.68</v>
      </c>
      <c r="R265" s="299">
        <v>1.3</v>
      </c>
      <c r="U265" s="299">
        <v>2.6</v>
      </c>
      <c r="AD265" s="299">
        <v>0.78</v>
      </c>
    </row>
    <row r="266" spans="1:33">
      <c r="A266" t="s">
        <v>4060</v>
      </c>
      <c r="B266" s="265" t="s">
        <v>5151</v>
      </c>
      <c r="C266" s="265" t="s">
        <v>4556</v>
      </c>
      <c r="D266" s="265" t="s">
        <v>6122</v>
      </c>
      <c r="E266" s="269" t="s">
        <v>5700</v>
      </c>
      <c r="F266" s="265" t="s">
        <v>430</v>
      </c>
      <c r="G266" s="265" t="s">
        <v>272</v>
      </c>
      <c r="H266" s="265" t="s">
        <v>518</v>
      </c>
      <c r="I266" s="299">
        <v>8.9</v>
      </c>
      <c r="M266" s="299">
        <v>0.97</v>
      </c>
      <c r="AE266" s="299">
        <v>7.93</v>
      </c>
    </row>
    <row r="267" spans="1:33">
      <c r="A267" t="s">
        <v>2207</v>
      </c>
      <c r="B267" s="265" t="s">
        <v>557</v>
      </c>
      <c r="C267" s="265" t="s">
        <v>4556</v>
      </c>
      <c r="D267" s="265" t="s">
        <v>6123</v>
      </c>
      <c r="E267" s="269" t="s">
        <v>6124</v>
      </c>
      <c r="F267" s="265" t="s">
        <v>379</v>
      </c>
      <c r="G267" s="265" t="s">
        <v>274</v>
      </c>
      <c r="H267" s="265" t="s">
        <v>518</v>
      </c>
      <c r="I267" s="299">
        <v>2.9</v>
      </c>
      <c r="M267" s="299">
        <v>0.67</v>
      </c>
      <c r="AG267" s="299">
        <v>2.23</v>
      </c>
    </row>
    <row r="268" spans="1:33">
      <c r="A268" t="s">
        <v>3892</v>
      </c>
      <c r="B268" s="265" t="s">
        <v>5154</v>
      </c>
      <c r="C268" s="265" t="s">
        <v>4552</v>
      </c>
      <c r="D268" s="265" t="s">
        <v>6125</v>
      </c>
      <c r="E268" s="269" t="s">
        <v>6126</v>
      </c>
      <c r="F268" s="265" t="s">
        <v>306</v>
      </c>
      <c r="G268" s="265" t="s">
        <v>271</v>
      </c>
      <c r="H268" s="265" t="s">
        <v>265</v>
      </c>
      <c r="I268" s="299">
        <v>1.25</v>
      </c>
      <c r="U268" s="299">
        <v>1</v>
      </c>
      <c r="AD268" s="299">
        <v>0.25</v>
      </c>
    </row>
    <row r="269" spans="1:33">
      <c r="A269" t="s">
        <v>3837</v>
      </c>
      <c r="B269" s="265" t="s">
        <v>5156</v>
      </c>
      <c r="C269" s="265" t="s">
        <v>4552</v>
      </c>
      <c r="D269" s="265" t="s">
        <v>6127</v>
      </c>
      <c r="E269" s="269" t="s">
        <v>6128</v>
      </c>
      <c r="F269" s="265" t="s">
        <v>316</v>
      </c>
      <c r="G269" s="265" t="s">
        <v>271</v>
      </c>
      <c r="H269" s="265" t="s">
        <v>265</v>
      </c>
      <c r="I269" s="299">
        <v>1</v>
      </c>
      <c r="U269" s="299">
        <v>0.67</v>
      </c>
      <c r="AD269" s="299">
        <v>0.33</v>
      </c>
    </row>
    <row r="270" spans="1:33">
      <c r="A270" t="s">
        <v>3835</v>
      </c>
      <c r="B270" s="265" t="s">
        <v>5158</v>
      </c>
      <c r="C270" s="265" t="s">
        <v>4552</v>
      </c>
      <c r="D270" s="265" t="s">
        <v>6129</v>
      </c>
      <c r="E270" s="269" t="s">
        <v>6130</v>
      </c>
      <c r="F270" s="265" t="s">
        <v>316</v>
      </c>
      <c r="G270" s="265" t="s">
        <v>271</v>
      </c>
      <c r="H270" s="265" t="s">
        <v>265</v>
      </c>
      <c r="I270" s="299">
        <v>1</v>
      </c>
      <c r="U270" s="299">
        <v>0.67</v>
      </c>
      <c r="AD270" s="299">
        <v>0.33</v>
      </c>
    </row>
    <row r="271" spans="1:33">
      <c r="A271" t="s">
        <v>3841</v>
      </c>
      <c r="B271" s="265" t="s">
        <v>5160</v>
      </c>
      <c r="C271" s="265" t="s">
        <v>4552</v>
      </c>
      <c r="D271" s="265" t="s">
        <v>6131</v>
      </c>
      <c r="E271" s="269" t="s">
        <v>6132</v>
      </c>
      <c r="F271" s="265" t="s">
        <v>349</v>
      </c>
      <c r="G271" s="265" t="s">
        <v>271</v>
      </c>
      <c r="H271" s="265" t="s">
        <v>265</v>
      </c>
      <c r="I271" s="299">
        <v>2.23</v>
      </c>
      <c r="U271" s="299">
        <v>2</v>
      </c>
      <c r="AD271" s="299">
        <v>0.23</v>
      </c>
    </row>
    <row r="272" spans="1:33">
      <c r="A272" t="s">
        <v>3836</v>
      </c>
      <c r="B272" s="265" t="s">
        <v>5162</v>
      </c>
      <c r="C272" s="265" t="s">
        <v>4552</v>
      </c>
      <c r="D272" s="265" t="s">
        <v>6133</v>
      </c>
      <c r="E272" s="269" t="s">
        <v>6134</v>
      </c>
      <c r="F272" s="265" t="s">
        <v>66</v>
      </c>
      <c r="G272" s="265" t="s">
        <v>271</v>
      </c>
      <c r="H272" s="265" t="s">
        <v>265</v>
      </c>
      <c r="I272" s="299">
        <v>2.5</v>
      </c>
      <c r="U272" s="299">
        <v>1.67</v>
      </c>
      <c r="AD272" s="299">
        <v>0.83</v>
      </c>
    </row>
    <row r="273" spans="1:35">
      <c r="A273" t="s">
        <v>3850</v>
      </c>
      <c r="B273" s="265" t="s">
        <v>5164</v>
      </c>
      <c r="C273" s="265" t="s">
        <v>4552</v>
      </c>
      <c r="D273" s="265" t="s">
        <v>6135</v>
      </c>
      <c r="E273" s="269" t="s">
        <v>6136</v>
      </c>
      <c r="F273" s="265" t="s">
        <v>296</v>
      </c>
      <c r="G273" s="265" t="s">
        <v>271</v>
      </c>
      <c r="H273" s="265" t="s">
        <v>265</v>
      </c>
      <c r="I273" s="299">
        <v>0.67</v>
      </c>
      <c r="U273" s="299">
        <v>0.5</v>
      </c>
      <c r="AD273" s="299">
        <v>0.17</v>
      </c>
    </row>
    <row r="274" spans="1:35">
      <c r="A274" t="s">
        <v>3851</v>
      </c>
      <c r="B274" s="265" t="s">
        <v>5166</v>
      </c>
      <c r="C274" s="265" t="s">
        <v>4552</v>
      </c>
      <c r="D274" s="265" t="s">
        <v>6137</v>
      </c>
      <c r="E274" s="269" t="s">
        <v>6138</v>
      </c>
      <c r="F274" s="265" t="s">
        <v>66</v>
      </c>
      <c r="G274" s="265" t="s">
        <v>271</v>
      </c>
      <c r="H274" s="265" t="s">
        <v>265</v>
      </c>
      <c r="I274" s="299">
        <v>4.16</v>
      </c>
      <c r="U274" s="299">
        <v>3.33</v>
      </c>
      <c r="AD274" s="299">
        <v>0.83</v>
      </c>
    </row>
    <row r="275" spans="1:35">
      <c r="A275" t="s">
        <v>3849</v>
      </c>
      <c r="B275" s="265" t="s">
        <v>5168</v>
      </c>
      <c r="C275" s="265" t="s">
        <v>4552</v>
      </c>
      <c r="D275" s="265" t="s">
        <v>6139</v>
      </c>
      <c r="E275" s="269" t="s">
        <v>6140</v>
      </c>
      <c r="F275" s="265" t="s">
        <v>360</v>
      </c>
      <c r="G275" s="265" t="s">
        <v>271</v>
      </c>
      <c r="H275" s="265" t="s">
        <v>265</v>
      </c>
      <c r="I275" s="299">
        <v>2.91</v>
      </c>
      <c r="U275" s="299">
        <v>2.33</v>
      </c>
      <c r="AD275" s="299">
        <v>0.57999999999999996</v>
      </c>
    </row>
    <row r="276" spans="1:35">
      <c r="A276" t="s">
        <v>3890</v>
      </c>
      <c r="B276" s="265" t="s">
        <v>5170</v>
      </c>
      <c r="C276" s="265" t="s">
        <v>4552</v>
      </c>
      <c r="D276" s="265" t="s">
        <v>6141</v>
      </c>
      <c r="E276" s="269" t="s">
        <v>6142</v>
      </c>
      <c r="F276" s="265" t="s">
        <v>419</v>
      </c>
      <c r="G276" s="265" t="s">
        <v>271</v>
      </c>
      <c r="H276" s="265" t="s">
        <v>265</v>
      </c>
      <c r="I276" s="299">
        <v>4.59</v>
      </c>
      <c r="U276" s="299">
        <v>3.67</v>
      </c>
      <c r="AD276" s="299">
        <v>0.92</v>
      </c>
    </row>
    <row r="277" spans="1:35">
      <c r="A277" t="s">
        <v>2107</v>
      </c>
      <c r="B277" s="265" t="s">
        <v>5172</v>
      </c>
      <c r="C277" s="265" t="s">
        <v>4556</v>
      </c>
      <c r="D277" s="265" t="s">
        <v>6143</v>
      </c>
      <c r="E277" s="269" t="s">
        <v>6144</v>
      </c>
      <c r="F277" s="265" t="s">
        <v>6145</v>
      </c>
      <c r="G277" s="265" t="s">
        <v>271</v>
      </c>
      <c r="H277" s="265" t="s">
        <v>518</v>
      </c>
      <c r="I277" s="299">
        <v>5.88</v>
      </c>
      <c r="U277" s="299">
        <v>4.2</v>
      </c>
      <c r="AD277" s="299">
        <v>1.68</v>
      </c>
    </row>
    <row r="278" spans="1:35">
      <c r="A278" t="s">
        <v>3335</v>
      </c>
      <c r="B278" s="265" t="s">
        <v>5174</v>
      </c>
      <c r="C278" s="265" t="s">
        <v>4552</v>
      </c>
      <c r="D278" s="265" t="s">
        <v>6146</v>
      </c>
      <c r="E278" s="269" t="s">
        <v>6147</v>
      </c>
      <c r="F278" s="265" t="s">
        <v>5242</v>
      </c>
      <c r="G278" s="265" t="s">
        <v>271</v>
      </c>
      <c r="H278" s="265" t="s">
        <v>518</v>
      </c>
      <c r="I278" s="299">
        <v>10.88</v>
      </c>
      <c r="U278" s="299">
        <v>6.4</v>
      </c>
      <c r="AD278" s="299">
        <v>1.28</v>
      </c>
      <c r="AI278" s="299">
        <v>3.2</v>
      </c>
    </row>
    <row r="279" spans="1:35">
      <c r="A279" t="s">
        <v>4424</v>
      </c>
      <c r="B279" s="265" t="s">
        <v>5050</v>
      </c>
      <c r="C279" s="265" t="s">
        <v>4724</v>
      </c>
      <c r="D279" s="265" t="s">
        <v>6148</v>
      </c>
      <c r="E279" s="269" t="s">
        <v>5653</v>
      </c>
      <c r="F279" s="265" t="s">
        <v>66</v>
      </c>
      <c r="G279" s="265" t="s">
        <v>268</v>
      </c>
      <c r="H279" s="265" t="s">
        <v>523</v>
      </c>
      <c r="I279" s="299">
        <v>35</v>
      </c>
      <c r="AA279" s="299">
        <v>35</v>
      </c>
    </row>
    <row r="280" spans="1:35">
      <c r="A280" t="s">
        <v>3090</v>
      </c>
      <c r="B280" s="265" t="s">
        <v>5175</v>
      </c>
      <c r="C280" s="265" t="s">
        <v>4556</v>
      </c>
      <c r="D280" s="265" t="s">
        <v>6149</v>
      </c>
      <c r="E280" s="269" t="s">
        <v>6150</v>
      </c>
      <c r="F280" s="265" t="s">
        <v>436</v>
      </c>
      <c r="G280" s="265" t="s">
        <v>259</v>
      </c>
      <c r="H280" s="265" t="s">
        <v>511</v>
      </c>
      <c r="I280" s="299">
        <v>13</v>
      </c>
      <c r="R280" s="299">
        <v>1</v>
      </c>
      <c r="S280" s="299">
        <v>4</v>
      </c>
      <c r="U280" s="299">
        <v>8</v>
      </c>
    </row>
    <row r="281" spans="1:35">
      <c r="A281" t="s">
        <v>2223</v>
      </c>
      <c r="B281" s="265" t="s">
        <v>5176</v>
      </c>
      <c r="C281" s="265" t="s">
        <v>4552</v>
      </c>
      <c r="D281" s="265" t="s">
        <v>6151</v>
      </c>
      <c r="E281" s="269" t="s">
        <v>6152</v>
      </c>
      <c r="F281" s="265" t="s">
        <v>6153</v>
      </c>
      <c r="G281" s="265" t="s">
        <v>268</v>
      </c>
      <c r="H281" s="265" t="s">
        <v>511</v>
      </c>
      <c r="I281" s="299">
        <v>18.670000000000002</v>
      </c>
      <c r="AA281" s="299">
        <v>18.670000000000002</v>
      </c>
    </row>
    <row r="282" spans="1:35">
      <c r="A282" t="s">
        <v>3432</v>
      </c>
      <c r="B282" s="265" t="s">
        <v>5177</v>
      </c>
      <c r="C282" s="265" t="s">
        <v>4556</v>
      </c>
      <c r="D282" s="265" t="s">
        <v>6154</v>
      </c>
      <c r="E282" s="269" t="s">
        <v>6155</v>
      </c>
      <c r="F282" s="265" t="s">
        <v>300</v>
      </c>
      <c r="G282" s="265" t="s">
        <v>259</v>
      </c>
      <c r="H282" s="265" t="s">
        <v>511</v>
      </c>
      <c r="I282" s="299">
        <v>4.2</v>
      </c>
      <c r="R282" s="299">
        <v>1.6</v>
      </c>
      <c r="S282" s="299">
        <v>0.6</v>
      </c>
      <c r="U282" s="299">
        <v>2</v>
      </c>
    </row>
    <row r="283" spans="1:35">
      <c r="A283" t="s">
        <v>4112</v>
      </c>
      <c r="B283" s="265" t="s">
        <v>5179</v>
      </c>
      <c r="C283" s="265" t="s">
        <v>4619</v>
      </c>
      <c r="D283" s="265" t="s">
        <v>6156</v>
      </c>
      <c r="E283" s="269" t="s">
        <v>5078</v>
      </c>
      <c r="F283" s="265" t="s">
        <v>288</v>
      </c>
      <c r="G283" s="265" t="s">
        <v>271</v>
      </c>
      <c r="H283" s="265" t="s">
        <v>511</v>
      </c>
      <c r="I283" s="299">
        <v>0.95</v>
      </c>
      <c r="R283" s="299">
        <v>0.1</v>
      </c>
      <c r="U283" s="299">
        <v>0.4</v>
      </c>
      <c r="AD283" s="299">
        <v>0.45</v>
      </c>
    </row>
    <row r="284" spans="1:35">
      <c r="B284" s="297" t="s">
        <v>320</v>
      </c>
      <c r="C284" s="297"/>
      <c r="I284" s="299">
        <v>5590.92</v>
      </c>
      <c r="J284" s="299">
        <v>46.46</v>
      </c>
      <c r="K284" s="299">
        <v>552.67999999999995</v>
      </c>
      <c r="L284" s="299">
        <v>202.26</v>
      </c>
      <c r="M284" s="299">
        <v>713.86</v>
      </c>
      <c r="N284" s="299">
        <v>3.33</v>
      </c>
      <c r="R284" s="299">
        <v>111.98</v>
      </c>
      <c r="S284" s="299">
        <v>85.93</v>
      </c>
      <c r="U284" s="299">
        <v>705.76</v>
      </c>
      <c r="V284" s="299">
        <v>4.93</v>
      </c>
      <c r="W284" s="299">
        <v>8.0299999999999994</v>
      </c>
      <c r="AA284" s="299">
        <v>431.17</v>
      </c>
      <c r="AC284" s="299">
        <v>52.5</v>
      </c>
      <c r="AD284" s="299">
        <v>40.06</v>
      </c>
      <c r="AE284" s="299">
        <v>535.05999999999995</v>
      </c>
      <c r="AF284" s="299">
        <v>269.02</v>
      </c>
      <c r="AG284" s="299">
        <v>1824.06</v>
      </c>
      <c r="AH284" s="299">
        <v>0.63</v>
      </c>
      <c r="AI284" s="299">
        <v>3.2</v>
      </c>
    </row>
    <row r="285" spans="1:35">
      <c r="A285" t="s">
        <v>4558</v>
      </c>
    </row>
    <row r="286" spans="1:35">
      <c r="A286" t="s">
        <v>4552</v>
      </c>
      <c r="B286">
        <v>1</v>
      </c>
    </row>
    <row r="287" spans="1:35">
      <c r="A287" t="s">
        <v>115</v>
      </c>
    </row>
    <row r="288" spans="1:35">
      <c r="A288" t="s">
        <v>147</v>
      </c>
      <c r="B288">
        <v>1</v>
      </c>
    </row>
    <row r="289" spans="1:2">
      <c r="A289" t="s">
        <v>529</v>
      </c>
    </row>
    <row r="290" spans="1:2">
      <c r="A290" t="s">
        <v>178</v>
      </c>
    </row>
    <row r="291" spans="1:2">
      <c r="A291" t="s">
        <v>4911</v>
      </c>
    </row>
    <row r="292" spans="1:2">
      <c r="A292" t="s">
        <v>4664</v>
      </c>
      <c r="B292">
        <v>1</v>
      </c>
    </row>
    <row r="293" spans="1:2">
      <c r="A293" t="s">
        <v>79</v>
      </c>
      <c r="B293">
        <v>1</v>
      </c>
    </row>
    <row r="294" spans="1:2">
      <c r="A294" t="s">
        <v>38</v>
      </c>
      <c r="B294">
        <v>1</v>
      </c>
    </row>
    <row r="295" spans="1:2">
      <c r="A295" t="s">
        <v>44</v>
      </c>
      <c r="B295">
        <v>1</v>
      </c>
    </row>
    <row r="296" spans="1:2">
      <c r="A296" t="s">
        <v>96</v>
      </c>
      <c r="B296">
        <v>1</v>
      </c>
    </row>
    <row r="297" spans="1:2">
      <c r="A297" t="s">
        <v>40</v>
      </c>
    </row>
    <row r="298" spans="1:2">
      <c r="A298" t="s">
        <v>4636</v>
      </c>
      <c r="B298">
        <v>1</v>
      </c>
    </row>
    <row r="299" spans="1:2">
      <c r="A299" t="s">
        <v>4700</v>
      </c>
    </row>
    <row r="300" spans="1:2">
      <c r="A300" t="s">
        <v>6193</v>
      </c>
      <c r="B300">
        <v>1</v>
      </c>
    </row>
    <row r="301" spans="1:2">
      <c r="A301" t="s">
        <v>6194</v>
      </c>
      <c r="B301">
        <v>1</v>
      </c>
    </row>
    <row r="302" spans="1:2">
      <c r="A302" t="s">
        <v>6195</v>
      </c>
    </row>
    <row r="303" spans="1:2">
      <c r="A303" t="s">
        <v>6196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073" r:id="rId3" name="Button 1">
              <controlPr defaultSize="0" print="0" autoFill="0" autoPict="0" macro="[0]!openKnbStorage">
                <anchor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600075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74" r:id="rId4" name="Button 2">
              <controlPr defaultSize="0" print="0" autoFill="0" autoPict="0" macro="[0]!handleUserProductSelection">
                <anchor>
                  <from>
                    <xdr:col>2</xdr:col>
                    <xdr:colOff>38100</xdr:colOff>
                    <xdr:row>0</xdr:row>
                    <xdr:rowOff>9525</xdr:rowOff>
                  </from>
                  <to>
                    <xdr:col>4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0"/>
  <dimension ref="A1:KA18"/>
  <sheetViews>
    <sheetView zoomScale="60" zoomScaleNormal="60" workbookViewId="0">
      <selection activeCell="AA34" sqref="AA34"/>
    </sheetView>
  </sheetViews>
  <sheetFormatPr defaultRowHeight="12.75"/>
  <sheetData>
    <row r="1" spans="1:287" ht="34.5" thickBot="1">
      <c r="A1" s="203"/>
      <c r="B1" s="374" t="s">
        <v>5360</v>
      </c>
      <c r="C1" s="374"/>
      <c r="D1" s="374"/>
      <c r="E1" s="374"/>
      <c r="F1" s="374"/>
      <c r="G1" s="374"/>
      <c r="H1" s="374"/>
      <c r="I1" s="374"/>
      <c r="J1" s="374"/>
      <c r="K1" s="374"/>
      <c r="L1" s="374"/>
      <c r="M1" s="374"/>
      <c r="N1" s="374"/>
      <c r="O1" s="374"/>
      <c r="P1" s="374"/>
      <c r="Q1" s="374"/>
      <c r="R1" s="374"/>
      <c r="S1" s="374"/>
      <c r="T1" s="374"/>
      <c r="U1" s="374"/>
      <c r="V1" s="374"/>
      <c r="W1" s="374"/>
      <c r="X1" s="374"/>
      <c r="Y1" s="374"/>
      <c r="Z1" s="374"/>
      <c r="AA1" s="374"/>
      <c r="AB1" s="374"/>
      <c r="AC1" s="374"/>
      <c r="AD1" s="374"/>
      <c r="AE1" s="375"/>
      <c r="AF1" s="375"/>
      <c r="AG1" s="375"/>
      <c r="AH1" s="375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203"/>
      <c r="BO1" s="203"/>
      <c r="BP1" s="203"/>
      <c r="BQ1" s="203"/>
      <c r="BR1" s="203"/>
      <c r="BS1" s="203"/>
      <c r="BT1" s="203"/>
      <c r="BU1" s="203"/>
      <c r="BV1" s="203"/>
      <c r="BW1" s="203"/>
      <c r="BX1" s="203"/>
      <c r="BY1" s="203"/>
      <c r="BZ1" s="203"/>
      <c r="CA1" s="203"/>
      <c r="CB1" s="203"/>
      <c r="CC1" s="203"/>
      <c r="CD1" s="203"/>
      <c r="CE1" s="203"/>
      <c r="CF1" s="203"/>
      <c r="CG1" s="203"/>
      <c r="CH1" s="203"/>
      <c r="CI1" s="203"/>
      <c r="CJ1" s="203"/>
      <c r="CK1" s="203"/>
      <c r="CL1" s="203"/>
      <c r="CM1" s="203"/>
      <c r="CN1" s="203"/>
      <c r="CO1" s="203"/>
      <c r="CP1" s="203"/>
      <c r="CQ1" s="203"/>
      <c r="CR1" s="203"/>
      <c r="CS1" s="203"/>
      <c r="CT1" s="203"/>
      <c r="CU1" s="203"/>
      <c r="CV1" s="203"/>
      <c r="CW1" s="203"/>
      <c r="CX1" s="203"/>
      <c r="CY1" s="203"/>
      <c r="CZ1" s="203"/>
      <c r="DA1" s="203"/>
      <c r="DB1" s="203"/>
      <c r="DC1" s="203"/>
      <c r="DD1" s="203"/>
      <c r="DE1" s="203"/>
      <c r="DF1" s="203"/>
      <c r="DG1" s="203"/>
      <c r="DH1" s="203"/>
      <c r="DI1" s="203"/>
      <c r="DJ1" s="203"/>
      <c r="DK1" s="203"/>
      <c r="DL1" s="203"/>
      <c r="DM1" s="203"/>
      <c r="DN1" s="203"/>
      <c r="DO1" s="203"/>
      <c r="DP1" s="203"/>
      <c r="DQ1" s="203"/>
      <c r="DR1" s="203"/>
      <c r="DS1" s="203"/>
      <c r="DT1" s="203"/>
      <c r="DU1" s="203"/>
      <c r="DV1" s="203"/>
      <c r="DW1" s="203"/>
      <c r="DX1" s="203"/>
      <c r="DY1" s="203"/>
      <c r="DZ1" s="203"/>
      <c r="EA1" s="203"/>
      <c r="EB1" s="203"/>
      <c r="EC1" s="203"/>
      <c r="ED1" s="203"/>
      <c r="EE1" s="203"/>
      <c r="EF1" s="203"/>
      <c r="EG1" s="203"/>
      <c r="EH1" s="203"/>
      <c r="EI1" s="203"/>
      <c r="EJ1" s="203"/>
      <c r="EK1" s="203"/>
      <c r="EL1" s="203"/>
      <c r="EM1" s="203"/>
      <c r="EN1" s="203"/>
      <c r="EO1" s="203"/>
      <c r="EP1" s="203"/>
      <c r="EQ1" s="203"/>
      <c r="ER1" s="203"/>
      <c r="ES1" s="203"/>
      <c r="ET1" s="203"/>
      <c r="EU1" s="203"/>
      <c r="EV1" s="203"/>
      <c r="EW1" s="203"/>
      <c r="EX1" s="203"/>
      <c r="EY1" s="203"/>
      <c r="EZ1" s="203"/>
      <c r="FA1" s="203"/>
      <c r="FB1" s="203"/>
      <c r="FC1" s="203"/>
      <c r="FD1" s="203"/>
      <c r="FE1" s="203"/>
      <c r="FF1" s="203"/>
      <c r="FG1" s="203"/>
      <c r="FH1" s="203"/>
      <c r="FI1" s="203"/>
      <c r="FJ1" s="203"/>
      <c r="FK1" s="203"/>
      <c r="FL1" s="203"/>
      <c r="FM1" s="203"/>
      <c r="FN1" s="203"/>
      <c r="FO1" s="203"/>
      <c r="FP1" s="203"/>
      <c r="FQ1" s="203"/>
      <c r="FR1" s="203"/>
      <c r="FS1" s="203"/>
      <c r="FT1" s="203"/>
      <c r="FU1" s="203"/>
      <c r="FV1" s="203"/>
      <c r="FW1" s="203"/>
      <c r="FX1" s="203"/>
      <c r="FY1" s="203"/>
      <c r="FZ1" s="203"/>
      <c r="GA1" s="203"/>
      <c r="GB1" s="203"/>
      <c r="GC1" s="203"/>
      <c r="GD1" s="203"/>
      <c r="GE1" s="203"/>
      <c r="GF1" s="203"/>
      <c r="GG1" s="203"/>
      <c r="GH1" s="203"/>
      <c r="GI1" s="203"/>
      <c r="GJ1" s="203"/>
      <c r="GK1" s="203"/>
      <c r="GL1" s="203"/>
      <c r="GM1" s="203"/>
      <c r="GN1" s="203"/>
      <c r="GO1" s="203"/>
      <c r="GP1" s="203"/>
      <c r="GQ1" s="203"/>
      <c r="GR1" s="203"/>
      <c r="GS1" s="203"/>
      <c r="GT1" s="203"/>
      <c r="GU1" s="203"/>
      <c r="GV1" s="203"/>
      <c r="GW1" s="203"/>
      <c r="GX1" s="203"/>
      <c r="GY1" s="203"/>
      <c r="GZ1" s="203"/>
      <c r="HA1" s="203"/>
      <c r="HB1" s="203"/>
      <c r="HC1" s="203"/>
      <c r="HD1" s="203"/>
      <c r="HE1" s="203"/>
      <c r="HF1" s="203"/>
      <c r="HG1" s="203"/>
      <c r="HH1" s="203"/>
      <c r="HI1" s="203"/>
      <c r="HJ1" s="203"/>
      <c r="HK1" s="203"/>
      <c r="HL1" s="203"/>
      <c r="HM1" s="203"/>
      <c r="HN1" s="203"/>
      <c r="HO1" s="203"/>
      <c r="HP1" s="203"/>
      <c r="HQ1" s="203"/>
      <c r="HR1" s="203"/>
      <c r="HS1" s="203"/>
      <c r="HT1" s="203"/>
      <c r="HU1" s="203"/>
      <c r="HV1" s="203"/>
      <c r="HW1" s="203"/>
      <c r="HX1" s="203"/>
      <c r="HY1" s="203"/>
      <c r="HZ1" s="203"/>
      <c r="IA1" s="203"/>
      <c r="IB1" s="203"/>
      <c r="IC1" s="203"/>
      <c r="ID1" s="203"/>
      <c r="IE1" s="203"/>
      <c r="IF1" s="203"/>
      <c r="IG1" s="203"/>
      <c r="IH1" s="203"/>
      <c r="II1" s="203"/>
      <c r="IJ1" s="203"/>
      <c r="IK1" s="203"/>
      <c r="IL1" s="203"/>
      <c r="IM1" s="203"/>
      <c r="IN1" s="203"/>
      <c r="IO1" s="203"/>
      <c r="IP1" s="203"/>
      <c r="IQ1" s="203"/>
      <c r="IR1" s="203"/>
      <c r="IS1" s="203"/>
      <c r="IT1" s="203"/>
      <c r="IU1" s="203"/>
      <c r="IV1" s="203"/>
      <c r="IW1" s="203"/>
      <c r="IX1" s="203"/>
      <c r="IY1" s="203"/>
      <c r="IZ1" s="203"/>
      <c r="JA1" s="203"/>
      <c r="JB1" s="203"/>
      <c r="JC1" s="203"/>
      <c r="JD1" s="203"/>
      <c r="JE1" s="203"/>
      <c r="JF1" s="203"/>
      <c r="JG1" s="203"/>
      <c r="JH1" s="203"/>
      <c r="JI1" s="203"/>
      <c r="JJ1" s="203"/>
      <c r="JK1" s="203"/>
      <c r="JL1" s="203"/>
      <c r="JM1" s="203"/>
      <c r="JN1" s="203"/>
      <c r="JO1" s="203"/>
      <c r="JP1" s="203"/>
      <c r="JQ1" s="203"/>
      <c r="JR1" s="203"/>
      <c r="JS1" s="203"/>
      <c r="JT1" s="203"/>
      <c r="JU1" s="203"/>
      <c r="JV1" s="203"/>
      <c r="JW1" s="203"/>
      <c r="JX1" s="203"/>
      <c r="JY1" s="203"/>
      <c r="JZ1" s="203"/>
      <c r="KA1" s="203"/>
    </row>
    <row r="2" spans="1:287" ht="56.25" thickBot="1">
      <c r="A2" s="203"/>
      <c r="B2" s="376" t="s">
        <v>5361</v>
      </c>
      <c r="C2" s="377"/>
      <c r="D2" s="377"/>
      <c r="E2" s="377"/>
      <c r="F2" s="378"/>
      <c r="G2" s="204"/>
      <c r="H2" s="240"/>
      <c r="I2" s="205" t="s">
        <v>5362</v>
      </c>
      <c r="J2" s="206" t="s">
        <v>5363</v>
      </c>
      <c r="K2" s="207" t="s">
        <v>5364</v>
      </c>
      <c r="L2" s="208" t="s">
        <v>5365</v>
      </c>
      <c r="M2" s="208" t="s">
        <v>5366</v>
      </c>
      <c r="N2" s="208" t="s">
        <v>5367</v>
      </c>
      <c r="O2" s="209" t="s">
        <v>5368</v>
      </c>
      <c r="P2" s="208" t="s">
        <v>5369</v>
      </c>
      <c r="Q2" s="208" t="s">
        <v>5370</v>
      </c>
      <c r="R2" s="208" t="s">
        <v>5371</v>
      </c>
      <c r="S2" s="208" t="s">
        <v>5372</v>
      </c>
      <c r="T2" s="208" t="s">
        <v>5373</v>
      </c>
      <c r="U2" s="208" t="s">
        <v>5374</v>
      </c>
      <c r="V2" s="210" t="s">
        <v>5375</v>
      </c>
      <c r="W2" s="211" t="s">
        <v>5376</v>
      </c>
      <c r="X2" s="211" t="s">
        <v>5377</v>
      </c>
      <c r="Y2" s="211" t="s">
        <v>5378</v>
      </c>
      <c r="Z2" s="212"/>
      <c r="AA2" s="379"/>
      <c r="AB2" s="379"/>
      <c r="AC2" s="240"/>
      <c r="AD2" s="240"/>
      <c r="AE2" s="240"/>
      <c r="AF2" s="240"/>
      <c r="AG2" s="240"/>
      <c r="AH2" s="240"/>
      <c r="AI2" s="203"/>
      <c r="AJ2" s="203"/>
      <c r="AK2" s="203"/>
      <c r="AL2" s="203"/>
      <c r="AM2" s="203"/>
      <c r="AN2" s="203"/>
      <c r="AO2" s="203"/>
      <c r="AP2" s="203"/>
      <c r="AQ2" s="203"/>
      <c r="AR2" s="203"/>
      <c r="AS2" s="203"/>
      <c r="AT2" s="203"/>
      <c r="AU2" s="203"/>
      <c r="AV2" s="203"/>
      <c r="AW2" s="203"/>
      <c r="AX2" s="203"/>
      <c r="AY2" s="203"/>
      <c r="AZ2" s="203"/>
      <c r="BA2" s="203"/>
      <c r="BB2" s="203"/>
      <c r="BC2" s="203"/>
      <c r="BD2" s="203"/>
      <c r="BE2" s="203"/>
      <c r="BF2" s="203"/>
      <c r="BG2" s="203"/>
      <c r="BH2" s="203"/>
      <c r="BI2" s="203"/>
      <c r="BJ2" s="203"/>
      <c r="BK2" s="203"/>
      <c r="BL2" s="203"/>
      <c r="BM2" s="203"/>
      <c r="BN2" s="203"/>
      <c r="BO2" s="203"/>
      <c r="BP2" s="203"/>
      <c r="BQ2" s="203"/>
      <c r="BR2" s="203"/>
      <c r="BS2" s="203"/>
      <c r="BT2" s="203"/>
      <c r="BU2" s="203"/>
      <c r="BV2" s="203"/>
      <c r="BW2" s="203"/>
      <c r="BX2" s="203"/>
      <c r="BY2" s="203"/>
      <c r="BZ2" s="203"/>
      <c r="CA2" s="203"/>
      <c r="CB2" s="203"/>
      <c r="CC2" s="203"/>
      <c r="CD2" s="203"/>
      <c r="CE2" s="203"/>
      <c r="CF2" s="203"/>
      <c r="CG2" s="203"/>
      <c r="CH2" s="203"/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203"/>
      <c r="CT2" s="203"/>
      <c r="CU2" s="203"/>
      <c r="CV2" s="203"/>
      <c r="CW2" s="203"/>
      <c r="CX2" s="203"/>
      <c r="CY2" s="203"/>
      <c r="CZ2" s="203"/>
      <c r="DA2" s="203"/>
      <c r="DB2" s="203"/>
      <c r="DC2" s="203"/>
      <c r="DD2" s="203"/>
      <c r="DE2" s="203"/>
      <c r="DF2" s="203"/>
      <c r="DG2" s="203"/>
      <c r="DH2" s="203"/>
      <c r="DI2" s="203"/>
      <c r="DJ2" s="203"/>
      <c r="DK2" s="203"/>
      <c r="DL2" s="203"/>
      <c r="DM2" s="203"/>
      <c r="DN2" s="203"/>
      <c r="DO2" s="203"/>
      <c r="DP2" s="203"/>
      <c r="DQ2" s="203"/>
      <c r="DR2" s="203"/>
      <c r="DS2" s="203"/>
      <c r="DT2" s="203"/>
      <c r="DU2" s="203"/>
      <c r="DV2" s="203"/>
      <c r="DW2" s="203"/>
      <c r="DX2" s="203"/>
      <c r="DY2" s="203"/>
      <c r="DZ2" s="203"/>
      <c r="EA2" s="203"/>
      <c r="EB2" s="203"/>
      <c r="EC2" s="203"/>
      <c r="ED2" s="203"/>
      <c r="EE2" s="203"/>
      <c r="EF2" s="203"/>
      <c r="EG2" s="203"/>
      <c r="EH2" s="203"/>
      <c r="EI2" s="203"/>
      <c r="EJ2" s="203"/>
      <c r="EK2" s="203"/>
      <c r="EL2" s="203"/>
      <c r="EM2" s="203"/>
      <c r="EN2" s="203"/>
      <c r="EO2" s="203"/>
      <c r="EP2" s="203"/>
      <c r="EQ2" s="203"/>
      <c r="ER2" s="203"/>
      <c r="ES2" s="203"/>
      <c r="ET2" s="203"/>
      <c r="EU2" s="203"/>
      <c r="EV2" s="203"/>
      <c r="EW2" s="203"/>
      <c r="EX2" s="203"/>
      <c r="EY2" s="203"/>
      <c r="EZ2" s="203"/>
      <c r="FA2" s="203"/>
      <c r="FB2" s="203"/>
      <c r="FC2" s="203"/>
      <c r="FD2" s="203"/>
      <c r="FE2" s="203"/>
      <c r="FF2" s="203"/>
      <c r="FG2" s="203"/>
      <c r="FH2" s="203"/>
      <c r="FI2" s="203"/>
      <c r="FJ2" s="203"/>
      <c r="FK2" s="203"/>
      <c r="FL2" s="203"/>
      <c r="FM2" s="203"/>
      <c r="FN2" s="203"/>
      <c r="FO2" s="203"/>
      <c r="FP2" s="203"/>
      <c r="FQ2" s="203"/>
      <c r="FR2" s="203"/>
      <c r="FS2" s="203"/>
      <c r="FT2" s="203"/>
      <c r="FU2" s="203"/>
      <c r="FV2" s="203"/>
      <c r="FW2" s="203"/>
      <c r="FX2" s="203"/>
      <c r="FY2" s="203"/>
      <c r="FZ2" s="203"/>
      <c r="GA2" s="203"/>
      <c r="GB2" s="203"/>
      <c r="GC2" s="203"/>
      <c r="GD2" s="203"/>
      <c r="GE2" s="203"/>
      <c r="GF2" s="203"/>
      <c r="GG2" s="203"/>
      <c r="GH2" s="203"/>
      <c r="GI2" s="203"/>
      <c r="GJ2" s="203"/>
      <c r="GK2" s="203"/>
      <c r="GL2" s="203"/>
      <c r="GM2" s="203"/>
      <c r="GN2" s="203"/>
      <c r="GO2" s="203"/>
      <c r="GP2" s="203"/>
      <c r="GQ2" s="203"/>
      <c r="GR2" s="203"/>
      <c r="GS2" s="203"/>
      <c r="GT2" s="203"/>
      <c r="GU2" s="203"/>
      <c r="GV2" s="203"/>
      <c r="GW2" s="203"/>
      <c r="GX2" s="203"/>
      <c r="GY2" s="203"/>
      <c r="GZ2" s="203"/>
      <c r="HA2" s="203"/>
      <c r="HB2" s="203"/>
      <c r="HC2" s="203"/>
      <c r="HD2" s="203"/>
      <c r="HE2" s="203"/>
      <c r="HF2" s="203"/>
      <c r="HG2" s="203"/>
      <c r="HH2" s="203"/>
      <c r="HI2" s="203"/>
      <c r="HJ2" s="203"/>
      <c r="HK2" s="203"/>
      <c r="HL2" s="203"/>
      <c r="HM2" s="203"/>
      <c r="HN2" s="203"/>
      <c r="HO2" s="203"/>
      <c r="HP2" s="203"/>
      <c r="HQ2" s="203"/>
      <c r="HR2" s="203"/>
      <c r="HS2" s="203"/>
      <c r="HT2" s="203"/>
      <c r="HU2" s="203"/>
      <c r="HV2" s="203"/>
      <c r="HW2" s="203"/>
      <c r="HX2" s="203"/>
      <c r="HY2" s="203"/>
      <c r="HZ2" s="203"/>
      <c r="IA2" s="203"/>
      <c r="IB2" s="203"/>
      <c r="IC2" s="203"/>
      <c r="ID2" s="203"/>
      <c r="IE2" s="203"/>
      <c r="IF2" s="203"/>
      <c r="IG2" s="203"/>
      <c r="IH2" s="203"/>
      <c r="II2" s="203"/>
      <c r="IJ2" s="203"/>
      <c r="IK2" s="203"/>
      <c r="IL2" s="203"/>
      <c r="IM2" s="203"/>
      <c r="IN2" s="203"/>
      <c r="IO2" s="203"/>
      <c r="IP2" s="203"/>
      <c r="IQ2" s="203"/>
      <c r="IR2" s="203"/>
      <c r="IS2" s="203"/>
      <c r="IT2" s="203"/>
      <c r="IU2" s="203"/>
      <c r="IV2" s="203"/>
      <c r="IW2" s="203"/>
      <c r="IX2" s="203"/>
      <c r="IY2" s="203"/>
      <c r="IZ2" s="203"/>
      <c r="JA2" s="203"/>
      <c r="JB2" s="203"/>
      <c r="JC2" s="203"/>
      <c r="JD2" s="203"/>
      <c r="JE2" s="203"/>
      <c r="JF2" s="203"/>
      <c r="JG2" s="203"/>
      <c r="JH2" s="203"/>
      <c r="JI2" s="203"/>
      <c r="JJ2" s="203"/>
      <c r="JK2" s="203"/>
      <c r="JL2" s="203"/>
      <c r="JM2" s="203"/>
      <c r="JN2" s="203"/>
      <c r="JO2" s="203"/>
      <c r="JP2" s="203"/>
      <c r="JQ2" s="203"/>
      <c r="JR2" s="203"/>
      <c r="JS2" s="203"/>
      <c r="JT2" s="203"/>
      <c r="JU2" s="203"/>
      <c r="JV2" s="203"/>
      <c r="JW2" s="203"/>
      <c r="JX2" s="203"/>
      <c r="JY2" s="203"/>
      <c r="JZ2" s="203"/>
      <c r="KA2" s="203"/>
    </row>
    <row r="3" spans="1:287" ht="27.75">
      <c r="A3" s="203"/>
      <c r="B3" s="380" t="s">
        <v>5379</v>
      </c>
      <c r="C3" s="381"/>
      <c r="D3" s="381"/>
      <c r="E3" s="381"/>
      <c r="F3" s="382"/>
      <c r="G3" s="213"/>
      <c r="H3" s="240"/>
      <c r="I3" s="214" t="s">
        <v>12</v>
      </c>
      <c r="J3" s="215"/>
      <c r="K3" s="216"/>
      <c r="L3" s="217"/>
      <c r="M3" s="217"/>
      <c r="N3" s="217"/>
      <c r="O3" s="218"/>
      <c r="P3" s="217"/>
      <c r="Q3" s="217"/>
      <c r="R3" s="217"/>
      <c r="S3" s="217"/>
      <c r="T3" s="217"/>
      <c r="U3" s="217"/>
      <c r="V3" s="219"/>
      <c r="W3" s="220"/>
      <c r="X3" s="220"/>
      <c r="Y3" s="220"/>
      <c r="Z3" s="221"/>
      <c r="AA3" s="379"/>
      <c r="AB3" s="379"/>
      <c r="AC3" s="240"/>
      <c r="AD3" s="240"/>
      <c r="AE3" s="240"/>
      <c r="AF3" s="240"/>
      <c r="AG3" s="240"/>
      <c r="AH3" s="240"/>
      <c r="AI3" s="203"/>
      <c r="AJ3" s="203"/>
      <c r="AK3" s="203"/>
      <c r="AL3" s="203"/>
      <c r="AM3" s="203"/>
      <c r="AN3" s="203"/>
      <c r="AO3" s="203"/>
      <c r="AP3" s="203"/>
      <c r="AQ3" s="203"/>
      <c r="AR3" s="203"/>
      <c r="AS3" s="203"/>
      <c r="AT3" s="203"/>
      <c r="AU3" s="203"/>
      <c r="AV3" s="203"/>
      <c r="AW3" s="203"/>
      <c r="AX3" s="203"/>
      <c r="AY3" s="203"/>
      <c r="AZ3" s="203"/>
      <c r="BA3" s="203"/>
      <c r="BB3" s="203"/>
      <c r="BC3" s="203"/>
      <c r="BD3" s="203"/>
      <c r="BE3" s="203"/>
      <c r="BF3" s="203"/>
      <c r="BG3" s="203"/>
      <c r="BH3" s="203"/>
      <c r="BI3" s="203"/>
      <c r="BJ3" s="203"/>
      <c r="BK3" s="203"/>
      <c r="BL3" s="203"/>
      <c r="BM3" s="203"/>
      <c r="BN3" s="203"/>
      <c r="BO3" s="203"/>
      <c r="BP3" s="203"/>
      <c r="BQ3" s="203"/>
      <c r="BR3" s="203"/>
      <c r="BS3" s="203"/>
      <c r="BT3" s="203"/>
      <c r="BU3" s="203"/>
      <c r="BV3" s="203"/>
      <c r="BW3" s="203"/>
      <c r="BX3" s="203"/>
      <c r="BY3" s="203"/>
      <c r="BZ3" s="203"/>
      <c r="CA3" s="203"/>
      <c r="CB3" s="203"/>
      <c r="CC3" s="203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  <c r="CR3" s="203"/>
      <c r="CS3" s="203"/>
      <c r="CT3" s="203"/>
      <c r="CU3" s="203"/>
      <c r="CV3" s="203"/>
      <c r="CW3" s="203"/>
      <c r="CX3" s="203"/>
      <c r="CY3" s="203"/>
      <c r="CZ3" s="203"/>
      <c r="DA3" s="203"/>
      <c r="DB3" s="203"/>
      <c r="DC3" s="203"/>
      <c r="DD3" s="203"/>
      <c r="DE3" s="203"/>
      <c r="DF3" s="203"/>
      <c r="DG3" s="203"/>
      <c r="DH3" s="203"/>
      <c r="DI3" s="203"/>
      <c r="DJ3" s="203"/>
      <c r="DK3" s="203"/>
      <c r="DL3" s="203"/>
      <c r="DM3" s="203"/>
      <c r="DN3" s="203"/>
      <c r="DO3" s="203"/>
      <c r="DP3" s="203"/>
      <c r="DQ3" s="203"/>
      <c r="DR3" s="203"/>
      <c r="DS3" s="203"/>
      <c r="DT3" s="203"/>
      <c r="DU3" s="203"/>
      <c r="DV3" s="203"/>
      <c r="DW3" s="203"/>
      <c r="DX3" s="203"/>
      <c r="DY3" s="203"/>
      <c r="DZ3" s="203"/>
      <c r="EA3" s="203"/>
      <c r="EB3" s="203"/>
      <c r="EC3" s="203"/>
      <c r="ED3" s="203"/>
      <c r="EE3" s="203"/>
      <c r="EF3" s="203"/>
      <c r="EG3" s="203"/>
      <c r="EH3" s="203"/>
      <c r="EI3" s="203"/>
      <c r="EJ3" s="203"/>
      <c r="EK3" s="203"/>
      <c r="EL3" s="203"/>
      <c r="EM3" s="203"/>
      <c r="EN3" s="203"/>
      <c r="EO3" s="203"/>
      <c r="EP3" s="203"/>
      <c r="EQ3" s="203"/>
      <c r="ER3" s="203"/>
      <c r="ES3" s="203"/>
      <c r="ET3" s="203"/>
      <c r="EU3" s="203"/>
      <c r="EV3" s="203"/>
      <c r="EW3" s="203"/>
      <c r="EX3" s="203"/>
      <c r="EY3" s="203"/>
      <c r="EZ3" s="203"/>
      <c r="FA3" s="203"/>
      <c r="FB3" s="203"/>
      <c r="FC3" s="203"/>
      <c r="FD3" s="203"/>
      <c r="FE3" s="203"/>
      <c r="FF3" s="203"/>
      <c r="FG3" s="203"/>
      <c r="FH3" s="203"/>
      <c r="FI3" s="203"/>
      <c r="FJ3" s="203"/>
      <c r="FK3" s="203"/>
      <c r="FL3" s="203"/>
      <c r="FM3" s="203"/>
      <c r="FN3" s="203"/>
      <c r="FO3" s="203"/>
      <c r="FP3" s="203"/>
      <c r="FQ3" s="203"/>
      <c r="FR3" s="203"/>
      <c r="FS3" s="203"/>
      <c r="FT3" s="203"/>
      <c r="FU3" s="203"/>
      <c r="FV3" s="203"/>
      <c r="FW3" s="203"/>
      <c r="FX3" s="203"/>
      <c r="FY3" s="203"/>
      <c r="FZ3" s="203"/>
      <c r="GA3" s="203"/>
      <c r="GB3" s="203"/>
      <c r="GC3" s="203"/>
      <c r="GD3" s="203"/>
      <c r="GE3" s="203"/>
      <c r="GF3" s="203"/>
      <c r="GG3" s="203"/>
      <c r="GH3" s="203"/>
      <c r="GI3" s="203"/>
      <c r="GJ3" s="203"/>
      <c r="GK3" s="203"/>
      <c r="GL3" s="203"/>
      <c r="GM3" s="203"/>
      <c r="GN3" s="203"/>
      <c r="GO3" s="203"/>
      <c r="GP3" s="203"/>
      <c r="GQ3" s="203"/>
      <c r="GR3" s="203"/>
      <c r="GS3" s="203"/>
      <c r="GT3" s="203"/>
      <c r="GU3" s="203"/>
      <c r="GV3" s="203"/>
      <c r="GW3" s="203"/>
      <c r="GX3" s="203"/>
      <c r="GY3" s="203"/>
      <c r="GZ3" s="203"/>
      <c r="HA3" s="203"/>
      <c r="HB3" s="203"/>
      <c r="HC3" s="203"/>
      <c r="HD3" s="203"/>
      <c r="HE3" s="203"/>
      <c r="HF3" s="203"/>
      <c r="HG3" s="203"/>
      <c r="HH3" s="203"/>
      <c r="HI3" s="203"/>
      <c r="HJ3" s="203"/>
      <c r="HK3" s="203"/>
      <c r="HL3" s="203"/>
      <c r="HM3" s="203"/>
      <c r="HN3" s="203"/>
      <c r="HO3" s="203"/>
      <c r="HP3" s="203"/>
      <c r="HQ3" s="203"/>
      <c r="HR3" s="203"/>
      <c r="HS3" s="203"/>
      <c r="HT3" s="203"/>
      <c r="HU3" s="203"/>
      <c r="HV3" s="203"/>
      <c r="HW3" s="203"/>
      <c r="HX3" s="203"/>
      <c r="HY3" s="203"/>
      <c r="HZ3" s="203"/>
      <c r="IA3" s="203"/>
      <c r="IB3" s="203"/>
      <c r="IC3" s="203"/>
      <c r="ID3" s="203"/>
      <c r="IE3" s="203"/>
      <c r="IF3" s="203"/>
      <c r="IG3" s="203"/>
      <c r="IH3" s="203"/>
      <c r="II3" s="203"/>
      <c r="IJ3" s="203"/>
      <c r="IK3" s="203"/>
      <c r="IL3" s="203"/>
      <c r="IM3" s="203"/>
      <c r="IN3" s="203"/>
      <c r="IO3" s="203"/>
      <c r="IP3" s="203"/>
      <c r="IQ3" s="203"/>
      <c r="IR3" s="203"/>
      <c r="IS3" s="203"/>
      <c r="IT3" s="203"/>
      <c r="IU3" s="203"/>
      <c r="IV3" s="203"/>
      <c r="IW3" s="203"/>
      <c r="IX3" s="203"/>
      <c r="IY3" s="203"/>
      <c r="IZ3" s="203"/>
      <c r="JA3" s="203"/>
      <c r="JB3" s="203"/>
      <c r="JC3" s="203"/>
      <c r="JD3" s="203"/>
      <c r="JE3" s="203"/>
      <c r="JF3" s="203"/>
      <c r="JG3" s="203"/>
      <c r="JH3" s="203"/>
      <c r="JI3" s="203"/>
      <c r="JJ3" s="203"/>
      <c r="JK3" s="203"/>
      <c r="JL3" s="203"/>
      <c r="JM3" s="203"/>
      <c r="JN3" s="203"/>
      <c r="JO3" s="203"/>
      <c r="JP3" s="203"/>
      <c r="JQ3" s="203"/>
      <c r="JR3" s="203"/>
      <c r="JS3" s="203"/>
      <c r="JT3" s="203"/>
      <c r="JU3" s="203"/>
      <c r="JV3" s="203"/>
      <c r="JW3" s="203"/>
      <c r="JX3" s="203"/>
      <c r="JY3" s="203"/>
      <c r="JZ3" s="203"/>
      <c r="KA3" s="203"/>
    </row>
    <row r="4" spans="1:287" ht="28.5" thickBot="1">
      <c r="A4" s="203"/>
      <c r="B4" s="380" t="s">
        <v>5380</v>
      </c>
      <c r="C4" s="381"/>
      <c r="D4" s="381"/>
      <c r="E4" s="381"/>
      <c r="F4" s="382"/>
      <c r="G4" s="222"/>
      <c r="H4" s="240"/>
      <c r="I4" s="223" t="s">
        <v>13</v>
      </c>
      <c r="J4" s="224"/>
      <c r="K4" s="225"/>
      <c r="L4" s="226"/>
      <c r="M4" s="226"/>
      <c r="N4" s="226"/>
      <c r="O4" s="227"/>
      <c r="P4" s="226"/>
      <c r="Q4" s="226"/>
      <c r="R4" s="226"/>
      <c r="S4" s="226"/>
      <c r="T4" s="226"/>
      <c r="U4" s="226"/>
      <c r="V4" s="228"/>
      <c r="W4" s="229"/>
      <c r="X4" s="229"/>
      <c r="Y4" s="229"/>
      <c r="Z4" s="230"/>
      <c r="AA4" s="379"/>
      <c r="AB4" s="379"/>
      <c r="AC4" s="240"/>
      <c r="AD4" s="240"/>
      <c r="AE4" s="240"/>
      <c r="AF4" s="240"/>
      <c r="AG4" s="240"/>
      <c r="AH4" s="240"/>
      <c r="AI4" s="203"/>
      <c r="AJ4" s="203"/>
      <c r="AK4" s="203"/>
      <c r="AL4" s="203"/>
      <c r="AM4" s="203"/>
      <c r="AN4" s="203"/>
      <c r="AO4" s="203"/>
      <c r="AP4" s="203"/>
      <c r="AQ4" s="203"/>
      <c r="AR4" s="203"/>
      <c r="AS4" s="203"/>
      <c r="AT4" s="203"/>
      <c r="AU4" s="203"/>
      <c r="AV4" s="203"/>
      <c r="AW4" s="203"/>
      <c r="AX4" s="203"/>
      <c r="AY4" s="203"/>
      <c r="AZ4" s="203"/>
      <c r="BA4" s="203"/>
      <c r="BB4" s="203"/>
      <c r="BC4" s="203"/>
      <c r="BD4" s="203"/>
      <c r="BE4" s="203"/>
      <c r="BF4" s="203"/>
      <c r="BG4" s="203"/>
      <c r="BH4" s="203"/>
      <c r="BI4" s="203"/>
      <c r="BJ4" s="203"/>
      <c r="BK4" s="203"/>
      <c r="BL4" s="203"/>
      <c r="BM4" s="203"/>
      <c r="BN4" s="203"/>
      <c r="BO4" s="203"/>
      <c r="BP4" s="203"/>
      <c r="BQ4" s="203"/>
      <c r="BR4" s="203"/>
      <c r="BS4" s="203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  <c r="CG4" s="203"/>
      <c r="CH4" s="203"/>
      <c r="CI4" s="203"/>
      <c r="CJ4" s="203"/>
      <c r="CK4" s="203"/>
      <c r="CL4" s="203"/>
      <c r="CM4" s="203"/>
      <c r="CN4" s="203"/>
      <c r="CO4" s="203"/>
      <c r="CP4" s="203"/>
      <c r="CQ4" s="203"/>
      <c r="CR4" s="203"/>
      <c r="CS4" s="203"/>
      <c r="CT4" s="203"/>
      <c r="CU4" s="203"/>
      <c r="CV4" s="203"/>
      <c r="CW4" s="203"/>
      <c r="CX4" s="203"/>
      <c r="CY4" s="203"/>
      <c r="CZ4" s="203"/>
      <c r="DA4" s="203"/>
      <c r="DB4" s="203"/>
      <c r="DC4" s="203"/>
      <c r="DD4" s="203"/>
      <c r="DE4" s="203"/>
      <c r="DF4" s="203"/>
      <c r="DG4" s="203"/>
      <c r="DH4" s="203"/>
      <c r="DI4" s="203"/>
      <c r="DJ4" s="203"/>
      <c r="DK4" s="203"/>
      <c r="DL4" s="203"/>
      <c r="DM4" s="203"/>
      <c r="DN4" s="203"/>
      <c r="DO4" s="203"/>
      <c r="DP4" s="203"/>
      <c r="DQ4" s="203"/>
      <c r="DR4" s="203"/>
      <c r="DS4" s="203"/>
      <c r="DT4" s="203"/>
      <c r="DU4" s="203"/>
      <c r="DV4" s="203"/>
      <c r="DW4" s="203"/>
      <c r="DX4" s="203"/>
      <c r="DY4" s="203"/>
      <c r="DZ4" s="203"/>
      <c r="EA4" s="203"/>
      <c r="EB4" s="203"/>
      <c r="EC4" s="203"/>
      <c r="ED4" s="203"/>
      <c r="EE4" s="203"/>
      <c r="EF4" s="203"/>
      <c r="EG4" s="203"/>
      <c r="EH4" s="203"/>
      <c r="EI4" s="203"/>
      <c r="EJ4" s="203"/>
      <c r="EK4" s="203"/>
      <c r="EL4" s="203"/>
      <c r="EM4" s="203"/>
      <c r="EN4" s="203"/>
      <c r="EO4" s="203"/>
      <c r="EP4" s="203"/>
      <c r="EQ4" s="203"/>
      <c r="ER4" s="203"/>
      <c r="ES4" s="203"/>
      <c r="ET4" s="203"/>
      <c r="EU4" s="203"/>
      <c r="EV4" s="203"/>
      <c r="EW4" s="203"/>
      <c r="EX4" s="203"/>
      <c r="EY4" s="203"/>
      <c r="EZ4" s="203"/>
      <c r="FA4" s="203"/>
      <c r="FB4" s="203"/>
      <c r="FC4" s="203"/>
      <c r="FD4" s="203"/>
      <c r="FE4" s="203"/>
      <c r="FF4" s="203"/>
      <c r="FG4" s="203"/>
      <c r="FH4" s="203"/>
      <c r="FI4" s="203"/>
      <c r="FJ4" s="203"/>
      <c r="FK4" s="203"/>
      <c r="FL4" s="203"/>
      <c r="FM4" s="203"/>
      <c r="FN4" s="203"/>
      <c r="FO4" s="203"/>
      <c r="FP4" s="203"/>
      <c r="FQ4" s="203"/>
      <c r="FR4" s="203"/>
      <c r="FS4" s="203"/>
      <c r="FT4" s="203"/>
      <c r="FU4" s="203"/>
      <c r="FV4" s="203"/>
      <c r="FW4" s="203"/>
      <c r="FX4" s="203"/>
      <c r="FY4" s="203"/>
      <c r="FZ4" s="203"/>
      <c r="GA4" s="203"/>
      <c r="GB4" s="203"/>
      <c r="GC4" s="203"/>
      <c r="GD4" s="203"/>
      <c r="GE4" s="203"/>
      <c r="GF4" s="203"/>
      <c r="GG4" s="203"/>
      <c r="GH4" s="203"/>
      <c r="GI4" s="203"/>
      <c r="GJ4" s="203"/>
      <c r="GK4" s="203"/>
      <c r="GL4" s="203"/>
      <c r="GM4" s="203"/>
      <c r="GN4" s="203"/>
      <c r="GO4" s="203"/>
      <c r="GP4" s="203"/>
      <c r="GQ4" s="203"/>
      <c r="GR4" s="203"/>
      <c r="GS4" s="203"/>
      <c r="GT4" s="203"/>
      <c r="GU4" s="203"/>
      <c r="GV4" s="203"/>
      <c r="GW4" s="203"/>
      <c r="GX4" s="203"/>
      <c r="GY4" s="203"/>
      <c r="GZ4" s="203"/>
      <c r="HA4" s="203"/>
      <c r="HB4" s="203"/>
      <c r="HC4" s="203"/>
      <c r="HD4" s="203"/>
      <c r="HE4" s="203"/>
      <c r="HF4" s="203"/>
      <c r="HG4" s="203"/>
      <c r="HH4" s="203"/>
      <c r="HI4" s="203"/>
      <c r="HJ4" s="203"/>
      <c r="HK4" s="203"/>
      <c r="HL4" s="203"/>
      <c r="HM4" s="203"/>
      <c r="HN4" s="203"/>
      <c r="HO4" s="203"/>
      <c r="HP4" s="203"/>
      <c r="HQ4" s="203"/>
      <c r="HR4" s="203"/>
      <c r="HS4" s="203"/>
      <c r="HT4" s="203"/>
      <c r="HU4" s="203"/>
      <c r="HV4" s="203"/>
      <c r="HW4" s="203"/>
      <c r="HX4" s="203"/>
      <c r="HY4" s="203"/>
      <c r="HZ4" s="203"/>
      <c r="IA4" s="203"/>
      <c r="IB4" s="203"/>
      <c r="IC4" s="203"/>
      <c r="ID4" s="203"/>
      <c r="IE4" s="203"/>
      <c r="IF4" s="203"/>
      <c r="IG4" s="203"/>
      <c r="IH4" s="203"/>
      <c r="II4" s="203"/>
      <c r="IJ4" s="203"/>
      <c r="IK4" s="203"/>
      <c r="IL4" s="203"/>
      <c r="IM4" s="203"/>
      <c r="IN4" s="203"/>
      <c r="IO4" s="203"/>
      <c r="IP4" s="203"/>
      <c r="IQ4" s="203"/>
      <c r="IR4" s="203"/>
      <c r="IS4" s="203"/>
      <c r="IT4" s="203"/>
      <c r="IU4" s="203"/>
      <c r="IV4" s="203"/>
      <c r="IW4" s="203"/>
      <c r="IX4" s="203"/>
      <c r="IY4" s="203"/>
      <c r="IZ4" s="203"/>
      <c r="JA4" s="203"/>
      <c r="JB4" s="203"/>
      <c r="JC4" s="203"/>
      <c r="JD4" s="203"/>
      <c r="JE4" s="203"/>
      <c r="JF4" s="203"/>
      <c r="JG4" s="203"/>
      <c r="JH4" s="203"/>
      <c r="JI4" s="203"/>
      <c r="JJ4" s="203"/>
      <c r="JK4" s="203"/>
      <c r="JL4" s="203"/>
      <c r="JM4" s="203"/>
      <c r="JN4" s="203"/>
      <c r="JO4" s="203"/>
      <c r="JP4" s="203"/>
      <c r="JQ4" s="203"/>
      <c r="JR4" s="203"/>
      <c r="JS4" s="203"/>
      <c r="JT4" s="203"/>
      <c r="JU4" s="203"/>
      <c r="JV4" s="203"/>
      <c r="JW4" s="203"/>
      <c r="JX4" s="203"/>
      <c r="JY4" s="203"/>
      <c r="JZ4" s="203"/>
      <c r="KA4" s="203"/>
    </row>
    <row r="5" spans="1:287" ht="34.5" thickBot="1">
      <c r="A5" s="203"/>
      <c r="B5" s="383" t="s">
        <v>5381</v>
      </c>
      <c r="C5" s="384"/>
      <c r="D5" s="384"/>
      <c r="E5" s="384"/>
      <c r="F5" s="385"/>
      <c r="G5" s="231"/>
      <c r="H5" s="240"/>
      <c r="I5" s="240"/>
      <c r="J5" s="240"/>
      <c r="K5" s="240"/>
      <c r="L5" s="240"/>
      <c r="M5" s="240"/>
      <c r="N5" s="240"/>
      <c r="O5" s="240"/>
      <c r="P5" s="240"/>
      <c r="Q5" s="232"/>
      <c r="R5" s="240"/>
      <c r="S5" s="240"/>
      <c r="T5" s="240"/>
      <c r="U5" s="240"/>
      <c r="V5" s="240"/>
      <c r="W5" s="240"/>
      <c r="X5" s="240"/>
      <c r="Y5" s="379"/>
      <c r="Z5" s="379"/>
      <c r="AA5" s="379"/>
      <c r="AB5" s="379"/>
      <c r="AC5" s="240"/>
      <c r="AD5" s="240"/>
      <c r="AE5" s="240"/>
      <c r="AF5" s="372">
        <v>44593</v>
      </c>
      <c r="AG5" s="373"/>
      <c r="AH5" s="373"/>
      <c r="AI5" s="203"/>
      <c r="AJ5" s="203"/>
      <c r="AK5" s="203"/>
      <c r="AL5" s="203"/>
      <c r="AM5" s="203"/>
      <c r="AN5" s="203"/>
      <c r="AO5" s="203"/>
      <c r="AP5" s="203"/>
      <c r="AQ5" s="203"/>
      <c r="AR5" s="203"/>
      <c r="AS5" s="203"/>
      <c r="AT5" s="203"/>
      <c r="AU5" s="203"/>
      <c r="AV5" s="203"/>
      <c r="AW5" s="203"/>
      <c r="AX5" s="203"/>
      <c r="AY5" s="203"/>
      <c r="AZ5" s="203"/>
      <c r="BA5" s="203"/>
      <c r="BB5" s="203"/>
      <c r="BC5" s="203"/>
      <c r="BD5" s="203"/>
      <c r="BE5" s="203"/>
      <c r="BF5" s="203"/>
      <c r="BG5" s="203"/>
      <c r="BH5" s="203"/>
      <c r="BI5" s="203"/>
      <c r="BJ5" s="203"/>
      <c r="BK5" s="203"/>
      <c r="BL5" s="203"/>
      <c r="BM5" s="203"/>
      <c r="BN5" s="203"/>
      <c r="BO5" s="203"/>
      <c r="BP5" s="203"/>
      <c r="BQ5" s="203"/>
      <c r="BR5" s="203"/>
      <c r="BS5" s="203"/>
      <c r="BT5" s="203"/>
      <c r="BU5" s="203"/>
      <c r="BV5" s="203"/>
      <c r="BW5" s="203"/>
      <c r="BX5" s="203"/>
      <c r="BY5" s="203"/>
      <c r="BZ5" s="203"/>
      <c r="CA5" s="203"/>
      <c r="CB5" s="203"/>
      <c r="CC5" s="203"/>
      <c r="CD5" s="203"/>
      <c r="CE5" s="203"/>
      <c r="CF5" s="203"/>
      <c r="CG5" s="203"/>
      <c r="CH5" s="203"/>
      <c r="CI5" s="203"/>
      <c r="CJ5" s="203"/>
      <c r="CK5" s="203"/>
      <c r="CL5" s="203"/>
      <c r="CM5" s="203"/>
      <c r="CN5" s="203"/>
      <c r="CO5" s="203"/>
      <c r="CP5" s="203"/>
      <c r="CQ5" s="203"/>
      <c r="CR5" s="203"/>
      <c r="CS5" s="203"/>
      <c r="CT5" s="203"/>
      <c r="CU5" s="203"/>
      <c r="CV5" s="203"/>
      <c r="CW5" s="203"/>
      <c r="CX5" s="203"/>
      <c r="CY5" s="203"/>
      <c r="CZ5" s="203"/>
      <c r="DA5" s="203"/>
      <c r="DB5" s="203"/>
      <c r="DC5" s="203"/>
      <c r="DD5" s="203"/>
      <c r="DE5" s="203"/>
      <c r="DF5" s="203"/>
      <c r="DG5" s="203"/>
      <c r="DH5" s="203"/>
      <c r="DI5" s="203"/>
      <c r="DJ5" s="203"/>
      <c r="DK5" s="203"/>
      <c r="DL5" s="203"/>
      <c r="DM5" s="203"/>
      <c r="DN5" s="203"/>
      <c r="DO5" s="203"/>
      <c r="DP5" s="203"/>
      <c r="DQ5" s="203"/>
      <c r="DR5" s="203"/>
      <c r="DS5" s="203"/>
      <c r="DT5" s="203"/>
      <c r="DU5" s="203"/>
      <c r="DV5" s="203"/>
      <c r="DW5" s="203"/>
      <c r="DX5" s="203"/>
      <c r="DY5" s="203"/>
      <c r="DZ5" s="203"/>
      <c r="EA5" s="203"/>
      <c r="EB5" s="203"/>
      <c r="EC5" s="203"/>
      <c r="ED5" s="203"/>
      <c r="EE5" s="203"/>
      <c r="EF5" s="203"/>
      <c r="EG5" s="203"/>
      <c r="EH5" s="203"/>
      <c r="EI5" s="203"/>
      <c r="EJ5" s="203"/>
      <c r="EK5" s="203"/>
      <c r="EL5" s="203"/>
      <c r="EM5" s="203"/>
      <c r="EN5" s="203"/>
      <c r="EO5" s="203"/>
      <c r="EP5" s="203"/>
      <c r="EQ5" s="203"/>
      <c r="ER5" s="203"/>
      <c r="ES5" s="203"/>
      <c r="ET5" s="203"/>
      <c r="EU5" s="203"/>
      <c r="EV5" s="203"/>
      <c r="EW5" s="203"/>
      <c r="EX5" s="203"/>
      <c r="EY5" s="203"/>
      <c r="EZ5" s="203"/>
      <c r="FA5" s="203"/>
      <c r="FB5" s="203"/>
      <c r="FC5" s="203"/>
      <c r="FD5" s="203"/>
      <c r="FE5" s="203"/>
      <c r="FF5" s="203"/>
      <c r="FG5" s="203"/>
      <c r="FH5" s="203"/>
      <c r="FI5" s="203"/>
      <c r="FJ5" s="203"/>
      <c r="FK5" s="203"/>
      <c r="FL5" s="203"/>
      <c r="FM5" s="203"/>
      <c r="FN5" s="203"/>
      <c r="FO5" s="203"/>
      <c r="FP5" s="203"/>
      <c r="FQ5" s="203"/>
      <c r="FR5" s="203"/>
      <c r="FS5" s="203"/>
      <c r="FT5" s="203"/>
      <c r="FU5" s="203"/>
      <c r="FV5" s="203"/>
      <c r="FW5" s="203"/>
      <c r="FX5" s="203"/>
      <c r="FY5" s="203"/>
      <c r="FZ5" s="203"/>
      <c r="GA5" s="203"/>
      <c r="GB5" s="203"/>
      <c r="GC5" s="203"/>
      <c r="GD5" s="203"/>
      <c r="GE5" s="203"/>
      <c r="GF5" s="203"/>
      <c r="GG5" s="203"/>
      <c r="GH5" s="203"/>
      <c r="GI5" s="203"/>
      <c r="GJ5" s="203"/>
      <c r="GK5" s="203"/>
      <c r="GL5" s="203"/>
      <c r="GM5" s="203"/>
      <c r="GN5" s="203"/>
      <c r="GO5" s="203"/>
      <c r="GP5" s="203"/>
      <c r="GQ5" s="203"/>
      <c r="GR5" s="203"/>
      <c r="GS5" s="203"/>
      <c r="GT5" s="203"/>
      <c r="GU5" s="203"/>
      <c r="GV5" s="203"/>
      <c r="GW5" s="203"/>
      <c r="GX5" s="203"/>
      <c r="GY5" s="203"/>
      <c r="GZ5" s="203"/>
      <c r="HA5" s="203"/>
      <c r="HB5" s="203"/>
      <c r="HC5" s="203"/>
      <c r="HD5" s="203"/>
      <c r="HE5" s="203"/>
      <c r="HF5" s="203"/>
      <c r="HG5" s="203"/>
      <c r="HH5" s="203"/>
      <c r="HI5" s="203"/>
      <c r="HJ5" s="203"/>
      <c r="HK5" s="203"/>
      <c r="HL5" s="203"/>
      <c r="HM5" s="203"/>
      <c r="HN5" s="203"/>
      <c r="HO5" s="203"/>
      <c r="HP5" s="203"/>
      <c r="HQ5" s="203"/>
      <c r="HR5" s="203"/>
      <c r="HS5" s="203"/>
      <c r="HT5" s="203"/>
      <c r="HU5" s="203"/>
      <c r="HV5" s="203"/>
      <c r="HW5" s="203"/>
      <c r="HX5" s="203"/>
      <c r="HY5" s="203"/>
      <c r="HZ5" s="203"/>
      <c r="IA5" s="203"/>
      <c r="IB5" s="203"/>
      <c r="IC5" s="203"/>
      <c r="ID5" s="203"/>
      <c r="IE5" s="203"/>
      <c r="IF5" s="203"/>
      <c r="IG5" s="203"/>
      <c r="IH5" s="203"/>
      <c r="II5" s="203"/>
      <c r="IJ5" s="203"/>
      <c r="IK5" s="203"/>
      <c r="IL5" s="203"/>
      <c r="IM5" s="203"/>
      <c r="IN5" s="203"/>
      <c r="IO5" s="203"/>
      <c r="IP5" s="203"/>
      <c r="IQ5" s="203"/>
      <c r="IR5" s="203"/>
      <c r="IS5" s="203"/>
      <c r="IT5" s="203"/>
      <c r="IU5" s="203"/>
      <c r="IV5" s="203"/>
      <c r="IW5" s="203"/>
      <c r="IX5" s="203"/>
      <c r="IY5" s="203"/>
      <c r="IZ5" s="203"/>
      <c r="JA5" s="203"/>
      <c r="JB5" s="203"/>
      <c r="JC5" s="203"/>
      <c r="JD5" s="203"/>
      <c r="JE5" s="203"/>
      <c r="JF5" s="203"/>
      <c r="JG5" s="203"/>
      <c r="JH5" s="203"/>
      <c r="JI5" s="203"/>
      <c r="JJ5" s="203"/>
      <c r="JK5" s="203"/>
      <c r="JL5" s="203"/>
      <c r="JM5" s="203"/>
      <c r="JN5" s="203"/>
      <c r="JO5" s="203"/>
      <c r="JP5" s="203"/>
      <c r="JQ5" s="203"/>
      <c r="JR5" s="203"/>
      <c r="JS5" s="203"/>
      <c r="JT5" s="203"/>
      <c r="JU5" s="203"/>
      <c r="JV5" s="203"/>
      <c r="JW5" s="203"/>
      <c r="JX5" s="203"/>
      <c r="JY5" s="203"/>
      <c r="JZ5" s="203"/>
      <c r="KA5" s="203"/>
    </row>
    <row r="6" spans="1:287" ht="30.75" thickBot="1">
      <c r="A6" s="203"/>
      <c r="B6" s="386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386"/>
      <c r="R6" s="386"/>
      <c r="S6" s="386"/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386"/>
      <c r="AH6" s="386"/>
      <c r="AI6" s="203"/>
      <c r="AJ6" s="203"/>
      <c r="AK6" s="203"/>
      <c r="AL6" s="203"/>
      <c r="AM6" s="203"/>
      <c r="AN6" s="203"/>
      <c r="AO6" s="203"/>
      <c r="AP6" s="203"/>
      <c r="AQ6" s="203"/>
      <c r="AR6" s="203"/>
      <c r="AS6" s="203"/>
      <c r="AT6" s="203"/>
      <c r="AU6" s="203"/>
      <c r="AV6" s="203"/>
      <c r="AW6" s="203"/>
      <c r="AX6" s="203"/>
      <c r="AY6" s="203"/>
      <c r="AZ6" s="203"/>
      <c r="BA6" s="203"/>
      <c r="BB6" s="203"/>
      <c r="BC6" s="203"/>
      <c r="BD6" s="203"/>
      <c r="BE6" s="203"/>
      <c r="BF6" s="203"/>
      <c r="BG6" s="203"/>
      <c r="BH6" s="203"/>
      <c r="BI6" s="203"/>
      <c r="BJ6" s="203"/>
      <c r="BK6" s="203"/>
      <c r="BL6" s="203"/>
      <c r="BM6" s="203"/>
      <c r="BN6" s="203"/>
      <c r="BO6" s="203"/>
      <c r="BP6" s="203"/>
      <c r="BQ6" s="203"/>
      <c r="BR6" s="203"/>
      <c r="BS6" s="203"/>
      <c r="BT6" s="203"/>
      <c r="BU6" s="203"/>
      <c r="BV6" s="203"/>
      <c r="BW6" s="203"/>
      <c r="BX6" s="203"/>
      <c r="BY6" s="203"/>
      <c r="BZ6" s="203"/>
      <c r="CA6" s="203"/>
      <c r="CB6" s="203"/>
      <c r="CC6" s="203"/>
      <c r="CD6" s="203"/>
      <c r="CE6" s="203"/>
      <c r="CF6" s="203"/>
      <c r="CG6" s="203"/>
      <c r="CH6" s="203"/>
      <c r="CI6" s="203"/>
      <c r="CJ6" s="203"/>
      <c r="CK6" s="203"/>
      <c r="CL6" s="203"/>
      <c r="CM6" s="203"/>
      <c r="CN6" s="203"/>
      <c r="CO6" s="203"/>
      <c r="CP6" s="203"/>
      <c r="CQ6" s="203"/>
      <c r="CR6" s="203"/>
      <c r="CS6" s="203"/>
      <c r="CT6" s="203"/>
      <c r="CU6" s="203"/>
      <c r="CV6" s="203"/>
      <c r="CW6" s="203"/>
      <c r="CX6" s="203"/>
      <c r="CY6" s="203"/>
      <c r="CZ6" s="203"/>
      <c r="DA6" s="203"/>
      <c r="DB6" s="203"/>
      <c r="DC6" s="203"/>
      <c r="DD6" s="203"/>
      <c r="DE6" s="203"/>
      <c r="DF6" s="203"/>
      <c r="DG6" s="203"/>
      <c r="DH6" s="203"/>
      <c r="DI6" s="203"/>
      <c r="DJ6" s="203"/>
      <c r="DK6" s="203"/>
      <c r="DL6" s="203"/>
      <c r="DM6" s="203"/>
      <c r="DN6" s="203"/>
      <c r="DO6" s="203"/>
      <c r="DP6" s="203"/>
      <c r="DQ6" s="203"/>
      <c r="DR6" s="203"/>
      <c r="DS6" s="203"/>
      <c r="DT6" s="203"/>
      <c r="DU6" s="203"/>
      <c r="DV6" s="203"/>
      <c r="DW6" s="203"/>
      <c r="DX6" s="203"/>
      <c r="DY6" s="203"/>
      <c r="DZ6" s="203"/>
      <c r="EA6" s="203"/>
      <c r="EB6" s="203"/>
      <c r="EC6" s="203"/>
      <c r="ED6" s="203"/>
      <c r="EE6" s="203"/>
      <c r="EF6" s="203"/>
      <c r="EG6" s="203"/>
      <c r="EH6" s="203"/>
      <c r="EI6" s="203"/>
      <c r="EJ6" s="203"/>
      <c r="EK6" s="203"/>
      <c r="EL6" s="203"/>
      <c r="EM6" s="203"/>
      <c r="EN6" s="203"/>
      <c r="EO6" s="203"/>
      <c r="EP6" s="203"/>
      <c r="EQ6" s="203"/>
      <c r="ER6" s="203"/>
      <c r="ES6" s="203"/>
      <c r="ET6" s="203"/>
      <c r="EU6" s="203"/>
      <c r="EV6" s="203"/>
      <c r="EW6" s="203"/>
      <c r="EX6" s="203"/>
      <c r="EY6" s="203"/>
      <c r="EZ6" s="203"/>
      <c r="FA6" s="203"/>
      <c r="FB6" s="203"/>
      <c r="FC6" s="203"/>
      <c r="FD6" s="203"/>
      <c r="FE6" s="203"/>
      <c r="FF6" s="203"/>
      <c r="FG6" s="203"/>
      <c r="FH6" s="203"/>
      <c r="FI6" s="203"/>
      <c r="FJ6" s="203"/>
      <c r="FK6" s="203"/>
      <c r="FL6" s="203"/>
      <c r="FM6" s="203"/>
      <c r="FN6" s="203"/>
      <c r="FO6" s="203"/>
      <c r="FP6" s="203"/>
      <c r="FQ6" s="203"/>
      <c r="FR6" s="203"/>
      <c r="FS6" s="203"/>
      <c r="FT6" s="203"/>
      <c r="FU6" s="203"/>
      <c r="FV6" s="203"/>
      <c r="FW6" s="203"/>
      <c r="FX6" s="203"/>
      <c r="FY6" s="203"/>
      <c r="FZ6" s="203"/>
      <c r="GA6" s="203"/>
      <c r="GB6" s="203"/>
      <c r="GC6" s="203"/>
      <c r="GD6" s="203"/>
      <c r="GE6" s="203"/>
      <c r="GF6" s="203"/>
      <c r="GG6" s="203"/>
      <c r="GH6" s="203"/>
      <c r="GI6" s="203"/>
      <c r="GJ6" s="203"/>
      <c r="GK6" s="203"/>
      <c r="GL6" s="203"/>
      <c r="GM6" s="203"/>
      <c r="GN6" s="203"/>
      <c r="GO6" s="203"/>
      <c r="GP6" s="203"/>
      <c r="GQ6" s="203"/>
      <c r="GR6" s="203"/>
      <c r="GS6" s="203"/>
      <c r="GT6" s="203"/>
      <c r="GU6" s="203"/>
      <c r="GV6" s="203"/>
      <c r="GW6" s="203"/>
      <c r="GX6" s="203"/>
      <c r="GY6" s="203"/>
      <c r="GZ6" s="203"/>
      <c r="HA6" s="203"/>
      <c r="HB6" s="203"/>
      <c r="HC6" s="203"/>
      <c r="HD6" s="203"/>
      <c r="HE6" s="203"/>
      <c r="HF6" s="203"/>
      <c r="HG6" s="203"/>
      <c r="HH6" s="203"/>
      <c r="HI6" s="203"/>
      <c r="HJ6" s="203"/>
      <c r="HK6" s="203"/>
      <c r="HL6" s="203"/>
      <c r="HM6" s="203"/>
      <c r="HN6" s="203"/>
      <c r="HO6" s="203"/>
      <c r="HP6" s="203"/>
      <c r="HQ6" s="203"/>
      <c r="HR6" s="203"/>
      <c r="HS6" s="203"/>
      <c r="HT6" s="203"/>
      <c r="HU6" s="203"/>
      <c r="HV6" s="203"/>
      <c r="HW6" s="203"/>
      <c r="HX6" s="203"/>
      <c r="HY6" s="203"/>
      <c r="HZ6" s="203"/>
      <c r="IA6" s="203"/>
      <c r="IB6" s="203"/>
      <c r="IC6" s="203"/>
      <c r="ID6" s="203"/>
      <c r="IE6" s="203"/>
      <c r="IF6" s="203"/>
      <c r="IG6" s="203"/>
      <c r="IH6" s="203"/>
      <c r="II6" s="203"/>
      <c r="IJ6" s="203"/>
      <c r="IK6" s="203"/>
      <c r="IL6" s="203"/>
      <c r="IM6" s="203"/>
      <c r="IN6" s="203"/>
      <c r="IO6" s="203"/>
      <c r="IP6" s="203"/>
      <c r="IQ6" s="203"/>
      <c r="IR6" s="203"/>
      <c r="IS6" s="203"/>
      <c r="IT6" s="203"/>
      <c r="IU6" s="203"/>
      <c r="IV6" s="203"/>
      <c r="IW6" s="203"/>
      <c r="IX6" s="203"/>
      <c r="IY6" s="203"/>
      <c r="IZ6" s="203"/>
      <c r="JA6" s="203"/>
      <c r="JB6" s="203"/>
      <c r="JC6" s="203"/>
      <c r="JD6" s="203"/>
      <c r="JE6" s="203"/>
      <c r="JF6" s="203"/>
      <c r="JG6" s="203"/>
      <c r="JH6" s="203"/>
      <c r="JI6" s="203"/>
      <c r="JJ6" s="203"/>
      <c r="JK6" s="203"/>
      <c r="JL6" s="203"/>
      <c r="JM6" s="203"/>
      <c r="JN6" s="203"/>
      <c r="JO6" s="203"/>
      <c r="JP6" s="203"/>
      <c r="JQ6" s="203"/>
      <c r="JR6" s="203"/>
      <c r="JS6" s="203"/>
      <c r="JT6" s="203"/>
      <c r="JU6" s="203"/>
      <c r="JV6" s="203"/>
      <c r="JW6" s="203"/>
      <c r="JX6" s="203"/>
      <c r="JY6" s="203"/>
      <c r="JZ6" s="203"/>
      <c r="KA6" s="203"/>
    </row>
    <row r="7" spans="1:287" ht="18">
      <c r="A7" s="387" t="s">
        <v>5382</v>
      </c>
      <c r="B7" s="389" t="s">
        <v>5362</v>
      </c>
      <c r="C7" s="390" t="s">
        <v>9</v>
      </c>
      <c r="D7" s="392" t="s">
        <v>5383</v>
      </c>
      <c r="E7" s="392" t="s">
        <v>5384</v>
      </c>
      <c r="F7" s="394" t="s">
        <v>4833</v>
      </c>
      <c r="G7" s="394" t="s">
        <v>5385</v>
      </c>
      <c r="H7" s="394" t="s">
        <v>5386</v>
      </c>
      <c r="I7" s="392" t="s">
        <v>5387</v>
      </c>
      <c r="J7" s="392" t="s">
        <v>5388</v>
      </c>
      <c r="K7" s="392" t="s">
        <v>5389</v>
      </c>
      <c r="L7" s="398" t="s">
        <v>5390</v>
      </c>
      <c r="M7" s="400" t="s">
        <v>5391</v>
      </c>
      <c r="N7" s="401"/>
      <c r="O7" s="396" t="s">
        <v>5392</v>
      </c>
      <c r="P7" s="397"/>
      <c r="Q7" s="398" t="s">
        <v>5393</v>
      </c>
      <c r="R7" s="400" t="s">
        <v>5394</v>
      </c>
      <c r="S7" s="401"/>
      <c r="T7" s="396" t="s">
        <v>5395</v>
      </c>
      <c r="U7" s="397"/>
      <c r="V7" s="398" t="s">
        <v>5396</v>
      </c>
      <c r="W7" s="398"/>
      <c r="X7" s="398" t="s">
        <v>5397</v>
      </c>
      <c r="Y7" s="398"/>
      <c r="Z7" s="396" t="s">
        <v>5398</v>
      </c>
      <c r="AA7" s="397"/>
      <c r="AB7" s="396" t="s">
        <v>5399</v>
      </c>
      <c r="AC7" s="397"/>
      <c r="AD7" s="398" t="s">
        <v>5400</v>
      </c>
      <c r="AE7" s="398"/>
      <c r="AF7" s="396" t="s">
        <v>5401</v>
      </c>
      <c r="AG7" s="403" t="s">
        <v>5402</v>
      </c>
      <c r="AH7" s="404"/>
      <c r="AI7" s="405"/>
      <c r="AJ7" s="405"/>
      <c r="AK7" s="233"/>
      <c r="AL7" s="233"/>
      <c r="AM7" s="233"/>
      <c r="AN7" s="233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3"/>
      <c r="BP7" s="233"/>
      <c r="BQ7" s="233"/>
      <c r="BR7" s="233"/>
      <c r="BS7" s="233"/>
      <c r="BT7" s="233"/>
      <c r="BU7" s="233"/>
      <c r="BV7" s="233"/>
      <c r="BW7" s="233"/>
      <c r="BX7" s="233"/>
      <c r="BY7" s="233"/>
      <c r="BZ7" s="233"/>
      <c r="CA7" s="233"/>
      <c r="CB7" s="233"/>
      <c r="CC7" s="233"/>
      <c r="CD7" s="233"/>
      <c r="CE7" s="233"/>
      <c r="CF7" s="233"/>
      <c r="CG7" s="233"/>
      <c r="CH7" s="233"/>
      <c r="CI7" s="233"/>
      <c r="CJ7" s="233"/>
      <c r="CK7" s="233"/>
      <c r="CL7" s="233"/>
      <c r="CM7" s="233"/>
      <c r="CN7" s="233"/>
      <c r="CO7" s="233"/>
      <c r="CP7" s="233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3"/>
      <c r="DH7" s="233"/>
      <c r="DI7" s="233"/>
      <c r="DJ7" s="233"/>
      <c r="DK7" s="233"/>
      <c r="DL7" s="233"/>
      <c r="DM7" s="233"/>
      <c r="DN7" s="233"/>
      <c r="DO7" s="233"/>
      <c r="DP7" s="233"/>
      <c r="DQ7" s="233"/>
      <c r="DR7" s="233"/>
      <c r="DS7" s="233"/>
      <c r="DT7" s="233"/>
      <c r="DU7" s="233"/>
      <c r="DV7" s="233"/>
      <c r="DW7" s="233"/>
      <c r="DX7" s="233"/>
      <c r="DY7" s="233"/>
      <c r="DZ7" s="233"/>
      <c r="EA7" s="233"/>
      <c r="EB7" s="233"/>
      <c r="EC7" s="233"/>
      <c r="ED7" s="233"/>
      <c r="EE7" s="233"/>
      <c r="EF7" s="233"/>
      <c r="EG7" s="233"/>
      <c r="EH7" s="233"/>
      <c r="EI7" s="233"/>
      <c r="EJ7" s="233"/>
      <c r="EK7" s="233"/>
      <c r="EL7" s="233"/>
      <c r="EM7" s="233"/>
      <c r="EN7" s="233"/>
      <c r="EO7" s="233"/>
      <c r="EP7" s="233"/>
      <c r="EQ7" s="233"/>
      <c r="ER7" s="233"/>
      <c r="ES7" s="233"/>
      <c r="ET7" s="233"/>
      <c r="EU7" s="233"/>
      <c r="EV7" s="233"/>
      <c r="EW7" s="233"/>
      <c r="EX7" s="233"/>
      <c r="EY7" s="233"/>
      <c r="EZ7" s="233"/>
      <c r="FA7" s="233"/>
      <c r="FB7" s="233"/>
      <c r="FC7" s="233"/>
      <c r="FD7" s="233"/>
      <c r="FE7" s="233"/>
      <c r="FF7" s="233"/>
      <c r="FG7" s="233"/>
      <c r="FH7" s="233"/>
      <c r="FI7" s="233"/>
      <c r="FJ7" s="233"/>
      <c r="FK7" s="233"/>
      <c r="FL7" s="233"/>
      <c r="FM7" s="233"/>
      <c r="FN7" s="233"/>
      <c r="FO7" s="233"/>
      <c r="FP7" s="233"/>
      <c r="FQ7" s="233"/>
      <c r="FR7" s="233"/>
      <c r="FS7" s="233"/>
      <c r="FT7" s="233"/>
      <c r="FU7" s="233"/>
      <c r="FV7" s="233"/>
      <c r="FW7" s="233"/>
      <c r="FX7" s="233"/>
      <c r="FY7" s="233"/>
      <c r="FZ7" s="233"/>
      <c r="GA7" s="233"/>
      <c r="GB7" s="233"/>
      <c r="GC7" s="233"/>
      <c r="GD7" s="233"/>
      <c r="GE7" s="233"/>
      <c r="GF7" s="233"/>
      <c r="GG7" s="233"/>
      <c r="GH7" s="233"/>
      <c r="GI7" s="233"/>
      <c r="GJ7" s="233"/>
      <c r="GK7" s="233"/>
      <c r="GL7" s="233"/>
      <c r="GM7" s="233"/>
      <c r="GN7" s="233"/>
      <c r="GO7" s="233"/>
      <c r="GP7" s="233"/>
      <c r="GQ7" s="233"/>
      <c r="GR7" s="233"/>
      <c r="GS7" s="233"/>
      <c r="GT7" s="233"/>
      <c r="GU7" s="233"/>
      <c r="GV7" s="233"/>
      <c r="GW7" s="233"/>
      <c r="GX7" s="233"/>
      <c r="GY7" s="233"/>
      <c r="GZ7" s="233"/>
      <c r="HA7" s="233"/>
      <c r="HB7" s="233"/>
      <c r="HC7" s="233"/>
      <c r="HD7" s="233"/>
      <c r="HE7" s="233"/>
      <c r="HF7" s="233"/>
      <c r="HG7" s="233"/>
      <c r="HH7" s="233"/>
      <c r="HI7" s="233"/>
      <c r="HJ7" s="233"/>
      <c r="HK7" s="233"/>
      <c r="HL7" s="233"/>
      <c r="HM7" s="233"/>
      <c r="HN7" s="233"/>
      <c r="HO7" s="233"/>
      <c r="HP7" s="233"/>
      <c r="HQ7" s="233"/>
      <c r="HR7" s="233"/>
      <c r="HS7" s="233"/>
      <c r="HT7" s="233"/>
      <c r="HU7" s="233"/>
      <c r="HV7" s="233"/>
      <c r="HW7" s="233"/>
      <c r="HX7" s="233"/>
      <c r="HY7" s="233"/>
      <c r="HZ7" s="233"/>
      <c r="IA7" s="233"/>
      <c r="IB7" s="233"/>
      <c r="IC7" s="233"/>
      <c r="ID7" s="233"/>
      <c r="IE7" s="233"/>
      <c r="IF7" s="233"/>
      <c r="IG7" s="233"/>
      <c r="IH7" s="233"/>
      <c r="II7" s="233"/>
      <c r="IJ7" s="233"/>
      <c r="IK7" s="233"/>
      <c r="IL7" s="233"/>
      <c r="IM7" s="233"/>
      <c r="IN7" s="233"/>
      <c r="IO7" s="233"/>
      <c r="IP7" s="233"/>
      <c r="IQ7" s="233"/>
      <c r="IR7" s="233"/>
      <c r="IS7" s="233"/>
      <c r="IT7" s="233"/>
      <c r="IU7" s="233"/>
      <c r="IV7" s="233"/>
      <c r="IW7" s="233"/>
      <c r="IX7" s="233"/>
      <c r="IY7" s="233"/>
      <c r="IZ7" s="233"/>
      <c r="JA7" s="233"/>
      <c r="JB7" s="233"/>
      <c r="JC7" s="233"/>
      <c r="JD7" s="233"/>
      <c r="JE7" s="233"/>
      <c r="JF7" s="233"/>
      <c r="JG7" s="233"/>
      <c r="JH7" s="233"/>
      <c r="JI7" s="233"/>
      <c r="JJ7" s="233"/>
      <c r="JK7" s="233"/>
      <c r="JL7" s="233"/>
      <c r="JM7" s="233"/>
      <c r="JN7" s="233"/>
      <c r="JO7" s="233"/>
      <c r="JP7" s="233"/>
      <c r="JQ7" s="233"/>
      <c r="JR7" s="233"/>
      <c r="JS7" s="233"/>
      <c r="JT7" s="233"/>
      <c r="JU7" s="233"/>
      <c r="JV7" s="233"/>
      <c r="JW7" s="233"/>
      <c r="JX7" s="233"/>
      <c r="JY7" s="233"/>
      <c r="JZ7" s="233"/>
      <c r="KA7" s="233"/>
    </row>
    <row r="8" spans="1:287" ht="36.75" thickBot="1">
      <c r="A8" s="388"/>
      <c r="B8" s="314"/>
      <c r="C8" s="391"/>
      <c r="D8" s="393"/>
      <c r="E8" s="393"/>
      <c r="F8" s="395"/>
      <c r="G8" s="395"/>
      <c r="H8" s="395"/>
      <c r="I8" s="393"/>
      <c r="J8" s="393"/>
      <c r="K8" s="393"/>
      <c r="L8" s="399"/>
      <c r="M8" s="241" t="s">
        <v>12</v>
      </c>
      <c r="N8" s="241" t="s">
        <v>13</v>
      </c>
      <c r="O8" s="241" t="s">
        <v>12</v>
      </c>
      <c r="P8" s="241" t="s">
        <v>13</v>
      </c>
      <c r="Q8" s="399"/>
      <c r="R8" s="241" t="s">
        <v>58</v>
      </c>
      <c r="S8" s="241" t="s">
        <v>5403</v>
      </c>
      <c r="T8" s="241" t="s">
        <v>12</v>
      </c>
      <c r="U8" s="241" t="s">
        <v>13</v>
      </c>
      <c r="V8" s="241" t="s">
        <v>12</v>
      </c>
      <c r="W8" s="241" t="s">
        <v>13</v>
      </c>
      <c r="X8" s="241" t="s">
        <v>12</v>
      </c>
      <c r="Y8" s="241" t="s">
        <v>13</v>
      </c>
      <c r="Z8" s="241" t="s">
        <v>12</v>
      </c>
      <c r="AA8" s="241" t="s">
        <v>13</v>
      </c>
      <c r="AB8" s="241" t="s">
        <v>12</v>
      </c>
      <c r="AC8" s="241" t="s">
        <v>13</v>
      </c>
      <c r="AD8" s="241" t="s">
        <v>12</v>
      </c>
      <c r="AE8" s="241" t="s">
        <v>13</v>
      </c>
      <c r="AF8" s="402"/>
      <c r="AG8" s="234" t="s">
        <v>12</v>
      </c>
      <c r="AH8" s="235" t="s">
        <v>13</v>
      </c>
      <c r="AI8" s="405"/>
      <c r="AJ8" s="405"/>
      <c r="AK8" s="233"/>
      <c r="AL8" s="233"/>
      <c r="AM8" s="233"/>
      <c r="AN8" s="233"/>
      <c r="AO8" s="233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33"/>
      <c r="BJ8" s="233"/>
      <c r="BK8" s="233"/>
      <c r="BL8" s="233"/>
      <c r="BM8" s="233"/>
      <c r="BN8" s="233"/>
      <c r="BO8" s="233"/>
      <c r="BP8" s="233"/>
      <c r="BQ8" s="233"/>
      <c r="BR8" s="233"/>
      <c r="BS8" s="233"/>
      <c r="BT8" s="233"/>
      <c r="BU8" s="233"/>
      <c r="BV8" s="233"/>
      <c r="BW8" s="233"/>
      <c r="BX8" s="233"/>
      <c r="BY8" s="233"/>
      <c r="BZ8" s="233"/>
      <c r="CA8" s="233"/>
      <c r="CB8" s="233"/>
      <c r="CC8" s="233"/>
      <c r="CD8" s="233"/>
      <c r="CE8" s="233"/>
      <c r="CF8" s="233"/>
      <c r="CG8" s="233"/>
      <c r="CH8" s="233"/>
      <c r="CI8" s="233"/>
      <c r="CJ8" s="233"/>
      <c r="CK8" s="233"/>
      <c r="CL8" s="233"/>
      <c r="CM8" s="233"/>
      <c r="CN8" s="233"/>
      <c r="CO8" s="233"/>
      <c r="CP8" s="233"/>
      <c r="CQ8" s="233"/>
      <c r="CR8" s="233"/>
      <c r="CS8" s="233"/>
      <c r="CT8" s="233"/>
      <c r="CU8" s="233"/>
      <c r="CV8" s="233"/>
      <c r="CW8" s="233"/>
      <c r="CX8" s="233"/>
      <c r="CY8" s="233"/>
      <c r="CZ8" s="233"/>
      <c r="DA8" s="233"/>
      <c r="DB8" s="233"/>
      <c r="DC8" s="233"/>
      <c r="DD8" s="233"/>
      <c r="DE8" s="233"/>
      <c r="DF8" s="233"/>
      <c r="DG8" s="233"/>
      <c r="DH8" s="233"/>
      <c r="DI8" s="233"/>
      <c r="DJ8" s="233"/>
      <c r="DK8" s="233"/>
      <c r="DL8" s="233"/>
      <c r="DM8" s="233"/>
      <c r="DN8" s="233"/>
      <c r="DO8" s="233"/>
      <c r="DP8" s="233"/>
      <c r="DQ8" s="233"/>
      <c r="DR8" s="233"/>
      <c r="DS8" s="233"/>
      <c r="DT8" s="233"/>
      <c r="DU8" s="233"/>
      <c r="DV8" s="233"/>
      <c r="DW8" s="233"/>
      <c r="DX8" s="233"/>
      <c r="DY8" s="233"/>
      <c r="DZ8" s="233"/>
      <c r="EA8" s="233"/>
      <c r="EB8" s="233"/>
      <c r="EC8" s="233"/>
      <c r="ED8" s="233"/>
      <c r="EE8" s="233"/>
      <c r="EF8" s="233"/>
      <c r="EG8" s="233"/>
      <c r="EH8" s="233"/>
      <c r="EI8" s="233"/>
      <c r="EJ8" s="233"/>
      <c r="EK8" s="233"/>
      <c r="EL8" s="233"/>
      <c r="EM8" s="233"/>
      <c r="EN8" s="233"/>
      <c r="EO8" s="233"/>
      <c r="EP8" s="233"/>
      <c r="EQ8" s="233"/>
      <c r="ER8" s="233"/>
      <c r="ES8" s="233"/>
      <c r="ET8" s="233"/>
      <c r="EU8" s="233"/>
      <c r="EV8" s="233"/>
      <c r="EW8" s="233"/>
      <c r="EX8" s="233"/>
      <c r="EY8" s="233"/>
      <c r="EZ8" s="233"/>
      <c r="FA8" s="233"/>
      <c r="FB8" s="233"/>
      <c r="FC8" s="233"/>
      <c r="FD8" s="233"/>
      <c r="FE8" s="233"/>
      <c r="FF8" s="233"/>
      <c r="FG8" s="233"/>
      <c r="FH8" s="233"/>
      <c r="FI8" s="233"/>
      <c r="FJ8" s="233"/>
      <c r="FK8" s="233"/>
      <c r="FL8" s="233"/>
      <c r="FM8" s="233"/>
      <c r="FN8" s="233"/>
      <c r="FO8" s="233"/>
      <c r="FP8" s="233"/>
      <c r="FQ8" s="233"/>
      <c r="FR8" s="233"/>
      <c r="FS8" s="233"/>
      <c r="FT8" s="233"/>
      <c r="FU8" s="233"/>
      <c r="FV8" s="233"/>
      <c r="FW8" s="233"/>
      <c r="FX8" s="233"/>
      <c r="FY8" s="233"/>
      <c r="FZ8" s="233"/>
      <c r="GA8" s="233"/>
      <c r="GB8" s="233"/>
      <c r="GC8" s="233"/>
      <c r="GD8" s="233"/>
      <c r="GE8" s="233"/>
      <c r="GF8" s="233"/>
      <c r="GG8" s="233"/>
      <c r="GH8" s="233"/>
      <c r="GI8" s="233"/>
      <c r="GJ8" s="233"/>
      <c r="GK8" s="233"/>
      <c r="GL8" s="233"/>
      <c r="GM8" s="233"/>
      <c r="GN8" s="233"/>
      <c r="GO8" s="233"/>
      <c r="GP8" s="233"/>
      <c r="GQ8" s="233"/>
      <c r="GR8" s="233"/>
      <c r="GS8" s="233"/>
      <c r="GT8" s="233"/>
      <c r="GU8" s="233"/>
      <c r="GV8" s="233"/>
      <c r="GW8" s="233"/>
      <c r="GX8" s="233"/>
      <c r="GY8" s="233"/>
      <c r="GZ8" s="233"/>
      <c r="HA8" s="233"/>
      <c r="HB8" s="233"/>
      <c r="HC8" s="233"/>
      <c r="HD8" s="233"/>
      <c r="HE8" s="233"/>
      <c r="HF8" s="233"/>
      <c r="HG8" s="233"/>
      <c r="HH8" s="233"/>
      <c r="HI8" s="233"/>
      <c r="HJ8" s="233"/>
      <c r="HK8" s="233"/>
      <c r="HL8" s="233"/>
      <c r="HM8" s="233"/>
      <c r="HN8" s="233"/>
      <c r="HO8" s="233"/>
      <c r="HP8" s="233"/>
      <c r="HQ8" s="233"/>
      <c r="HR8" s="233"/>
      <c r="HS8" s="233"/>
      <c r="HT8" s="233"/>
      <c r="HU8" s="233"/>
      <c r="HV8" s="233"/>
      <c r="HW8" s="233"/>
      <c r="HX8" s="233"/>
      <c r="HY8" s="233"/>
      <c r="HZ8" s="233"/>
      <c r="IA8" s="233"/>
      <c r="IB8" s="233"/>
      <c r="IC8" s="233"/>
      <c r="ID8" s="233"/>
      <c r="IE8" s="233"/>
      <c r="IF8" s="233"/>
      <c r="IG8" s="233"/>
      <c r="IH8" s="233"/>
      <c r="II8" s="233"/>
      <c r="IJ8" s="233"/>
      <c r="IK8" s="233"/>
      <c r="IL8" s="233"/>
      <c r="IM8" s="233"/>
      <c r="IN8" s="233"/>
      <c r="IO8" s="233"/>
      <c r="IP8" s="233"/>
      <c r="IQ8" s="233"/>
      <c r="IR8" s="233"/>
      <c r="IS8" s="233"/>
      <c r="IT8" s="233"/>
      <c r="IU8" s="233"/>
      <c r="IV8" s="233"/>
      <c r="IW8" s="233"/>
      <c r="IX8" s="233"/>
      <c r="IY8" s="233"/>
      <c r="IZ8" s="233"/>
      <c r="JA8" s="233"/>
      <c r="JB8" s="233"/>
      <c r="JC8" s="233"/>
      <c r="JD8" s="233"/>
      <c r="JE8" s="233"/>
      <c r="JF8" s="233"/>
      <c r="JG8" s="233"/>
      <c r="JH8" s="233"/>
      <c r="JI8" s="233"/>
      <c r="JJ8" s="233"/>
      <c r="JK8" s="233"/>
      <c r="JL8" s="233"/>
      <c r="JM8" s="233"/>
      <c r="JN8" s="233"/>
      <c r="JO8" s="233"/>
      <c r="JP8" s="233"/>
      <c r="JQ8" s="233"/>
      <c r="JR8" s="233"/>
      <c r="JS8" s="233"/>
      <c r="JT8" s="233"/>
      <c r="JU8" s="233"/>
      <c r="JV8" s="233"/>
      <c r="JW8" s="233"/>
      <c r="JX8" s="233"/>
      <c r="JY8" s="233"/>
      <c r="JZ8" s="233"/>
      <c r="KA8" s="233"/>
    </row>
    <row r="9" spans="1:287" ht="27">
      <c r="A9" s="308" t="s">
        <v>6197</v>
      </c>
      <c r="B9" s="203"/>
      <c r="C9" s="203"/>
      <c r="D9" s="236"/>
      <c r="E9" s="203"/>
      <c r="F9" s="203"/>
      <c r="G9" s="203"/>
      <c r="H9" s="236"/>
      <c r="I9" s="230"/>
      <c r="J9" s="230"/>
      <c r="K9" s="203"/>
      <c r="L9" s="236"/>
      <c r="M9" s="230"/>
      <c r="N9" s="230"/>
      <c r="O9" s="230"/>
      <c r="P9" s="230"/>
      <c r="Q9" s="237"/>
      <c r="R9" s="230"/>
      <c r="S9" s="230"/>
      <c r="T9" s="230"/>
      <c r="U9" s="230"/>
      <c r="V9" s="230"/>
      <c r="W9" s="230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0"/>
      <c r="AI9" s="203"/>
      <c r="AJ9" s="203"/>
      <c r="AK9" s="203"/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W9" s="203"/>
      <c r="BX9" s="203"/>
      <c r="BY9" s="203"/>
      <c r="BZ9" s="203"/>
      <c r="CA9" s="203"/>
      <c r="CB9" s="203"/>
      <c r="CC9" s="203"/>
      <c r="CD9" s="203"/>
      <c r="CE9" s="203"/>
      <c r="CF9" s="203"/>
      <c r="CG9" s="203"/>
      <c r="CH9" s="203"/>
      <c r="CI9" s="203"/>
      <c r="CJ9" s="203"/>
      <c r="CK9" s="203"/>
      <c r="CL9" s="203"/>
      <c r="CM9" s="203"/>
      <c r="CN9" s="203"/>
      <c r="CO9" s="203"/>
      <c r="CP9" s="203"/>
      <c r="CQ9" s="203"/>
      <c r="CR9" s="203"/>
      <c r="CS9" s="203"/>
      <c r="CT9" s="203"/>
      <c r="CU9" s="203"/>
      <c r="CV9" s="203"/>
      <c r="CW9" s="203"/>
      <c r="CX9" s="203"/>
      <c r="CY9" s="203"/>
      <c r="CZ9" s="203"/>
      <c r="DA9" s="203"/>
      <c r="DB9" s="203"/>
      <c r="DC9" s="203"/>
      <c r="DD9" s="203"/>
      <c r="DE9" s="203"/>
      <c r="DF9" s="203"/>
      <c r="DG9" s="203"/>
      <c r="DH9" s="203"/>
      <c r="DI9" s="203"/>
      <c r="DJ9" s="203"/>
      <c r="DK9" s="203"/>
      <c r="DL9" s="203"/>
      <c r="DM9" s="203"/>
      <c r="DN9" s="203"/>
      <c r="DO9" s="203"/>
      <c r="DP9" s="203"/>
      <c r="DQ9" s="203"/>
      <c r="DR9" s="203"/>
      <c r="DS9" s="203"/>
      <c r="DT9" s="203"/>
      <c r="DU9" s="203"/>
      <c r="DV9" s="203"/>
      <c r="DW9" s="203"/>
      <c r="DX9" s="203"/>
      <c r="DY9" s="203"/>
      <c r="DZ9" s="203"/>
      <c r="EA9" s="203"/>
      <c r="EB9" s="203"/>
      <c r="EC9" s="203"/>
      <c r="ED9" s="203"/>
      <c r="EE9" s="203"/>
      <c r="EF9" s="203"/>
      <c r="EG9" s="203"/>
      <c r="EH9" s="203"/>
      <c r="EI9" s="203"/>
      <c r="EJ9" s="203"/>
      <c r="EK9" s="203"/>
      <c r="EL9" s="203"/>
      <c r="EM9" s="203"/>
      <c r="EN9" s="203"/>
      <c r="EO9" s="203"/>
      <c r="EP9" s="203"/>
      <c r="EQ9" s="203"/>
      <c r="ER9" s="203"/>
      <c r="ES9" s="203"/>
      <c r="ET9" s="203"/>
      <c r="EU9" s="203"/>
      <c r="EV9" s="203"/>
      <c r="EW9" s="203"/>
      <c r="EX9" s="203"/>
      <c r="EY9" s="203"/>
      <c r="EZ9" s="203"/>
      <c r="FA9" s="203"/>
      <c r="FB9" s="203"/>
      <c r="FC9" s="203"/>
      <c r="FD9" s="203"/>
      <c r="FE9" s="203"/>
      <c r="FF9" s="203"/>
      <c r="FG9" s="203"/>
      <c r="FH9" s="203"/>
      <c r="FI9" s="203"/>
      <c r="FJ9" s="203"/>
      <c r="FK9" s="203"/>
      <c r="FL9" s="203"/>
      <c r="FM9" s="203"/>
      <c r="FN9" s="203"/>
      <c r="FO9" s="203"/>
      <c r="FP9" s="203"/>
      <c r="FQ9" s="203"/>
      <c r="FR9" s="203"/>
      <c r="FS9" s="203"/>
      <c r="FT9" s="203"/>
      <c r="FU9" s="203"/>
      <c r="FV9" s="203"/>
      <c r="FW9" s="203"/>
      <c r="FX9" s="203"/>
      <c r="FY9" s="203"/>
      <c r="FZ9" s="203"/>
      <c r="GA9" s="203"/>
      <c r="GB9" s="203"/>
      <c r="GC9" s="203"/>
      <c r="GD9" s="203"/>
      <c r="GE9" s="203"/>
      <c r="GF9" s="203"/>
      <c r="GG9" s="203"/>
      <c r="GH9" s="203"/>
      <c r="GI9" s="203"/>
      <c r="GJ9" s="203"/>
      <c r="GK9" s="203"/>
      <c r="GL9" s="203"/>
      <c r="GM9" s="203"/>
      <c r="GN9" s="203"/>
      <c r="GO9" s="203"/>
      <c r="GP9" s="203"/>
      <c r="GQ9" s="203"/>
      <c r="GR9" s="203"/>
      <c r="GS9" s="203"/>
      <c r="GT9" s="203"/>
      <c r="GU9" s="203"/>
      <c r="GV9" s="203"/>
      <c r="GW9" s="203"/>
      <c r="GX9" s="203"/>
      <c r="GY9" s="203"/>
      <c r="GZ9" s="203"/>
      <c r="HA9" s="203"/>
      <c r="HB9" s="203"/>
      <c r="HC9" s="203"/>
      <c r="HD9" s="203"/>
      <c r="HE9" s="203"/>
      <c r="HF9" s="203"/>
      <c r="HG9" s="203"/>
      <c r="HH9" s="203"/>
      <c r="HI9" s="203"/>
      <c r="HJ9" s="203"/>
      <c r="HK9" s="203"/>
      <c r="HL9" s="203"/>
      <c r="HM9" s="203"/>
      <c r="HN9" s="203"/>
      <c r="HO9" s="203"/>
      <c r="HP9" s="203"/>
      <c r="HQ9" s="203"/>
      <c r="HR9" s="203"/>
      <c r="HS9" s="203"/>
      <c r="HT9" s="203"/>
      <c r="HU9" s="203"/>
      <c r="HV9" s="203"/>
      <c r="HW9" s="203"/>
      <c r="HX9" s="203"/>
      <c r="HY9" s="203"/>
      <c r="HZ9" s="203"/>
      <c r="IA9" s="203"/>
      <c r="IB9" s="203"/>
      <c r="IC9" s="203"/>
      <c r="ID9" s="203"/>
      <c r="IE9" s="203"/>
      <c r="IF9" s="203"/>
      <c r="IG9" s="203"/>
      <c r="IH9" s="203"/>
      <c r="II9" s="203"/>
      <c r="IJ9" s="203"/>
      <c r="IK9" s="203"/>
      <c r="IL9" s="203"/>
      <c r="IM9" s="203"/>
      <c r="IN9" s="203"/>
      <c r="IO9" s="203"/>
      <c r="IP9" s="203"/>
      <c r="IQ9" s="203"/>
      <c r="IR9" s="203"/>
      <c r="IS9" s="203"/>
      <c r="IT9" s="203"/>
      <c r="IU9" s="203"/>
      <c r="IV9" s="203"/>
      <c r="IW9" s="203"/>
      <c r="IX9" s="203"/>
      <c r="IY9" s="203"/>
      <c r="IZ9" s="203"/>
      <c r="JA9" s="203"/>
      <c r="JB9" s="203"/>
      <c r="JC9" s="203"/>
      <c r="JD9" s="203"/>
      <c r="JE9" s="203"/>
      <c r="JF9" s="203"/>
      <c r="JG9" s="203"/>
      <c r="JH9" s="203"/>
      <c r="JI9" s="203"/>
      <c r="JJ9" s="203"/>
      <c r="JK9" s="203"/>
      <c r="JL9" s="203"/>
      <c r="JM9" s="203"/>
      <c r="JN9" s="203"/>
      <c r="JO9" s="203"/>
      <c r="JP9" s="203"/>
      <c r="JQ9" s="203"/>
      <c r="JR9" s="203"/>
      <c r="JS9" s="203"/>
      <c r="JT9" s="203"/>
      <c r="JU9" s="203"/>
      <c r="JV9" s="203"/>
      <c r="JW9" s="203"/>
      <c r="JX9" s="203"/>
      <c r="JY9" s="203"/>
      <c r="JZ9" s="203"/>
      <c r="KA9" s="203"/>
    </row>
    <row r="10" spans="1:287" ht="14.25">
      <c r="A10" s="203"/>
      <c r="B10" s="203"/>
      <c r="C10" s="203"/>
      <c r="D10" s="236"/>
      <c r="E10" s="203"/>
      <c r="F10" s="203"/>
      <c r="G10" s="203"/>
      <c r="H10" s="236"/>
      <c r="I10" s="230"/>
      <c r="J10" s="230"/>
      <c r="K10" s="203"/>
      <c r="L10" s="236"/>
      <c r="M10" s="230"/>
      <c r="N10" s="230"/>
      <c r="O10" s="230"/>
      <c r="P10" s="230"/>
      <c r="Q10" s="237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  <c r="AD10" s="230"/>
      <c r="AE10" s="230"/>
      <c r="AF10" s="230"/>
      <c r="AG10" s="230"/>
      <c r="AH10" s="230"/>
      <c r="AI10" s="203"/>
      <c r="AJ10" s="203"/>
      <c r="AK10" s="203"/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  <c r="BY10" s="203"/>
      <c r="BZ10" s="203"/>
      <c r="CA10" s="203"/>
      <c r="CB10" s="203"/>
      <c r="CC10" s="203"/>
      <c r="CD10" s="203"/>
      <c r="CE10" s="203"/>
      <c r="CF10" s="203"/>
      <c r="CG10" s="203"/>
      <c r="CH10" s="203"/>
      <c r="CI10" s="203"/>
      <c r="CJ10" s="203"/>
      <c r="CK10" s="203"/>
      <c r="CL10" s="203"/>
      <c r="CM10" s="203"/>
      <c r="CN10" s="203"/>
      <c r="CO10" s="203"/>
      <c r="CP10" s="203"/>
      <c r="CQ10" s="203"/>
      <c r="CR10" s="203"/>
      <c r="CS10" s="203"/>
      <c r="CT10" s="203"/>
      <c r="CU10" s="203"/>
      <c r="CV10" s="203"/>
      <c r="CW10" s="203"/>
      <c r="CX10" s="203"/>
      <c r="CY10" s="203"/>
      <c r="CZ10" s="203"/>
      <c r="DA10" s="203"/>
      <c r="DB10" s="203"/>
      <c r="DC10" s="203"/>
      <c r="DD10" s="203"/>
      <c r="DE10" s="203"/>
      <c r="DF10" s="203"/>
      <c r="DG10" s="203"/>
      <c r="DH10" s="203"/>
      <c r="DI10" s="203"/>
      <c r="DJ10" s="203"/>
      <c r="DK10" s="203"/>
      <c r="DL10" s="203"/>
      <c r="DM10" s="203"/>
      <c r="DN10" s="203"/>
      <c r="DO10" s="203"/>
      <c r="DP10" s="203"/>
      <c r="DQ10" s="203"/>
      <c r="DR10" s="203"/>
      <c r="DS10" s="203"/>
      <c r="DT10" s="203"/>
      <c r="DU10" s="203"/>
      <c r="DV10" s="203"/>
      <c r="DW10" s="203"/>
      <c r="DX10" s="203"/>
      <c r="DY10" s="203"/>
      <c r="DZ10" s="203"/>
      <c r="EA10" s="203"/>
      <c r="EB10" s="203"/>
      <c r="EC10" s="203"/>
      <c r="ED10" s="203"/>
      <c r="EE10" s="203"/>
      <c r="EF10" s="203"/>
      <c r="EG10" s="203"/>
      <c r="EH10" s="203"/>
      <c r="EI10" s="203"/>
      <c r="EJ10" s="203"/>
      <c r="EK10" s="203"/>
      <c r="EL10" s="203"/>
      <c r="EM10" s="203"/>
      <c r="EN10" s="203"/>
      <c r="EO10" s="203"/>
      <c r="EP10" s="203"/>
      <c r="EQ10" s="203"/>
      <c r="ER10" s="203"/>
      <c r="ES10" s="203"/>
      <c r="ET10" s="203"/>
      <c r="EU10" s="203"/>
      <c r="EV10" s="203"/>
      <c r="EW10" s="203"/>
      <c r="EX10" s="203"/>
      <c r="EY10" s="203"/>
      <c r="EZ10" s="203"/>
      <c r="FA10" s="203"/>
      <c r="FB10" s="203"/>
      <c r="FC10" s="203"/>
      <c r="FD10" s="203"/>
      <c r="FE10" s="203"/>
      <c r="FF10" s="203"/>
      <c r="FG10" s="203"/>
      <c r="FH10" s="203"/>
      <c r="FI10" s="203"/>
      <c r="FJ10" s="203"/>
      <c r="FK10" s="203"/>
      <c r="FL10" s="203"/>
      <c r="FM10" s="203"/>
      <c r="FN10" s="203"/>
      <c r="FO10" s="203"/>
      <c r="FP10" s="203"/>
      <c r="FQ10" s="203"/>
      <c r="FR10" s="203"/>
      <c r="FS10" s="203"/>
      <c r="FT10" s="203"/>
      <c r="FU10" s="203"/>
      <c r="FV10" s="203"/>
      <c r="FW10" s="203"/>
      <c r="FX10" s="203"/>
      <c r="FY10" s="203"/>
      <c r="FZ10" s="203"/>
      <c r="GA10" s="203"/>
      <c r="GB10" s="203"/>
      <c r="GC10" s="203"/>
      <c r="GD10" s="203"/>
      <c r="GE10" s="203"/>
      <c r="GF10" s="203"/>
      <c r="GG10" s="203"/>
      <c r="GH10" s="203"/>
      <c r="GI10" s="203"/>
      <c r="GJ10" s="203"/>
      <c r="GK10" s="203"/>
      <c r="GL10" s="203"/>
      <c r="GM10" s="203"/>
      <c r="GN10" s="203"/>
      <c r="GO10" s="203"/>
      <c r="GP10" s="203"/>
      <c r="GQ10" s="203"/>
      <c r="GR10" s="203"/>
      <c r="GS10" s="203"/>
      <c r="GT10" s="203"/>
      <c r="GU10" s="203"/>
      <c r="GV10" s="203"/>
      <c r="GW10" s="203"/>
      <c r="GX10" s="203"/>
      <c r="GY10" s="203"/>
      <c r="GZ10" s="203"/>
      <c r="HA10" s="203"/>
      <c r="HB10" s="203"/>
      <c r="HC10" s="203"/>
      <c r="HD10" s="203"/>
      <c r="HE10" s="203"/>
      <c r="HF10" s="203"/>
      <c r="HG10" s="203"/>
      <c r="HH10" s="203"/>
      <c r="HI10" s="203"/>
      <c r="HJ10" s="203"/>
      <c r="HK10" s="203"/>
      <c r="HL10" s="203"/>
      <c r="HM10" s="203"/>
      <c r="HN10" s="203"/>
      <c r="HO10" s="203"/>
      <c r="HP10" s="203"/>
      <c r="HQ10" s="203"/>
      <c r="HR10" s="203"/>
      <c r="HS10" s="203"/>
      <c r="HT10" s="203"/>
      <c r="HU10" s="203"/>
      <c r="HV10" s="203"/>
      <c r="HW10" s="203"/>
      <c r="HX10" s="203"/>
      <c r="HY10" s="203"/>
      <c r="HZ10" s="203"/>
      <c r="IA10" s="203"/>
      <c r="IB10" s="203"/>
      <c r="IC10" s="203"/>
      <c r="ID10" s="203"/>
      <c r="IE10" s="203"/>
      <c r="IF10" s="203"/>
      <c r="IG10" s="203"/>
      <c r="IH10" s="203"/>
      <c r="II10" s="203"/>
      <c r="IJ10" s="203"/>
      <c r="IK10" s="203"/>
      <c r="IL10" s="203"/>
      <c r="IM10" s="203"/>
      <c r="IN10" s="203"/>
      <c r="IO10" s="203"/>
      <c r="IP10" s="203"/>
      <c r="IQ10" s="203"/>
      <c r="IR10" s="203"/>
      <c r="IS10" s="203"/>
      <c r="IT10" s="203"/>
      <c r="IU10" s="203"/>
      <c r="IV10" s="203"/>
      <c r="IW10" s="203"/>
      <c r="IX10" s="203"/>
      <c r="IY10" s="203"/>
      <c r="IZ10" s="203"/>
      <c r="JA10" s="203"/>
      <c r="JB10" s="203"/>
      <c r="JC10" s="203"/>
      <c r="JD10" s="203"/>
      <c r="JE10" s="203"/>
      <c r="JF10" s="203"/>
      <c r="JG10" s="203"/>
      <c r="JH10" s="203"/>
      <c r="JI10" s="203"/>
      <c r="JJ10" s="203"/>
      <c r="JK10" s="203"/>
      <c r="JL10" s="203"/>
      <c r="JM10" s="203"/>
      <c r="JN10" s="203"/>
      <c r="JO10" s="203"/>
      <c r="JP10" s="203"/>
      <c r="JQ10" s="203"/>
      <c r="JR10" s="203"/>
      <c r="JS10" s="203"/>
      <c r="JT10" s="203"/>
      <c r="JU10" s="203"/>
      <c r="JV10" s="203"/>
      <c r="JW10" s="203"/>
      <c r="JX10" s="203"/>
      <c r="JY10" s="203"/>
      <c r="JZ10" s="203"/>
      <c r="KA10" s="203"/>
    </row>
    <row r="11" spans="1:287" ht="14.25">
      <c r="A11" s="203"/>
      <c r="B11" s="203"/>
      <c r="C11" s="203"/>
      <c r="D11" s="236"/>
      <c r="E11" s="203"/>
      <c r="F11" s="203"/>
      <c r="G11" s="203"/>
      <c r="H11" s="236"/>
      <c r="I11" s="230"/>
      <c r="J11" s="230"/>
      <c r="K11" s="203"/>
      <c r="L11" s="236"/>
      <c r="M11" s="230"/>
      <c r="N11" s="230"/>
      <c r="O11" s="230"/>
      <c r="P11" s="230"/>
      <c r="Q11" s="237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03"/>
      <c r="AJ11" s="203"/>
      <c r="AK11" s="203"/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  <c r="BY11" s="203"/>
      <c r="BZ11" s="203"/>
      <c r="CA11" s="203"/>
      <c r="CB11" s="203"/>
      <c r="CC11" s="203"/>
      <c r="CD11" s="203"/>
      <c r="CE11" s="203"/>
      <c r="CF11" s="203"/>
      <c r="CG11" s="203"/>
      <c r="CH11" s="203"/>
      <c r="CI11" s="203"/>
      <c r="CJ11" s="203"/>
      <c r="CK11" s="203"/>
      <c r="CL11" s="203"/>
      <c r="CM11" s="203"/>
      <c r="CN11" s="203"/>
      <c r="CO11" s="203"/>
      <c r="CP11" s="203"/>
      <c r="CQ11" s="203"/>
      <c r="CR11" s="203"/>
      <c r="CS11" s="203"/>
      <c r="CT11" s="203"/>
      <c r="CU11" s="203"/>
      <c r="CV11" s="203"/>
      <c r="CW11" s="203"/>
      <c r="CX11" s="203"/>
      <c r="CY11" s="203"/>
      <c r="CZ11" s="203"/>
      <c r="DA11" s="203"/>
      <c r="DB11" s="203"/>
      <c r="DC11" s="203"/>
      <c r="DD11" s="203"/>
      <c r="DE11" s="203"/>
      <c r="DF11" s="203"/>
      <c r="DG11" s="203"/>
      <c r="DH11" s="203"/>
      <c r="DI11" s="203"/>
      <c r="DJ11" s="203"/>
      <c r="DK11" s="203"/>
      <c r="DL11" s="203"/>
      <c r="DM11" s="203"/>
      <c r="DN11" s="203"/>
      <c r="DO11" s="203"/>
      <c r="DP11" s="203"/>
      <c r="DQ11" s="203"/>
      <c r="DR11" s="203"/>
      <c r="DS11" s="203"/>
      <c r="DT11" s="203"/>
      <c r="DU11" s="203"/>
      <c r="DV11" s="203"/>
      <c r="DW11" s="203"/>
      <c r="DX11" s="203"/>
      <c r="DY11" s="203"/>
      <c r="DZ11" s="203"/>
      <c r="EA11" s="203"/>
      <c r="EB11" s="203"/>
      <c r="EC11" s="203"/>
      <c r="ED11" s="203"/>
      <c r="EE11" s="203"/>
      <c r="EF11" s="203"/>
      <c r="EG11" s="203"/>
      <c r="EH11" s="203"/>
      <c r="EI11" s="203"/>
      <c r="EJ11" s="203"/>
      <c r="EK11" s="203"/>
      <c r="EL11" s="203"/>
      <c r="EM11" s="203"/>
      <c r="EN11" s="203"/>
      <c r="EO11" s="203"/>
      <c r="EP11" s="203"/>
      <c r="EQ11" s="203"/>
      <c r="ER11" s="203"/>
      <c r="ES11" s="203"/>
      <c r="ET11" s="203"/>
      <c r="EU11" s="203"/>
      <c r="EV11" s="203"/>
      <c r="EW11" s="203"/>
      <c r="EX11" s="203"/>
      <c r="EY11" s="203"/>
      <c r="EZ11" s="203"/>
      <c r="FA11" s="203"/>
      <c r="FB11" s="203"/>
      <c r="FC11" s="203"/>
      <c r="FD11" s="203"/>
      <c r="FE11" s="203"/>
      <c r="FF11" s="203"/>
      <c r="FG11" s="203"/>
      <c r="FH11" s="203"/>
      <c r="FI11" s="203"/>
      <c r="FJ11" s="203"/>
      <c r="FK11" s="203"/>
      <c r="FL11" s="203"/>
      <c r="FM11" s="203"/>
      <c r="FN11" s="203"/>
      <c r="FO11" s="203"/>
      <c r="FP11" s="203"/>
      <c r="FQ11" s="203"/>
      <c r="FR11" s="203"/>
      <c r="FS11" s="203"/>
      <c r="FT11" s="203"/>
      <c r="FU11" s="203"/>
      <c r="FV11" s="203"/>
      <c r="FW11" s="203"/>
      <c r="FX11" s="203"/>
      <c r="FY11" s="203"/>
      <c r="FZ11" s="203"/>
      <c r="GA11" s="203"/>
      <c r="GB11" s="203"/>
      <c r="GC11" s="203"/>
      <c r="GD11" s="203"/>
      <c r="GE11" s="203"/>
      <c r="GF11" s="203"/>
      <c r="GG11" s="203"/>
      <c r="GH11" s="203"/>
      <c r="GI11" s="203"/>
      <c r="GJ11" s="203"/>
      <c r="GK11" s="203"/>
      <c r="GL11" s="203"/>
      <c r="GM11" s="203"/>
      <c r="GN11" s="203"/>
      <c r="GO11" s="203"/>
      <c r="GP11" s="203"/>
      <c r="GQ11" s="203"/>
      <c r="GR11" s="203"/>
      <c r="GS11" s="203"/>
      <c r="GT11" s="203"/>
      <c r="GU11" s="203"/>
      <c r="GV11" s="203"/>
      <c r="GW11" s="203"/>
      <c r="GX11" s="203"/>
      <c r="GY11" s="203"/>
      <c r="GZ11" s="203"/>
      <c r="HA11" s="203"/>
      <c r="HB11" s="203"/>
      <c r="HC11" s="203"/>
      <c r="HD11" s="203"/>
      <c r="HE11" s="203"/>
      <c r="HF11" s="203"/>
      <c r="HG11" s="203"/>
      <c r="HH11" s="203"/>
      <c r="HI11" s="203"/>
      <c r="HJ11" s="203"/>
      <c r="HK11" s="203"/>
      <c r="HL11" s="203"/>
      <c r="HM11" s="203"/>
      <c r="HN11" s="203"/>
      <c r="HO11" s="203"/>
      <c r="HP11" s="203"/>
      <c r="HQ11" s="203"/>
      <c r="HR11" s="203"/>
      <c r="HS11" s="203"/>
      <c r="HT11" s="203"/>
      <c r="HU11" s="203"/>
      <c r="HV11" s="203"/>
      <c r="HW11" s="203"/>
      <c r="HX11" s="203"/>
      <c r="HY11" s="203"/>
      <c r="HZ11" s="203"/>
      <c r="IA11" s="203"/>
      <c r="IB11" s="203"/>
      <c r="IC11" s="203"/>
      <c r="ID11" s="203"/>
      <c r="IE11" s="203"/>
      <c r="IF11" s="203"/>
      <c r="IG11" s="203"/>
      <c r="IH11" s="203"/>
      <c r="II11" s="203"/>
      <c r="IJ11" s="203"/>
      <c r="IK11" s="203"/>
      <c r="IL11" s="203"/>
      <c r="IM11" s="203"/>
      <c r="IN11" s="203"/>
      <c r="IO11" s="203"/>
      <c r="IP11" s="203"/>
      <c r="IQ11" s="203"/>
      <c r="IR11" s="203"/>
      <c r="IS11" s="203"/>
      <c r="IT11" s="203"/>
      <c r="IU11" s="203"/>
      <c r="IV11" s="203"/>
      <c r="IW11" s="203"/>
      <c r="IX11" s="203"/>
      <c r="IY11" s="203"/>
      <c r="IZ11" s="203"/>
      <c r="JA11" s="203"/>
      <c r="JB11" s="203"/>
      <c r="JC11" s="203"/>
      <c r="JD11" s="203"/>
      <c r="JE11" s="203"/>
      <c r="JF11" s="203"/>
      <c r="JG11" s="203"/>
      <c r="JH11" s="203"/>
      <c r="JI11" s="203"/>
      <c r="JJ11" s="203"/>
      <c r="JK11" s="203"/>
      <c r="JL11" s="203"/>
      <c r="JM11" s="203"/>
      <c r="JN11" s="203"/>
      <c r="JO11" s="203"/>
      <c r="JP11" s="203"/>
      <c r="JQ11" s="203"/>
      <c r="JR11" s="203"/>
      <c r="JS11" s="203"/>
      <c r="JT11" s="203"/>
      <c r="JU11" s="203"/>
      <c r="JV11" s="203"/>
      <c r="JW11" s="203"/>
      <c r="JX11" s="203"/>
      <c r="JY11" s="203"/>
      <c r="JZ11" s="203"/>
      <c r="KA11" s="203"/>
    </row>
    <row r="12" spans="1:287" ht="14.25">
      <c r="A12" s="203"/>
      <c r="B12" s="203"/>
      <c r="C12" s="203"/>
      <c r="D12" s="236"/>
      <c r="E12" s="203"/>
      <c r="F12" s="203"/>
      <c r="G12" s="203"/>
      <c r="H12" s="236"/>
      <c r="I12" s="230"/>
      <c r="J12" s="230"/>
      <c r="K12" s="203"/>
      <c r="L12" s="236"/>
      <c r="M12" s="230"/>
      <c r="N12" s="230"/>
      <c r="O12" s="230"/>
      <c r="P12" s="230"/>
      <c r="Q12" s="237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  <c r="CK12" s="203"/>
      <c r="CL12" s="203"/>
      <c r="CM12" s="203"/>
      <c r="CN12" s="203"/>
      <c r="CO12" s="203"/>
      <c r="CP12" s="203"/>
      <c r="CQ12" s="203"/>
      <c r="CR12" s="203"/>
      <c r="CS12" s="203"/>
      <c r="CT12" s="203"/>
      <c r="CU12" s="203"/>
      <c r="CV12" s="203"/>
      <c r="CW12" s="203"/>
      <c r="CX12" s="203"/>
      <c r="CY12" s="203"/>
      <c r="CZ12" s="203"/>
      <c r="DA12" s="203"/>
      <c r="DB12" s="203"/>
      <c r="DC12" s="203"/>
      <c r="DD12" s="203"/>
      <c r="DE12" s="203"/>
      <c r="DF12" s="203"/>
      <c r="DG12" s="203"/>
      <c r="DH12" s="203"/>
      <c r="DI12" s="203"/>
      <c r="DJ12" s="203"/>
      <c r="DK12" s="203"/>
      <c r="DL12" s="203"/>
      <c r="DM12" s="203"/>
      <c r="DN12" s="203"/>
      <c r="DO12" s="203"/>
      <c r="DP12" s="203"/>
      <c r="DQ12" s="203"/>
      <c r="DR12" s="203"/>
      <c r="DS12" s="203"/>
      <c r="DT12" s="203"/>
      <c r="DU12" s="203"/>
      <c r="DV12" s="203"/>
      <c r="DW12" s="203"/>
      <c r="DX12" s="203"/>
      <c r="DY12" s="203"/>
      <c r="DZ12" s="203"/>
      <c r="EA12" s="203"/>
      <c r="EB12" s="203"/>
      <c r="EC12" s="203"/>
      <c r="ED12" s="203"/>
      <c r="EE12" s="203"/>
      <c r="EF12" s="203"/>
      <c r="EG12" s="203"/>
      <c r="EH12" s="203"/>
      <c r="EI12" s="203"/>
      <c r="EJ12" s="203"/>
      <c r="EK12" s="203"/>
      <c r="EL12" s="203"/>
      <c r="EM12" s="203"/>
      <c r="EN12" s="203"/>
      <c r="EO12" s="203"/>
      <c r="EP12" s="203"/>
      <c r="EQ12" s="203"/>
      <c r="ER12" s="203"/>
      <c r="ES12" s="203"/>
      <c r="ET12" s="203"/>
      <c r="EU12" s="203"/>
      <c r="EV12" s="203"/>
      <c r="EW12" s="203"/>
      <c r="EX12" s="203"/>
      <c r="EY12" s="203"/>
      <c r="EZ12" s="203"/>
      <c r="FA12" s="203"/>
      <c r="FB12" s="203"/>
      <c r="FC12" s="203"/>
      <c r="FD12" s="203"/>
      <c r="FE12" s="203"/>
      <c r="FF12" s="203"/>
      <c r="FG12" s="203"/>
      <c r="FH12" s="203"/>
      <c r="FI12" s="203"/>
      <c r="FJ12" s="203"/>
      <c r="FK12" s="203"/>
      <c r="FL12" s="203"/>
      <c r="FM12" s="203"/>
      <c r="FN12" s="203"/>
      <c r="FO12" s="203"/>
      <c r="FP12" s="203"/>
      <c r="FQ12" s="203"/>
      <c r="FR12" s="203"/>
      <c r="FS12" s="203"/>
      <c r="FT12" s="203"/>
      <c r="FU12" s="203"/>
      <c r="FV12" s="203"/>
      <c r="FW12" s="203"/>
      <c r="FX12" s="203"/>
      <c r="FY12" s="203"/>
      <c r="FZ12" s="203"/>
      <c r="GA12" s="203"/>
      <c r="GB12" s="203"/>
      <c r="GC12" s="203"/>
      <c r="GD12" s="203"/>
      <c r="GE12" s="203"/>
      <c r="GF12" s="203"/>
      <c r="GG12" s="203"/>
      <c r="GH12" s="203"/>
      <c r="GI12" s="203"/>
      <c r="GJ12" s="203"/>
      <c r="GK12" s="203"/>
      <c r="GL12" s="203"/>
      <c r="GM12" s="203"/>
      <c r="GN12" s="203"/>
      <c r="GO12" s="203"/>
      <c r="GP12" s="203"/>
      <c r="GQ12" s="203"/>
      <c r="GR12" s="203"/>
      <c r="GS12" s="203"/>
      <c r="GT12" s="203"/>
      <c r="GU12" s="203"/>
      <c r="GV12" s="203"/>
      <c r="GW12" s="203"/>
      <c r="GX12" s="203"/>
      <c r="GY12" s="203"/>
      <c r="GZ12" s="203"/>
      <c r="HA12" s="203"/>
      <c r="HB12" s="203"/>
      <c r="HC12" s="203"/>
      <c r="HD12" s="203"/>
      <c r="HE12" s="203"/>
      <c r="HF12" s="203"/>
      <c r="HG12" s="203"/>
      <c r="HH12" s="203"/>
      <c r="HI12" s="203"/>
      <c r="HJ12" s="203"/>
      <c r="HK12" s="203"/>
      <c r="HL12" s="203"/>
      <c r="HM12" s="203"/>
      <c r="HN12" s="203"/>
      <c r="HO12" s="203"/>
      <c r="HP12" s="203"/>
      <c r="HQ12" s="203"/>
      <c r="HR12" s="203"/>
      <c r="HS12" s="203"/>
      <c r="HT12" s="203"/>
      <c r="HU12" s="203"/>
      <c r="HV12" s="203"/>
      <c r="HW12" s="203"/>
      <c r="HX12" s="203"/>
      <c r="HY12" s="203"/>
      <c r="HZ12" s="203"/>
      <c r="IA12" s="203"/>
      <c r="IB12" s="203"/>
      <c r="IC12" s="203"/>
      <c r="ID12" s="203"/>
      <c r="IE12" s="203"/>
      <c r="IF12" s="203"/>
      <c r="IG12" s="203"/>
      <c r="IH12" s="203"/>
      <c r="II12" s="203"/>
      <c r="IJ12" s="203"/>
      <c r="IK12" s="203"/>
      <c r="IL12" s="203"/>
      <c r="IM12" s="203"/>
      <c r="IN12" s="203"/>
      <c r="IO12" s="203"/>
      <c r="IP12" s="203"/>
      <c r="IQ12" s="203"/>
      <c r="IR12" s="203"/>
      <c r="IS12" s="203"/>
      <c r="IT12" s="203"/>
      <c r="IU12" s="203"/>
      <c r="IV12" s="203"/>
      <c r="IW12" s="203"/>
      <c r="IX12" s="203"/>
      <c r="IY12" s="203"/>
      <c r="IZ12" s="203"/>
      <c r="JA12" s="203"/>
      <c r="JB12" s="203"/>
      <c r="JC12" s="203"/>
      <c r="JD12" s="203"/>
      <c r="JE12" s="203"/>
      <c r="JF12" s="203"/>
      <c r="JG12" s="203"/>
      <c r="JH12" s="203"/>
      <c r="JI12" s="203"/>
      <c r="JJ12" s="203"/>
      <c r="JK12" s="203"/>
      <c r="JL12" s="203"/>
      <c r="JM12" s="203"/>
      <c r="JN12" s="203"/>
      <c r="JO12" s="203"/>
      <c r="JP12" s="203"/>
      <c r="JQ12" s="203"/>
      <c r="JR12" s="203"/>
      <c r="JS12" s="203"/>
      <c r="JT12" s="203"/>
      <c r="JU12" s="203"/>
      <c r="JV12" s="203"/>
      <c r="JW12" s="203"/>
      <c r="JX12" s="203"/>
      <c r="JY12" s="203"/>
      <c r="JZ12" s="203"/>
      <c r="KA12" s="203"/>
    </row>
    <row r="13" spans="1:287" ht="14.25">
      <c r="A13" s="203"/>
      <c r="B13" s="203"/>
      <c r="C13" s="203"/>
      <c r="D13" s="236"/>
      <c r="E13" s="203"/>
      <c r="F13" s="203"/>
      <c r="G13" s="203"/>
      <c r="H13" s="236"/>
      <c r="I13" s="230"/>
      <c r="J13" s="230"/>
      <c r="K13" s="203"/>
      <c r="L13" s="236"/>
      <c r="M13" s="230"/>
      <c r="N13" s="230"/>
      <c r="O13" s="230"/>
      <c r="P13" s="230"/>
      <c r="Q13" s="237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3"/>
      <c r="DV13" s="203"/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3"/>
      <c r="GD13" s="203"/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3"/>
      <c r="IL13" s="203"/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</row>
    <row r="14" spans="1:287" ht="14.25">
      <c r="A14" s="203"/>
      <c r="B14" s="203"/>
      <c r="C14" s="203"/>
      <c r="D14" s="236"/>
      <c r="E14" s="203"/>
      <c r="F14" s="203"/>
      <c r="G14" s="203"/>
      <c r="H14" s="236"/>
      <c r="I14" s="230"/>
      <c r="J14" s="230"/>
      <c r="K14" s="203"/>
      <c r="L14" s="236"/>
      <c r="M14" s="230"/>
      <c r="N14" s="230"/>
      <c r="O14" s="230"/>
      <c r="P14" s="230"/>
      <c r="Q14" s="237"/>
      <c r="R14" s="230"/>
      <c r="S14" s="230"/>
      <c r="T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E14" s="230"/>
      <c r="AF14" s="230"/>
      <c r="AG14" s="230"/>
      <c r="AH14" s="230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  <c r="CK14" s="203"/>
      <c r="CL14" s="203"/>
      <c r="CM14" s="203"/>
      <c r="CN14" s="203"/>
      <c r="CO14" s="203"/>
      <c r="CP14" s="203"/>
      <c r="CQ14" s="203"/>
      <c r="CR14" s="203"/>
      <c r="CS14" s="203"/>
      <c r="CT14" s="203"/>
      <c r="CU14" s="203"/>
      <c r="CV14" s="203"/>
      <c r="CW14" s="203"/>
      <c r="CX14" s="203"/>
      <c r="CY14" s="203"/>
      <c r="CZ14" s="203"/>
      <c r="DA14" s="203"/>
      <c r="DB14" s="203"/>
      <c r="DC14" s="203"/>
      <c r="DD14" s="203"/>
      <c r="DE14" s="203"/>
      <c r="DF14" s="203"/>
      <c r="DG14" s="203"/>
      <c r="DH14" s="203"/>
      <c r="DI14" s="203"/>
      <c r="DJ14" s="203"/>
      <c r="DK14" s="203"/>
      <c r="DL14" s="203"/>
      <c r="DM14" s="203"/>
      <c r="DN14" s="203"/>
      <c r="DO14" s="203"/>
      <c r="DP14" s="203"/>
      <c r="DQ14" s="203"/>
      <c r="DR14" s="203"/>
      <c r="DS14" s="203"/>
      <c r="DT14" s="203"/>
      <c r="DU14" s="203"/>
      <c r="DV14" s="203"/>
      <c r="DW14" s="203"/>
      <c r="DX14" s="203"/>
      <c r="DY14" s="203"/>
      <c r="DZ14" s="203"/>
      <c r="EA14" s="203"/>
      <c r="EB14" s="203"/>
      <c r="EC14" s="203"/>
      <c r="ED14" s="203"/>
      <c r="EE14" s="203"/>
      <c r="EF14" s="203"/>
      <c r="EG14" s="203"/>
      <c r="EH14" s="203"/>
      <c r="EI14" s="203"/>
      <c r="EJ14" s="203"/>
      <c r="EK14" s="203"/>
      <c r="EL14" s="203"/>
      <c r="EM14" s="203"/>
      <c r="EN14" s="203"/>
      <c r="EO14" s="203"/>
      <c r="EP14" s="203"/>
      <c r="EQ14" s="203"/>
      <c r="ER14" s="203"/>
      <c r="ES14" s="203"/>
      <c r="ET14" s="203"/>
      <c r="EU14" s="203"/>
      <c r="EV14" s="203"/>
      <c r="EW14" s="203"/>
      <c r="EX14" s="203"/>
      <c r="EY14" s="203"/>
      <c r="EZ14" s="203"/>
      <c r="FA14" s="203"/>
      <c r="FB14" s="203"/>
      <c r="FC14" s="203"/>
      <c r="FD14" s="203"/>
      <c r="FE14" s="203"/>
      <c r="FF14" s="203"/>
      <c r="FG14" s="203"/>
      <c r="FH14" s="203"/>
      <c r="FI14" s="203"/>
      <c r="FJ14" s="203"/>
      <c r="FK14" s="203"/>
      <c r="FL14" s="203"/>
      <c r="FM14" s="203"/>
      <c r="FN14" s="203"/>
      <c r="FO14" s="203"/>
      <c r="FP14" s="203"/>
      <c r="FQ14" s="203"/>
      <c r="FR14" s="203"/>
      <c r="FS14" s="203"/>
      <c r="FT14" s="203"/>
      <c r="FU14" s="203"/>
      <c r="FV14" s="203"/>
      <c r="FW14" s="203"/>
      <c r="FX14" s="203"/>
      <c r="FY14" s="203"/>
      <c r="FZ14" s="203"/>
      <c r="GA14" s="203"/>
      <c r="GB14" s="203"/>
      <c r="GC14" s="203"/>
      <c r="GD14" s="203"/>
      <c r="GE14" s="203"/>
      <c r="GF14" s="203"/>
      <c r="GG14" s="203"/>
      <c r="GH14" s="203"/>
      <c r="GI14" s="203"/>
      <c r="GJ14" s="203"/>
      <c r="GK14" s="203"/>
      <c r="GL14" s="203"/>
      <c r="GM14" s="203"/>
      <c r="GN14" s="203"/>
      <c r="GO14" s="203"/>
      <c r="GP14" s="203"/>
      <c r="GQ14" s="203"/>
      <c r="GR14" s="203"/>
      <c r="GS14" s="203"/>
      <c r="GT14" s="203"/>
      <c r="GU14" s="203"/>
      <c r="GV14" s="203"/>
      <c r="GW14" s="203"/>
      <c r="GX14" s="203"/>
      <c r="GY14" s="203"/>
      <c r="GZ14" s="203"/>
      <c r="HA14" s="203"/>
      <c r="HB14" s="203"/>
      <c r="HC14" s="203"/>
      <c r="HD14" s="203"/>
      <c r="HE14" s="203"/>
      <c r="HF14" s="203"/>
      <c r="HG14" s="203"/>
      <c r="HH14" s="203"/>
      <c r="HI14" s="203"/>
      <c r="HJ14" s="203"/>
      <c r="HK14" s="203"/>
      <c r="HL14" s="203"/>
      <c r="HM14" s="203"/>
      <c r="HN14" s="203"/>
      <c r="HO14" s="203"/>
      <c r="HP14" s="203"/>
      <c r="HQ14" s="203"/>
      <c r="HR14" s="203"/>
      <c r="HS14" s="203"/>
      <c r="HT14" s="203"/>
      <c r="HU14" s="203"/>
      <c r="HV14" s="203"/>
      <c r="HW14" s="203"/>
      <c r="HX14" s="203"/>
      <c r="HY14" s="203"/>
      <c r="HZ14" s="203"/>
      <c r="IA14" s="203"/>
      <c r="IB14" s="203"/>
      <c r="IC14" s="203"/>
      <c r="ID14" s="203"/>
      <c r="IE14" s="203"/>
      <c r="IF14" s="203"/>
      <c r="IG14" s="203"/>
      <c r="IH14" s="203"/>
      <c r="II14" s="203"/>
      <c r="IJ14" s="203"/>
      <c r="IK14" s="203"/>
      <c r="IL14" s="203"/>
      <c r="IM14" s="203"/>
      <c r="IN14" s="203"/>
      <c r="IO14" s="203"/>
      <c r="IP14" s="203"/>
      <c r="IQ14" s="203"/>
      <c r="IR14" s="203"/>
      <c r="IS14" s="203"/>
      <c r="IT14" s="203"/>
      <c r="IU14" s="203"/>
      <c r="IV14" s="203"/>
      <c r="IW14" s="203"/>
      <c r="IX14" s="203"/>
      <c r="IY14" s="203"/>
      <c r="IZ14" s="203"/>
      <c r="JA14" s="203"/>
      <c r="JB14" s="203"/>
      <c r="JC14" s="203"/>
      <c r="JD14" s="203"/>
      <c r="JE14" s="203"/>
      <c r="JF14" s="203"/>
      <c r="JG14" s="203"/>
      <c r="JH14" s="203"/>
      <c r="JI14" s="203"/>
      <c r="JJ14" s="203"/>
      <c r="JK14" s="203"/>
      <c r="JL14" s="203"/>
      <c r="JM14" s="203"/>
      <c r="JN14" s="203"/>
      <c r="JO14" s="203"/>
      <c r="JP14" s="203"/>
      <c r="JQ14" s="203"/>
      <c r="JR14" s="203"/>
      <c r="JS14" s="203"/>
      <c r="JT14" s="203"/>
      <c r="JU14" s="203"/>
      <c r="JV14" s="203"/>
      <c r="JW14" s="203"/>
      <c r="JX14" s="203"/>
      <c r="JY14" s="203"/>
      <c r="JZ14" s="203"/>
      <c r="KA14" s="203"/>
    </row>
    <row r="15" spans="1:287" ht="14.25">
      <c r="A15" s="203"/>
      <c r="B15" s="203"/>
      <c r="C15" s="203"/>
      <c r="D15" s="236"/>
      <c r="E15" s="203"/>
      <c r="F15" s="203"/>
      <c r="G15" s="203"/>
      <c r="H15" s="236"/>
      <c r="I15" s="230"/>
      <c r="J15" s="230"/>
      <c r="K15" s="203"/>
      <c r="L15" s="236"/>
      <c r="M15" s="230"/>
      <c r="N15" s="230"/>
      <c r="O15" s="230"/>
      <c r="P15" s="230"/>
      <c r="Q15" s="237"/>
      <c r="R15" s="230"/>
      <c r="S15" s="230"/>
      <c r="T15" s="230"/>
      <c r="U15" s="230"/>
      <c r="V15" s="230"/>
      <c r="W15" s="230"/>
      <c r="X15" s="230"/>
      <c r="Y15" s="230"/>
      <c r="Z15" s="230"/>
      <c r="AA15" s="230"/>
      <c r="AB15" s="230"/>
      <c r="AC15" s="230"/>
      <c r="AD15" s="230"/>
      <c r="AE15" s="230"/>
      <c r="AF15" s="230"/>
      <c r="AG15" s="230"/>
      <c r="AH15" s="230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  <c r="CK15" s="203"/>
      <c r="CL15" s="203"/>
      <c r="CM15" s="203"/>
      <c r="CN15" s="203"/>
      <c r="CO15" s="203"/>
      <c r="CP15" s="203"/>
      <c r="CQ15" s="203"/>
      <c r="CR15" s="203"/>
      <c r="CS15" s="203"/>
      <c r="CT15" s="203"/>
      <c r="CU15" s="203"/>
      <c r="CV15" s="203"/>
      <c r="CW15" s="203"/>
      <c r="CX15" s="203"/>
      <c r="CY15" s="203"/>
      <c r="CZ15" s="203"/>
      <c r="DA15" s="203"/>
      <c r="DB15" s="203"/>
      <c r="DC15" s="203"/>
      <c r="DD15" s="203"/>
      <c r="DE15" s="203"/>
      <c r="DF15" s="203"/>
      <c r="DG15" s="203"/>
      <c r="DH15" s="203"/>
      <c r="DI15" s="203"/>
      <c r="DJ15" s="203"/>
      <c r="DK15" s="203"/>
      <c r="DL15" s="203"/>
      <c r="DM15" s="203"/>
      <c r="DN15" s="203"/>
      <c r="DO15" s="203"/>
      <c r="DP15" s="203"/>
      <c r="DQ15" s="203"/>
      <c r="DR15" s="203"/>
      <c r="DS15" s="203"/>
      <c r="DT15" s="203"/>
      <c r="DU15" s="203"/>
      <c r="DV15" s="203"/>
      <c r="DW15" s="203"/>
      <c r="DX15" s="203"/>
      <c r="DY15" s="203"/>
      <c r="DZ15" s="203"/>
      <c r="EA15" s="203"/>
      <c r="EB15" s="203"/>
      <c r="EC15" s="203"/>
      <c r="ED15" s="203"/>
      <c r="EE15" s="203"/>
      <c r="EF15" s="203"/>
      <c r="EG15" s="203"/>
      <c r="EH15" s="203"/>
      <c r="EI15" s="203"/>
      <c r="EJ15" s="203"/>
      <c r="EK15" s="203"/>
      <c r="EL15" s="203"/>
      <c r="EM15" s="203"/>
      <c r="EN15" s="203"/>
      <c r="EO15" s="203"/>
      <c r="EP15" s="203"/>
      <c r="EQ15" s="203"/>
      <c r="ER15" s="203"/>
      <c r="ES15" s="203"/>
      <c r="ET15" s="203"/>
      <c r="EU15" s="203"/>
      <c r="EV15" s="203"/>
      <c r="EW15" s="203"/>
      <c r="EX15" s="203"/>
      <c r="EY15" s="203"/>
      <c r="EZ15" s="203"/>
      <c r="FA15" s="203"/>
      <c r="FB15" s="203"/>
      <c r="FC15" s="203"/>
      <c r="FD15" s="203"/>
      <c r="FE15" s="203"/>
      <c r="FF15" s="203"/>
      <c r="FG15" s="203"/>
      <c r="FH15" s="203"/>
      <c r="FI15" s="203"/>
      <c r="FJ15" s="203"/>
      <c r="FK15" s="203"/>
      <c r="FL15" s="203"/>
      <c r="FM15" s="203"/>
      <c r="FN15" s="203"/>
      <c r="FO15" s="203"/>
      <c r="FP15" s="203"/>
      <c r="FQ15" s="203"/>
      <c r="FR15" s="203"/>
      <c r="FS15" s="203"/>
      <c r="FT15" s="203"/>
      <c r="FU15" s="203"/>
      <c r="FV15" s="203"/>
      <c r="FW15" s="203"/>
      <c r="FX15" s="203"/>
      <c r="FY15" s="203"/>
      <c r="FZ15" s="203"/>
      <c r="GA15" s="203"/>
      <c r="GB15" s="203"/>
      <c r="GC15" s="203"/>
      <c r="GD15" s="203"/>
      <c r="GE15" s="203"/>
      <c r="GF15" s="203"/>
      <c r="GG15" s="203"/>
      <c r="GH15" s="203"/>
      <c r="GI15" s="203"/>
      <c r="GJ15" s="203"/>
      <c r="GK15" s="203"/>
      <c r="GL15" s="203"/>
      <c r="GM15" s="203"/>
      <c r="GN15" s="203"/>
      <c r="GO15" s="203"/>
      <c r="GP15" s="203"/>
      <c r="GQ15" s="203"/>
      <c r="GR15" s="203"/>
      <c r="GS15" s="203"/>
      <c r="GT15" s="203"/>
      <c r="GU15" s="203"/>
      <c r="GV15" s="203"/>
      <c r="GW15" s="203"/>
      <c r="GX15" s="203"/>
      <c r="GY15" s="203"/>
      <c r="GZ15" s="203"/>
      <c r="HA15" s="203"/>
      <c r="HB15" s="203"/>
      <c r="HC15" s="203"/>
      <c r="HD15" s="203"/>
      <c r="HE15" s="203"/>
      <c r="HF15" s="203"/>
      <c r="HG15" s="203"/>
      <c r="HH15" s="203"/>
      <c r="HI15" s="203"/>
      <c r="HJ15" s="203"/>
      <c r="HK15" s="203"/>
      <c r="HL15" s="203"/>
      <c r="HM15" s="203"/>
      <c r="HN15" s="203"/>
      <c r="HO15" s="203"/>
      <c r="HP15" s="203"/>
      <c r="HQ15" s="203"/>
      <c r="HR15" s="203"/>
      <c r="HS15" s="203"/>
      <c r="HT15" s="203"/>
      <c r="HU15" s="203"/>
      <c r="HV15" s="203"/>
      <c r="HW15" s="203"/>
      <c r="HX15" s="203"/>
      <c r="HY15" s="203"/>
      <c r="HZ15" s="203"/>
      <c r="IA15" s="203"/>
      <c r="IB15" s="203"/>
      <c r="IC15" s="203"/>
      <c r="ID15" s="203"/>
      <c r="IE15" s="203"/>
      <c r="IF15" s="203"/>
      <c r="IG15" s="203"/>
      <c r="IH15" s="203"/>
      <c r="II15" s="203"/>
      <c r="IJ15" s="203"/>
      <c r="IK15" s="203"/>
      <c r="IL15" s="203"/>
      <c r="IM15" s="203"/>
      <c r="IN15" s="203"/>
      <c r="IO15" s="203"/>
      <c r="IP15" s="203"/>
      <c r="IQ15" s="203"/>
      <c r="IR15" s="203"/>
      <c r="IS15" s="203"/>
      <c r="IT15" s="203"/>
      <c r="IU15" s="203"/>
      <c r="IV15" s="203"/>
      <c r="IW15" s="203"/>
      <c r="IX15" s="203"/>
      <c r="IY15" s="203"/>
      <c r="IZ15" s="203"/>
      <c r="JA15" s="203"/>
      <c r="JB15" s="203"/>
      <c r="JC15" s="203"/>
      <c r="JD15" s="203"/>
      <c r="JE15" s="203"/>
      <c r="JF15" s="203"/>
      <c r="JG15" s="203"/>
      <c r="JH15" s="203"/>
      <c r="JI15" s="203"/>
      <c r="JJ15" s="203"/>
      <c r="JK15" s="203"/>
      <c r="JL15" s="203"/>
      <c r="JM15" s="203"/>
      <c r="JN15" s="203"/>
      <c r="JO15" s="203"/>
      <c r="JP15" s="203"/>
      <c r="JQ15" s="203"/>
      <c r="JR15" s="203"/>
      <c r="JS15" s="203"/>
      <c r="JT15" s="203"/>
      <c r="JU15" s="203"/>
      <c r="JV15" s="203"/>
      <c r="JW15" s="203"/>
      <c r="JX15" s="203"/>
      <c r="JY15" s="203"/>
      <c r="JZ15" s="203"/>
      <c r="KA15" s="203"/>
    </row>
    <row r="16" spans="1:287" ht="14.25">
      <c r="A16" s="203"/>
      <c r="B16" s="203"/>
      <c r="C16" s="203"/>
      <c r="D16" s="236"/>
      <c r="E16" s="203"/>
      <c r="F16" s="203"/>
      <c r="G16" s="203"/>
      <c r="H16" s="236"/>
      <c r="I16" s="230"/>
      <c r="J16" s="230"/>
      <c r="K16" s="203"/>
      <c r="L16" s="236"/>
      <c r="M16" s="230"/>
      <c r="N16" s="230"/>
      <c r="O16" s="230"/>
      <c r="P16" s="230"/>
      <c r="Q16" s="237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30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  <c r="CK16" s="203"/>
      <c r="CL16" s="203"/>
      <c r="CM16" s="203"/>
      <c r="CN16" s="203"/>
      <c r="CO16" s="203"/>
      <c r="CP16" s="203"/>
      <c r="CQ16" s="203"/>
      <c r="CR16" s="203"/>
      <c r="CS16" s="203"/>
      <c r="CT16" s="203"/>
      <c r="CU16" s="203"/>
      <c r="CV16" s="203"/>
      <c r="CW16" s="203"/>
      <c r="CX16" s="203"/>
      <c r="CY16" s="203"/>
      <c r="CZ16" s="203"/>
      <c r="DA16" s="203"/>
      <c r="DB16" s="203"/>
      <c r="DC16" s="203"/>
      <c r="DD16" s="203"/>
      <c r="DE16" s="203"/>
      <c r="DF16" s="203"/>
      <c r="DG16" s="203"/>
      <c r="DH16" s="203"/>
      <c r="DI16" s="203"/>
      <c r="DJ16" s="203"/>
      <c r="DK16" s="203"/>
      <c r="DL16" s="203"/>
      <c r="DM16" s="203"/>
      <c r="DN16" s="203"/>
      <c r="DO16" s="203"/>
      <c r="DP16" s="203"/>
      <c r="DQ16" s="203"/>
      <c r="DR16" s="203"/>
      <c r="DS16" s="203"/>
      <c r="DT16" s="203"/>
      <c r="DU16" s="203"/>
      <c r="DV16" s="203"/>
      <c r="DW16" s="203"/>
      <c r="DX16" s="203"/>
      <c r="DY16" s="203"/>
      <c r="DZ16" s="203"/>
      <c r="EA16" s="203"/>
      <c r="EB16" s="203"/>
      <c r="EC16" s="203"/>
      <c r="ED16" s="203"/>
      <c r="EE16" s="203"/>
      <c r="EF16" s="203"/>
      <c r="EG16" s="203"/>
      <c r="EH16" s="203"/>
      <c r="EI16" s="203"/>
      <c r="EJ16" s="203"/>
      <c r="EK16" s="203"/>
      <c r="EL16" s="203"/>
      <c r="EM16" s="203"/>
      <c r="EN16" s="203"/>
      <c r="EO16" s="203"/>
      <c r="EP16" s="203"/>
      <c r="EQ16" s="203"/>
      <c r="ER16" s="203"/>
      <c r="ES16" s="203"/>
      <c r="ET16" s="203"/>
      <c r="EU16" s="203"/>
      <c r="EV16" s="203"/>
      <c r="EW16" s="203"/>
      <c r="EX16" s="203"/>
      <c r="EY16" s="203"/>
      <c r="EZ16" s="203"/>
      <c r="FA16" s="203"/>
      <c r="FB16" s="203"/>
      <c r="FC16" s="203"/>
      <c r="FD16" s="203"/>
      <c r="FE16" s="203"/>
      <c r="FF16" s="203"/>
      <c r="FG16" s="203"/>
      <c r="FH16" s="203"/>
      <c r="FI16" s="203"/>
      <c r="FJ16" s="203"/>
      <c r="FK16" s="203"/>
      <c r="FL16" s="203"/>
      <c r="FM16" s="203"/>
      <c r="FN16" s="203"/>
      <c r="FO16" s="203"/>
      <c r="FP16" s="203"/>
      <c r="FQ16" s="203"/>
      <c r="FR16" s="203"/>
      <c r="FS16" s="203"/>
      <c r="FT16" s="203"/>
      <c r="FU16" s="203"/>
      <c r="FV16" s="203"/>
      <c r="FW16" s="203"/>
      <c r="FX16" s="203"/>
      <c r="FY16" s="203"/>
      <c r="FZ16" s="203"/>
      <c r="GA16" s="203"/>
      <c r="GB16" s="203"/>
      <c r="GC16" s="203"/>
      <c r="GD16" s="203"/>
      <c r="GE16" s="203"/>
      <c r="GF16" s="203"/>
      <c r="GG16" s="203"/>
      <c r="GH16" s="203"/>
      <c r="GI16" s="203"/>
      <c r="GJ16" s="203"/>
      <c r="GK16" s="203"/>
      <c r="GL16" s="203"/>
      <c r="GM16" s="203"/>
      <c r="GN16" s="203"/>
      <c r="GO16" s="203"/>
      <c r="GP16" s="203"/>
      <c r="GQ16" s="203"/>
      <c r="GR16" s="203"/>
      <c r="GS16" s="203"/>
      <c r="GT16" s="203"/>
      <c r="GU16" s="203"/>
      <c r="GV16" s="203"/>
      <c r="GW16" s="203"/>
      <c r="GX16" s="203"/>
      <c r="GY16" s="203"/>
      <c r="GZ16" s="203"/>
      <c r="HA16" s="203"/>
      <c r="HB16" s="203"/>
      <c r="HC16" s="203"/>
      <c r="HD16" s="203"/>
      <c r="HE16" s="203"/>
      <c r="HF16" s="203"/>
      <c r="HG16" s="203"/>
      <c r="HH16" s="203"/>
      <c r="HI16" s="203"/>
      <c r="HJ16" s="203"/>
      <c r="HK16" s="203"/>
      <c r="HL16" s="203"/>
      <c r="HM16" s="203"/>
      <c r="HN16" s="203"/>
      <c r="HO16" s="203"/>
      <c r="HP16" s="203"/>
      <c r="HQ16" s="203"/>
      <c r="HR16" s="203"/>
      <c r="HS16" s="203"/>
      <c r="HT16" s="203"/>
      <c r="HU16" s="203"/>
      <c r="HV16" s="203"/>
      <c r="HW16" s="203"/>
      <c r="HX16" s="203"/>
      <c r="HY16" s="203"/>
      <c r="HZ16" s="203"/>
      <c r="IA16" s="203"/>
      <c r="IB16" s="203"/>
      <c r="IC16" s="203"/>
      <c r="ID16" s="203"/>
      <c r="IE16" s="203"/>
      <c r="IF16" s="203"/>
      <c r="IG16" s="203"/>
      <c r="IH16" s="203"/>
      <c r="II16" s="203"/>
      <c r="IJ16" s="203"/>
      <c r="IK16" s="203"/>
      <c r="IL16" s="203"/>
      <c r="IM16" s="203"/>
      <c r="IN16" s="203"/>
      <c r="IO16" s="203"/>
      <c r="IP16" s="203"/>
      <c r="IQ16" s="203"/>
      <c r="IR16" s="203"/>
      <c r="IS16" s="203"/>
      <c r="IT16" s="203"/>
      <c r="IU16" s="203"/>
      <c r="IV16" s="203"/>
      <c r="IW16" s="203"/>
      <c r="IX16" s="203"/>
      <c r="IY16" s="203"/>
      <c r="IZ16" s="203"/>
      <c r="JA16" s="203"/>
      <c r="JB16" s="203"/>
      <c r="JC16" s="203"/>
      <c r="JD16" s="203"/>
      <c r="JE16" s="203"/>
      <c r="JF16" s="203"/>
      <c r="JG16" s="203"/>
      <c r="JH16" s="203"/>
      <c r="JI16" s="203"/>
      <c r="JJ16" s="203"/>
      <c r="JK16" s="203"/>
      <c r="JL16" s="203"/>
      <c r="JM16" s="203"/>
      <c r="JN16" s="203"/>
      <c r="JO16" s="203"/>
      <c r="JP16" s="203"/>
      <c r="JQ16" s="203"/>
      <c r="JR16" s="203"/>
      <c r="JS16" s="203"/>
      <c r="JT16" s="203"/>
      <c r="JU16" s="203"/>
      <c r="JV16" s="203"/>
      <c r="JW16" s="203"/>
      <c r="JX16" s="203"/>
      <c r="JY16" s="203"/>
      <c r="JZ16" s="203"/>
      <c r="KA16" s="203"/>
    </row>
    <row r="17" spans="1:287" ht="14.25">
      <c r="A17" s="203"/>
      <c r="B17" s="203"/>
      <c r="C17" s="203"/>
      <c r="D17" s="236"/>
      <c r="E17" s="203"/>
      <c r="F17" s="203"/>
      <c r="G17" s="203"/>
      <c r="H17" s="236"/>
      <c r="I17" s="230"/>
      <c r="J17" s="230"/>
      <c r="K17" s="203"/>
      <c r="L17" s="236"/>
      <c r="M17" s="230"/>
      <c r="N17" s="230"/>
      <c r="O17" s="230"/>
      <c r="P17" s="230"/>
      <c r="Q17" s="237"/>
      <c r="R17" s="230"/>
      <c r="S17" s="230"/>
      <c r="T17" s="230"/>
      <c r="U17" s="230"/>
      <c r="V17" s="230"/>
      <c r="W17" s="230"/>
      <c r="X17" s="230"/>
      <c r="Y17" s="230"/>
      <c r="Z17" s="230"/>
      <c r="AA17" s="230"/>
      <c r="AB17" s="230"/>
      <c r="AC17" s="230"/>
      <c r="AD17" s="230"/>
      <c r="AE17" s="230"/>
      <c r="AF17" s="230"/>
      <c r="AG17" s="230"/>
      <c r="AH17" s="230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  <c r="CK17" s="203"/>
      <c r="CL17" s="203"/>
      <c r="CM17" s="203"/>
      <c r="CN17" s="203"/>
      <c r="CO17" s="203"/>
      <c r="CP17" s="203"/>
      <c r="CQ17" s="203"/>
      <c r="CR17" s="203"/>
      <c r="CS17" s="203"/>
      <c r="CT17" s="203"/>
      <c r="CU17" s="203"/>
      <c r="CV17" s="203"/>
      <c r="CW17" s="203"/>
      <c r="CX17" s="203"/>
      <c r="CY17" s="203"/>
      <c r="CZ17" s="203"/>
      <c r="DA17" s="203"/>
      <c r="DB17" s="203"/>
      <c r="DC17" s="203"/>
      <c r="DD17" s="203"/>
      <c r="DE17" s="203"/>
      <c r="DF17" s="203"/>
      <c r="DG17" s="203"/>
      <c r="DH17" s="203"/>
      <c r="DI17" s="203"/>
      <c r="DJ17" s="203"/>
      <c r="DK17" s="203"/>
      <c r="DL17" s="203"/>
      <c r="DM17" s="203"/>
      <c r="DN17" s="203"/>
      <c r="DO17" s="203"/>
      <c r="DP17" s="203"/>
      <c r="DQ17" s="203"/>
      <c r="DR17" s="203"/>
      <c r="DS17" s="203"/>
      <c r="DT17" s="203"/>
      <c r="DU17" s="203"/>
      <c r="DV17" s="203"/>
      <c r="DW17" s="203"/>
      <c r="DX17" s="203"/>
      <c r="DY17" s="203"/>
      <c r="DZ17" s="203"/>
      <c r="EA17" s="203"/>
      <c r="EB17" s="203"/>
      <c r="EC17" s="203"/>
      <c r="ED17" s="203"/>
      <c r="EE17" s="203"/>
      <c r="EF17" s="203"/>
      <c r="EG17" s="203"/>
      <c r="EH17" s="203"/>
      <c r="EI17" s="203"/>
      <c r="EJ17" s="203"/>
      <c r="EK17" s="203"/>
      <c r="EL17" s="203"/>
      <c r="EM17" s="203"/>
      <c r="EN17" s="203"/>
      <c r="EO17" s="203"/>
      <c r="EP17" s="203"/>
      <c r="EQ17" s="203"/>
      <c r="ER17" s="203"/>
      <c r="ES17" s="203"/>
      <c r="ET17" s="203"/>
      <c r="EU17" s="203"/>
      <c r="EV17" s="203"/>
      <c r="EW17" s="203"/>
      <c r="EX17" s="203"/>
      <c r="EY17" s="203"/>
      <c r="EZ17" s="203"/>
      <c r="FA17" s="203"/>
      <c r="FB17" s="203"/>
      <c r="FC17" s="203"/>
      <c r="FD17" s="203"/>
      <c r="FE17" s="203"/>
      <c r="FF17" s="203"/>
      <c r="FG17" s="203"/>
      <c r="FH17" s="203"/>
      <c r="FI17" s="203"/>
      <c r="FJ17" s="203"/>
      <c r="FK17" s="203"/>
      <c r="FL17" s="203"/>
      <c r="FM17" s="203"/>
      <c r="FN17" s="203"/>
      <c r="FO17" s="203"/>
      <c r="FP17" s="203"/>
      <c r="FQ17" s="203"/>
      <c r="FR17" s="203"/>
      <c r="FS17" s="203"/>
      <c r="FT17" s="203"/>
      <c r="FU17" s="203"/>
      <c r="FV17" s="203"/>
      <c r="FW17" s="203"/>
      <c r="FX17" s="203"/>
      <c r="FY17" s="203"/>
      <c r="FZ17" s="203"/>
      <c r="GA17" s="203"/>
      <c r="GB17" s="203"/>
      <c r="GC17" s="203"/>
      <c r="GD17" s="203"/>
      <c r="GE17" s="203"/>
      <c r="GF17" s="203"/>
      <c r="GG17" s="203"/>
      <c r="GH17" s="203"/>
      <c r="GI17" s="203"/>
      <c r="GJ17" s="203"/>
      <c r="GK17" s="203"/>
      <c r="GL17" s="203"/>
      <c r="GM17" s="203"/>
      <c r="GN17" s="203"/>
      <c r="GO17" s="203"/>
      <c r="GP17" s="203"/>
      <c r="GQ17" s="203"/>
      <c r="GR17" s="203"/>
      <c r="GS17" s="203"/>
      <c r="GT17" s="203"/>
      <c r="GU17" s="203"/>
      <c r="GV17" s="203"/>
      <c r="GW17" s="203"/>
      <c r="GX17" s="203"/>
      <c r="GY17" s="203"/>
      <c r="GZ17" s="203"/>
      <c r="HA17" s="203"/>
      <c r="HB17" s="203"/>
      <c r="HC17" s="203"/>
      <c r="HD17" s="203"/>
      <c r="HE17" s="203"/>
      <c r="HF17" s="203"/>
      <c r="HG17" s="203"/>
      <c r="HH17" s="203"/>
      <c r="HI17" s="203"/>
      <c r="HJ17" s="203"/>
      <c r="HK17" s="203"/>
      <c r="HL17" s="203"/>
      <c r="HM17" s="203"/>
      <c r="HN17" s="203"/>
      <c r="HO17" s="203"/>
      <c r="HP17" s="203"/>
      <c r="HQ17" s="203"/>
      <c r="HR17" s="203"/>
      <c r="HS17" s="203"/>
      <c r="HT17" s="203"/>
      <c r="HU17" s="203"/>
      <c r="HV17" s="203"/>
      <c r="HW17" s="203"/>
      <c r="HX17" s="203"/>
      <c r="HY17" s="203"/>
      <c r="HZ17" s="203"/>
      <c r="IA17" s="203"/>
      <c r="IB17" s="203"/>
      <c r="IC17" s="203"/>
      <c r="ID17" s="203"/>
      <c r="IE17" s="203"/>
      <c r="IF17" s="203"/>
      <c r="IG17" s="203"/>
      <c r="IH17" s="203"/>
      <c r="II17" s="203"/>
      <c r="IJ17" s="203"/>
      <c r="IK17" s="203"/>
      <c r="IL17" s="203"/>
      <c r="IM17" s="203"/>
      <c r="IN17" s="203"/>
      <c r="IO17" s="203"/>
      <c r="IP17" s="203"/>
      <c r="IQ17" s="203"/>
      <c r="IR17" s="203"/>
      <c r="IS17" s="203"/>
      <c r="IT17" s="203"/>
      <c r="IU17" s="203"/>
      <c r="IV17" s="203"/>
      <c r="IW17" s="203"/>
      <c r="IX17" s="203"/>
      <c r="IY17" s="203"/>
      <c r="IZ17" s="203"/>
      <c r="JA17" s="203"/>
      <c r="JB17" s="203"/>
      <c r="JC17" s="203"/>
      <c r="JD17" s="203"/>
      <c r="JE17" s="203"/>
      <c r="JF17" s="203"/>
      <c r="JG17" s="203"/>
      <c r="JH17" s="203"/>
      <c r="JI17" s="203"/>
      <c r="JJ17" s="203"/>
      <c r="JK17" s="203"/>
      <c r="JL17" s="203"/>
      <c r="JM17" s="203"/>
      <c r="JN17" s="203"/>
      <c r="JO17" s="203"/>
      <c r="JP17" s="203"/>
      <c r="JQ17" s="203"/>
      <c r="JR17" s="203"/>
      <c r="JS17" s="203"/>
      <c r="JT17" s="203"/>
      <c r="JU17" s="203"/>
      <c r="JV17" s="203"/>
      <c r="JW17" s="203"/>
      <c r="JX17" s="203"/>
      <c r="JY17" s="203"/>
      <c r="JZ17" s="203"/>
      <c r="KA17" s="203"/>
    </row>
    <row r="18" spans="1:287" ht="14.25">
      <c r="A18" s="203"/>
      <c r="B18" s="203"/>
      <c r="C18" s="203"/>
      <c r="D18" s="236"/>
      <c r="E18" s="203"/>
      <c r="F18" s="203"/>
      <c r="G18" s="203"/>
      <c r="H18" s="236"/>
      <c r="I18" s="230"/>
      <c r="J18" s="230"/>
      <c r="K18" s="203"/>
      <c r="L18" s="236"/>
      <c r="M18" s="230"/>
      <c r="N18" s="230"/>
      <c r="O18" s="230"/>
      <c r="P18" s="230"/>
      <c r="Q18" s="237"/>
      <c r="R18" s="230"/>
      <c r="S18" s="230"/>
      <c r="T18" s="230"/>
      <c r="U18" s="230"/>
      <c r="V18" s="230"/>
      <c r="W18" s="230"/>
      <c r="X18" s="230"/>
      <c r="Y18" s="230"/>
      <c r="Z18" s="230"/>
      <c r="AA18" s="230"/>
      <c r="AB18" s="230"/>
      <c r="AC18" s="230"/>
      <c r="AD18" s="230"/>
      <c r="AE18" s="230"/>
      <c r="AF18" s="230"/>
      <c r="AG18" s="230"/>
      <c r="AH18" s="230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  <c r="CK18" s="203"/>
      <c r="CL18" s="203"/>
      <c r="CM18" s="203"/>
      <c r="CN18" s="203"/>
      <c r="CO18" s="203"/>
      <c r="CP18" s="203"/>
      <c r="CQ18" s="203"/>
      <c r="CR18" s="203"/>
      <c r="CS18" s="203"/>
      <c r="CT18" s="203"/>
      <c r="CU18" s="203"/>
      <c r="CV18" s="203"/>
      <c r="CW18" s="203"/>
      <c r="CX18" s="203"/>
      <c r="CY18" s="203"/>
      <c r="CZ18" s="203"/>
      <c r="DA18" s="203"/>
      <c r="DB18" s="203"/>
      <c r="DC18" s="203"/>
      <c r="DD18" s="203"/>
      <c r="DE18" s="203"/>
      <c r="DF18" s="203"/>
      <c r="DG18" s="203"/>
      <c r="DH18" s="203"/>
      <c r="DI18" s="203"/>
      <c r="DJ18" s="203"/>
      <c r="DK18" s="203"/>
      <c r="DL18" s="203"/>
      <c r="DM18" s="203"/>
      <c r="DN18" s="203"/>
      <c r="DO18" s="203"/>
      <c r="DP18" s="203"/>
      <c r="DQ18" s="203"/>
      <c r="DR18" s="203"/>
      <c r="DS18" s="203"/>
      <c r="DT18" s="203"/>
      <c r="DU18" s="203"/>
      <c r="DV18" s="203"/>
      <c r="DW18" s="203"/>
      <c r="DX18" s="203"/>
      <c r="DY18" s="203"/>
      <c r="DZ18" s="203"/>
      <c r="EA18" s="203"/>
      <c r="EB18" s="203"/>
      <c r="EC18" s="203"/>
      <c r="ED18" s="203"/>
      <c r="EE18" s="203"/>
      <c r="EF18" s="203"/>
      <c r="EG18" s="203"/>
      <c r="EH18" s="203"/>
      <c r="EI18" s="203"/>
      <c r="EJ18" s="203"/>
      <c r="EK18" s="203"/>
      <c r="EL18" s="203"/>
      <c r="EM18" s="203"/>
      <c r="EN18" s="203"/>
      <c r="EO18" s="203"/>
      <c r="EP18" s="203"/>
      <c r="EQ18" s="203"/>
      <c r="ER18" s="203"/>
      <c r="ES18" s="203"/>
      <c r="ET18" s="203"/>
      <c r="EU18" s="203"/>
      <c r="EV18" s="203"/>
      <c r="EW18" s="203"/>
      <c r="EX18" s="203"/>
      <c r="EY18" s="203"/>
      <c r="EZ18" s="203"/>
      <c r="FA18" s="203"/>
      <c r="FB18" s="203"/>
      <c r="FC18" s="203"/>
      <c r="FD18" s="203"/>
      <c r="FE18" s="203"/>
      <c r="FF18" s="203"/>
      <c r="FG18" s="203"/>
      <c r="FH18" s="203"/>
      <c r="FI18" s="203"/>
      <c r="FJ18" s="203"/>
      <c r="FK18" s="203"/>
      <c r="FL18" s="203"/>
      <c r="FM18" s="203"/>
      <c r="FN18" s="203"/>
      <c r="FO18" s="203"/>
      <c r="FP18" s="203"/>
      <c r="FQ18" s="203"/>
      <c r="FR18" s="203"/>
      <c r="FS18" s="203"/>
      <c r="FT18" s="203"/>
      <c r="FU18" s="203"/>
      <c r="FV18" s="203"/>
      <c r="FW18" s="203"/>
      <c r="FX18" s="203"/>
      <c r="FY18" s="203"/>
      <c r="FZ18" s="203"/>
      <c r="GA18" s="203"/>
      <c r="GB18" s="203"/>
      <c r="GC18" s="203"/>
      <c r="GD18" s="203"/>
      <c r="GE18" s="203"/>
      <c r="GF18" s="203"/>
      <c r="GG18" s="203"/>
      <c r="GH18" s="203"/>
      <c r="GI18" s="203"/>
      <c r="GJ18" s="203"/>
      <c r="GK18" s="203"/>
      <c r="GL18" s="203"/>
      <c r="GM18" s="203"/>
      <c r="GN18" s="203"/>
      <c r="GO18" s="203"/>
      <c r="GP18" s="203"/>
      <c r="GQ18" s="203"/>
      <c r="GR18" s="203"/>
      <c r="GS18" s="203"/>
      <c r="GT18" s="203"/>
      <c r="GU18" s="203"/>
      <c r="GV18" s="203"/>
      <c r="GW18" s="203"/>
      <c r="GX18" s="203"/>
      <c r="GY18" s="203"/>
      <c r="GZ18" s="203"/>
      <c r="HA18" s="203"/>
      <c r="HB18" s="203"/>
      <c r="HC18" s="203"/>
      <c r="HD18" s="203"/>
      <c r="HE18" s="203"/>
      <c r="HF18" s="203"/>
      <c r="HG18" s="203"/>
      <c r="HH18" s="203"/>
      <c r="HI18" s="203"/>
      <c r="HJ18" s="203"/>
      <c r="HK18" s="203"/>
      <c r="HL18" s="203"/>
      <c r="HM18" s="203"/>
      <c r="HN18" s="203"/>
      <c r="HO18" s="203"/>
      <c r="HP18" s="203"/>
      <c r="HQ18" s="203"/>
      <c r="HR18" s="203"/>
      <c r="HS18" s="203"/>
      <c r="HT18" s="203"/>
      <c r="HU18" s="203"/>
      <c r="HV18" s="203"/>
      <c r="HW18" s="203"/>
      <c r="HX18" s="203"/>
      <c r="HY18" s="203"/>
      <c r="HZ18" s="203"/>
      <c r="IA18" s="203"/>
      <c r="IB18" s="203"/>
      <c r="IC18" s="203"/>
      <c r="ID18" s="203"/>
      <c r="IE18" s="203"/>
      <c r="IF18" s="203"/>
      <c r="IG18" s="203"/>
      <c r="IH18" s="203"/>
      <c r="II18" s="203"/>
      <c r="IJ18" s="203"/>
      <c r="IK18" s="203"/>
      <c r="IL18" s="203"/>
      <c r="IM18" s="203"/>
      <c r="IN18" s="203"/>
      <c r="IO18" s="203"/>
      <c r="IP18" s="203"/>
      <c r="IQ18" s="203"/>
      <c r="IR18" s="203"/>
      <c r="IS18" s="203"/>
      <c r="IT18" s="203"/>
      <c r="IU18" s="203"/>
      <c r="IV18" s="203"/>
      <c r="IW18" s="203"/>
      <c r="IX18" s="203"/>
      <c r="IY18" s="203"/>
      <c r="IZ18" s="203"/>
      <c r="JA18" s="203"/>
      <c r="JB18" s="203"/>
      <c r="JC18" s="203"/>
      <c r="JD18" s="203"/>
      <c r="JE18" s="203"/>
      <c r="JF18" s="203"/>
      <c r="JG18" s="203"/>
      <c r="JH18" s="203"/>
      <c r="JI18" s="203"/>
      <c r="JJ18" s="203"/>
      <c r="JK18" s="203"/>
      <c r="JL18" s="203"/>
      <c r="JM18" s="203"/>
      <c r="JN18" s="203"/>
      <c r="JO18" s="203"/>
      <c r="JP18" s="203"/>
      <c r="JQ18" s="203"/>
      <c r="JR18" s="203"/>
      <c r="JS18" s="203"/>
      <c r="JT18" s="203"/>
      <c r="JU18" s="203"/>
      <c r="JV18" s="203"/>
      <c r="JW18" s="203"/>
      <c r="JX18" s="203"/>
      <c r="JY18" s="203"/>
      <c r="JZ18" s="203"/>
      <c r="KA18" s="203"/>
    </row>
  </sheetData>
  <mergeCells count="39">
    <mergeCell ref="AD7:AE7"/>
    <mergeCell ref="AF7:AF8"/>
    <mergeCell ref="AG7:AH7"/>
    <mergeCell ref="AI7:AI8"/>
    <mergeCell ref="AJ7:AJ8"/>
    <mergeCell ref="Z7:AA7"/>
    <mergeCell ref="Q7:Q8"/>
    <mergeCell ref="R7:S7"/>
    <mergeCell ref="T7:U7"/>
    <mergeCell ref="V7:W7"/>
    <mergeCell ref="X7:Y7"/>
    <mergeCell ref="B6:AH6"/>
    <mergeCell ref="A7:A8"/>
    <mergeCell ref="B7:B8"/>
    <mergeCell ref="C7:C8"/>
    <mergeCell ref="D7:D8"/>
    <mergeCell ref="E7:E8"/>
    <mergeCell ref="F7:F8"/>
    <mergeCell ref="G7:G8"/>
    <mergeCell ref="H7:H8"/>
    <mergeCell ref="I7:I8"/>
    <mergeCell ref="AB7:AC7"/>
    <mergeCell ref="J7:J8"/>
    <mergeCell ref="K7:K8"/>
    <mergeCell ref="L7:L8"/>
    <mergeCell ref="M7:N7"/>
    <mergeCell ref="O7:P7"/>
    <mergeCell ref="AF5:AH5"/>
    <mergeCell ref="B1:AD1"/>
    <mergeCell ref="AE1:AH1"/>
    <mergeCell ref="B2:F2"/>
    <mergeCell ref="AA2:AB2"/>
    <mergeCell ref="B3:F3"/>
    <mergeCell ref="AA3:AB3"/>
    <mergeCell ref="B4:F4"/>
    <mergeCell ref="AA4:AB4"/>
    <mergeCell ref="B5:F5"/>
    <mergeCell ref="Y5:Z5"/>
    <mergeCell ref="AA5:AB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/>
  <dimension ref="A1:K95"/>
  <sheetViews>
    <sheetView topLeftCell="A73" workbookViewId="0"/>
  </sheetViews>
  <sheetFormatPr defaultRowHeight="12.75"/>
  <sheetData>
    <row r="1" spans="1:11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1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</row>
    <row r="4" spans="1:11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</row>
    <row r="5" spans="1:11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</row>
    <row r="6" spans="1:11" ht="18.75">
      <c r="A6" s="194"/>
      <c r="B6" s="194" t="s">
        <v>4927</v>
      </c>
      <c r="C6" s="194"/>
      <c r="D6" s="100"/>
      <c r="E6" s="100"/>
      <c r="F6" s="100"/>
      <c r="G6" s="100"/>
      <c r="H6" s="100"/>
      <c r="I6" s="100"/>
      <c r="J6" s="100"/>
      <c r="K6" s="100"/>
    </row>
    <row r="7" spans="1:11">
      <c r="A7" s="406" t="s">
        <v>4928</v>
      </c>
      <c r="B7" s="406"/>
      <c r="C7" s="406"/>
      <c r="D7" s="100"/>
      <c r="E7" s="100"/>
      <c r="F7" s="100"/>
      <c r="G7" s="100"/>
      <c r="H7" s="100"/>
      <c r="I7" s="100"/>
      <c r="J7" s="100"/>
      <c r="K7" s="100"/>
    </row>
    <row r="8" spans="1:11">
      <c r="A8" s="406" t="s">
        <v>5784</v>
      </c>
      <c r="B8" s="406"/>
      <c r="C8" s="406"/>
      <c r="D8" s="100"/>
      <c r="E8" s="100"/>
      <c r="F8" s="100"/>
      <c r="G8" s="100"/>
      <c r="H8" s="100"/>
      <c r="I8" s="100"/>
      <c r="J8" s="100"/>
      <c r="K8" s="100"/>
    </row>
    <row r="9" spans="1:11">
      <c r="A9" s="100"/>
      <c r="B9" s="100"/>
      <c r="C9" s="100"/>
      <c r="D9" s="100"/>
      <c r="E9" s="100"/>
      <c r="F9" s="100"/>
      <c r="G9" s="100"/>
      <c r="H9" s="100"/>
      <c r="I9" s="100"/>
      <c r="J9" s="100"/>
      <c r="K9" s="100"/>
    </row>
    <row r="10" spans="1:11">
      <c r="A10" s="100"/>
      <c r="B10" s="172"/>
      <c r="C10" s="172"/>
      <c r="D10" s="100"/>
      <c r="E10" s="407" t="s">
        <v>4929</v>
      </c>
      <c r="F10" s="408"/>
      <c r="G10" s="408"/>
      <c r="H10" s="409"/>
      <c r="I10" s="100"/>
      <c r="J10" s="100"/>
      <c r="K10" s="100"/>
    </row>
    <row r="11" spans="1:11">
      <c r="A11" s="100"/>
      <c r="B11" s="173" t="s">
        <v>4930</v>
      </c>
      <c r="C11" s="174" t="s">
        <v>4931</v>
      </c>
      <c r="D11" s="100"/>
      <c r="E11" s="175" t="s">
        <v>4932</v>
      </c>
      <c r="F11" s="195" t="s">
        <v>4933</v>
      </c>
      <c r="G11" s="195" t="s">
        <v>4933</v>
      </c>
      <c r="H11" s="196" t="s">
        <v>4934</v>
      </c>
      <c r="I11" s="100"/>
      <c r="J11" s="100"/>
      <c r="K11" s="100"/>
    </row>
    <row r="12" spans="1:11">
      <c r="A12" s="100"/>
      <c r="B12" s="176" t="s">
        <v>4935</v>
      </c>
      <c r="C12" s="177"/>
      <c r="D12" s="100"/>
      <c r="E12" s="178" t="s">
        <v>4936</v>
      </c>
      <c r="F12" s="195" t="s">
        <v>4937</v>
      </c>
      <c r="G12" s="195" t="s">
        <v>4938</v>
      </c>
      <c r="H12" s="197" t="s">
        <v>4938</v>
      </c>
      <c r="I12" s="100"/>
      <c r="J12" s="100"/>
      <c r="K12" s="100"/>
    </row>
    <row r="13" spans="1:11" ht="22.5">
      <c r="A13" s="100"/>
      <c r="B13" s="179" t="s">
        <v>4939</v>
      </c>
      <c r="C13" s="180">
        <f>C14+C15</f>
        <v>14</v>
      </c>
      <c r="D13" s="100"/>
      <c r="E13" s="100"/>
      <c r="F13" s="100"/>
      <c r="G13" s="100"/>
      <c r="H13" s="100"/>
      <c r="I13" s="100"/>
      <c r="J13" s="100"/>
      <c r="K13" s="100"/>
    </row>
    <row r="14" spans="1:11" ht="33.75">
      <c r="A14" s="100"/>
      <c r="B14" s="179" t="s">
        <v>4940</v>
      </c>
      <c r="C14" s="180">
        <v>14</v>
      </c>
      <c r="D14" s="100"/>
      <c r="E14" s="100"/>
      <c r="F14" s="100"/>
      <c r="G14" s="100"/>
      <c r="H14" s="100"/>
      <c r="I14" s="100"/>
      <c r="J14" s="100"/>
      <c r="K14" s="100"/>
    </row>
    <row r="15" spans="1:11" ht="33.75">
      <c r="A15" s="100"/>
      <c r="B15" s="179" t="s">
        <v>4941</v>
      </c>
      <c r="C15" s="180"/>
      <c r="D15" s="100"/>
      <c r="E15" s="100"/>
      <c r="F15" s="100"/>
      <c r="G15" s="100"/>
      <c r="H15" s="100"/>
      <c r="I15" s="100"/>
      <c r="J15" s="100"/>
      <c r="K15" s="100"/>
    </row>
    <row r="16" spans="1:11" ht="22.5">
      <c r="A16" s="100"/>
      <c r="B16" s="179" t="s">
        <v>4942</v>
      </c>
      <c r="C16" s="180">
        <v>1</v>
      </c>
      <c r="D16" s="100"/>
      <c r="E16" s="100"/>
      <c r="F16" s="100"/>
      <c r="G16" s="100"/>
      <c r="H16" s="100"/>
      <c r="I16" s="100"/>
      <c r="J16" s="100"/>
      <c r="K16" s="100"/>
    </row>
    <row r="17" spans="1:11">
      <c r="A17" s="100"/>
      <c r="B17" s="179" t="s">
        <v>4943</v>
      </c>
      <c r="C17" s="180">
        <f>C22+C25+C28+C31+C34+C37+C40+C43+C46+C49+C52+C55+C58+C61+C64+C67+C70+C73+C76+C79+C82+C85+C88+C91</f>
        <v>184</v>
      </c>
      <c r="D17" s="100"/>
      <c r="E17" s="100"/>
      <c r="F17" s="100"/>
      <c r="G17" s="181"/>
      <c r="H17" s="100"/>
      <c r="I17" s="181"/>
      <c r="J17" s="181"/>
      <c r="K17" s="181"/>
    </row>
    <row r="18" spans="1:11" ht="33.75">
      <c r="A18" s="100"/>
      <c r="B18" s="179" t="s">
        <v>4940</v>
      </c>
      <c r="C18" s="182">
        <f>C23+C26+C29+C32+C35+C38+C41+C44+C47+C50+C53+C56+C59+C62+C65+C68+C71+C74+C77+C80+C83+C86+C89+C92</f>
        <v>169.5</v>
      </c>
      <c r="D18" s="100"/>
      <c r="E18" s="100"/>
      <c r="F18" s="100"/>
      <c r="G18" s="100"/>
      <c r="H18" s="100"/>
      <c r="I18" s="100"/>
      <c r="J18" s="100"/>
      <c r="K18" s="100"/>
    </row>
    <row r="19" spans="1:11" ht="33.75">
      <c r="A19" s="100"/>
      <c r="B19" s="179" t="s">
        <v>4941</v>
      </c>
      <c r="C19" s="182">
        <f>C24+C27+C30+C33+C36+C39+C42+C45+C48+C51+C54+C57+C60+C63+C66+C69+C72+C75+C78+C81+C84+C87+C90+C93</f>
        <v>14.5</v>
      </c>
      <c r="D19" s="100"/>
      <c r="E19" s="100"/>
      <c r="F19" s="100"/>
      <c r="G19" s="100"/>
      <c r="H19" s="100"/>
      <c r="I19" s="181"/>
      <c r="J19" s="181"/>
      <c r="K19" s="100"/>
    </row>
    <row r="20" spans="1:11">
      <c r="A20" s="100"/>
      <c r="B20" s="179"/>
      <c r="C20" s="180"/>
      <c r="D20" s="100"/>
      <c r="E20" s="100"/>
      <c r="F20" s="100"/>
      <c r="G20" s="100"/>
      <c r="H20" s="100"/>
      <c r="I20" s="100"/>
      <c r="J20" s="100"/>
      <c r="K20" s="100"/>
    </row>
    <row r="21" spans="1:11">
      <c r="A21" s="100"/>
      <c r="B21" s="179" t="s">
        <v>4944</v>
      </c>
      <c r="C21" s="183"/>
      <c r="D21" s="100"/>
      <c r="E21" s="100"/>
      <c r="F21" s="100"/>
      <c r="G21" s="100"/>
      <c r="H21" s="100"/>
      <c r="I21" s="100"/>
      <c r="J21" s="100"/>
      <c r="K21" s="100"/>
    </row>
    <row r="22" spans="1:11" ht="22.5">
      <c r="A22" s="184"/>
      <c r="B22" s="185" t="s">
        <v>4945</v>
      </c>
      <c r="C22" s="186">
        <f>C23+C24</f>
        <v>2</v>
      </c>
      <c r="D22" s="100"/>
      <c r="E22" s="187"/>
      <c r="F22" s="187"/>
      <c r="G22" s="187"/>
      <c r="H22" s="188">
        <f>C23*175*0.92*1.05+C24*175*0.92</f>
        <v>338.1</v>
      </c>
      <c r="I22" s="100"/>
      <c r="J22" s="100"/>
      <c r="K22" s="100"/>
    </row>
    <row r="23" spans="1:11" ht="33.75">
      <c r="A23" s="184"/>
      <c r="B23" s="179" t="s">
        <v>4940</v>
      </c>
      <c r="C23" s="180">
        <v>2</v>
      </c>
      <c r="D23" s="100"/>
      <c r="E23" s="187"/>
      <c r="F23" s="187"/>
      <c r="G23" s="187"/>
      <c r="H23" s="187"/>
      <c r="I23" s="100"/>
      <c r="J23" s="100"/>
      <c r="K23" s="100"/>
    </row>
    <row r="24" spans="1:11" ht="33.75">
      <c r="A24" s="184"/>
      <c r="B24" s="179" t="s">
        <v>4941</v>
      </c>
      <c r="C24" s="180"/>
      <c r="D24" s="100"/>
      <c r="E24" s="187"/>
      <c r="F24" s="187"/>
      <c r="G24" s="187"/>
      <c r="H24" s="187"/>
      <c r="I24" s="100"/>
      <c r="J24" s="100"/>
      <c r="K24" s="100"/>
    </row>
    <row r="25" spans="1:11" ht="22.5">
      <c r="A25" s="184"/>
      <c r="B25" s="185" t="s">
        <v>4946</v>
      </c>
      <c r="C25" s="186">
        <f>C26+C27</f>
        <v>16</v>
      </c>
      <c r="D25" s="100"/>
      <c r="E25" s="187"/>
      <c r="F25" s="187"/>
      <c r="G25" s="187"/>
      <c r="H25" s="188">
        <f>C26*175*0.92*1.05+C27*175*0.92</f>
        <v>2688.7000000000003</v>
      </c>
      <c r="I25" s="100"/>
      <c r="J25" s="100"/>
      <c r="K25" s="100"/>
    </row>
    <row r="26" spans="1:11" ht="33.75">
      <c r="A26" s="184"/>
      <c r="B26" s="179" t="s">
        <v>4940</v>
      </c>
      <c r="C26" s="180">
        <v>14</v>
      </c>
      <c r="D26" s="100"/>
      <c r="E26" s="187"/>
      <c r="F26" s="187"/>
      <c r="G26" s="187"/>
      <c r="H26" s="187"/>
      <c r="I26" s="100"/>
      <c r="J26" s="100"/>
      <c r="K26" s="100"/>
    </row>
    <row r="27" spans="1:11" ht="33.75">
      <c r="A27" s="184"/>
      <c r="B27" s="179" t="s">
        <v>4941</v>
      </c>
      <c r="C27" s="180">
        <v>2</v>
      </c>
      <c r="D27" s="100"/>
      <c r="E27" s="187"/>
      <c r="F27" s="187"/>
      <c r="G27" s="187"/>
      <c r="H27" s="187"/>
      <c r="I27" s="100"/>
      <c r="J27" s="100"/>
      <c r="K27" s="100"/>
    </row>
    <row r="28" spans="1:11" ht="22.5">
      <c r="A28" s="184"/>
      <c r="B28" s="185" t="s">
        <v>4947</v>
      </c>
      <c r="C28" s="186">
        <f>C29+C30</f>
        <v>16</v>
      </c>
      <c r="D28" s="100"/>
      <c r="E28" s="187"/>
      <c r="F28" s="187"/>
      <c r="G28" s="187"/>
      <c r="H28" s="188">
        <f>C29*175*0.92*1.05+C30*175*0.92</f>
        <v>2660.5250000000001</v>
      </c>
      <c r="I28" s="100"/>
      <c r="J28" s="100"/>
      <c r="K28" s="100"/>
    </row>
    <row r="29" spans="1:11" ht="33.75">
      <c r="A29" s="184"/>
      <c r="B29" s="179" t="s">
        <v>4940</v>
      </c>
      <c r="C29" s="182">
        <v>10.5</v>
      </c>
      <c r="D29" s="100"/>
      <c r="E29" s="187"/>
      <c r="F29" s="187"/>
      <c r="G29" s="187"/>
      <c r="H29" s="187"/>
      <c r="I29" s="100"/>
      <c r="J29" s="100"/>
      <c r="K29" s="100"/>
    </row>
    <row r="30" spans="1:11" ht="33.75">
      <c r="A30" s="184"/>
      <c r="B30" s="179" t="s">
        <v>4941</v>
      </c>
      <c r="C30" s="182">
        <v>5.5</v>
      </c>
      <c r="D30" s="100"/>
      <c r="E30" s="187"/>
      <c r="F30" s="187"/>
      <c r="G30" s="187"/>
      <c r="H30" s="187"/>
      <c r="I30" s="100"/>
      <c r="J30" s="100"/>
      <c r="K30" s="100"/>
    </row>
    <row r="31" spans="1:11" ht="22.5">
      <c r="A31" s="184"/>
      <c r="B31" s="185" t="s">
        <v>4948</v>
      </c>
      <c r="C31" s="186">
        <f>C32+C33</f>
        <v>13</v>
      </c>
      <c r="D31" s="100"/>
      <c r="E31" s="187"/>
      <c r="F31" s="187"/>
      <c r="G31" s="187"/>
      <c r="H31" s="188">
        <f>C32*175*0.92*1.05+C33*175*0.92</f>
        <v>2189.6000000000004</v>
      </c>
      <c r="I31" s="100"/>
      <c r="J31" s="100"/>
      <c r="K31" s="100"/>
    </row>
    <row r="32" spans="1:11" ht="33.75">
      <c r="A32" s="184"/>
      <c r="B32" s="179" t="s">
        <v>4940</v>
      </c>
      <c r="C32" s="180">
        <v>12</v>
      </c>
      <c r="D32" s="100"/>
      <c r="E32" s="187"/>
      <c r="F32" s="187"/>
      <c r="G32" s="187"/>
      <c r="H32" s="187"/>
      <c r="I32" s="100"/>
      <c r="J32" s="100"/>
      <c r="K32" s="100"/>
    </row>
    <row r="33" spans="1:11" ht="33.75">
      <c r="A33" s="184"/>
      <c r="B33" s="179" t="s">
        <v>4941</v>
      </c>
      <c r="C33" s="180">
        <v>1</v>
      </c>
      <c r="D33" s="100"/>
      <c r="E33" s="187"/>
      <c r="F33" s="187"/>
      <c r="G33" s="187"/>
      <c r="H33" s="187"/>
      <c r="I33" s="100"/>
      <c r="J33" s="100"/>
      <c r="K33" s="100"/>
    </row>
    <row r="34" spans="1:11" ht="22.5">
      <c r="A34" s="184"/>
      <c r="B34" s="185" t="s">
        <v>4949</v>
      </c>
      <c r="C34" s="186">
        <f>C35+C36</f>
        <v>4</v>
      </c>
      <c r="D34" s="100"/>
      <c r="E34" s="187"/>
      <c r="F34" s="187"/>
      <c r="G34" s="187"/>
      <c r="H34" s="188">
        <f>E35*0.92*1.05+E36*0.92</f>
        <v>652.69400000000007</v>
      </c>
      <c r="I34" s="100"/>
      <c r="J34" s="100"/>
      <c r="K34" s="100"/>
    </row>
    <row r="35" spans="1:11" ht="33.75">
      <c r="A35" s="184"/>
      <c r="B35" s="179" t="s">
        <v>4940</v>
      </c>
      <c r="C35" s="180">
        <v>3</v>
      </c>
      <c r="D35" s="100"/>
      <c r="E35" s="187">
        <v>509</v>
      </c>
      <c r="F35" s="187"/>
      <c r="G35" s="187"/>
      <c r="H35" s="187"/>
      <c r="I35" s="100"/>
      <c r="J35" s="100"/>
      <c r="K35" s="100"/>
    </row>
    <row r="36" spans="1:11" ht="33.75">
      <c r="A36" s="184"/>
      <c r="B36" s="179" t="s">
        <v>4941</v>
      </c>
      <c r="C36" s="180">
        <v>1</v>
      </c>
      <c r="D36" s="100"/>
      <c r="E36" s="187">
        <v>175</v>
      </c>
      <c r="F36" s="187"/>
      <c r="G36" s="187"/>
      <c r="H36" s="187"/>
      <c r="I36" s="100"/>
      <c r="J36" s="100"/>
      <c r="K36" s="100"/>
    </row>
    <row r="37" spans="1:11" ht="22.5">
      <c r="A37" s="184"/>
      <c r="B37" s="185" t="s">
        <v>4950</v>
      </c>
      <c r="C37" s="186">
        <f>C38+C39</f>
        <v>4</v>
      </c>
      <c r="D37" s="100"/>
      <c r="E37" s="187"/>
      <c r="F37" s="187"/>
      <c r="G37" s="187"/>
      <c r="H37" s="188">
        <f>C38*175*0.92*1.05+C39*175*0.92</f>
        <v>676.2</v>
      </c>
      <c r="I37" s="100"/>
      <c r="J37" s="100"/>
      <c r="K37" s="100"/>
    </row>
    <row r="38" spans="1:11" ht="33.75">
      <c r="A38" s="184"/>
      <c r="B38" s="179" t="s">
        <v>4940</v>
      </c>
      <c r="C38" s="180">
        <v>4</v>
      </c>
      <c r="D38" s="100"/>
      <c r="E38" s="187"/>
      <c r="F38" s="187"/>
      <c r="G38" s="187"/>
      <c r="H38" s="187"/>
      <c r="I38" s="100"/>
      <c r="J38" s="100"/>
      <c r="K38" s="100"/>
    </row>
    <row r="39" spans="1:11" ht="33.75">
      <c r="A39" s="184"/>
      <c r="B39" s="179" t="s">
        <v>4941</v>
      </c>
      <c r="C39" s="180"/>
      <c r="D39" s="100"/>
      <c r="E39" s="187"/>
      <c r="F39" s="187"/>
      <c r="G39" s="187"/>
      <c r="H39" s="187"/>
      <c r="I39" s="100"/>
      <c r="J39" s="100"/>
      <c r="K39" s="100"/>
    </row>
    <row r="40" spans="1:11" ht="22.5">
      <c r="A40" s="184"/>
      <c r="B40" s="185" t="s">
        <v>4951</v>
      </c>
      <c r="C40" s="186">
        <f>C41+C42</f>
        <v>3</v>
      </c>
      <c r="D40" s="100"/>
      <c r="E40" s="187"/>
      <c r="F40" s="187"/>
      <c r="G40" s="187"/>
      <c r="H40" s="188">
        <f>C41*175*0.92*1.05+C42*175*0.92</f>
        <v>507.15000000000003</v>
      </c>
      <c r="I40" s="100"/>
      <c r="J40" s="100"/>
      <c r="K40" s="100"/>
    </row>
    <row r="41" spans="1:11" ht="33.75">
      <c r="A41" s="184"/>
      <c r="B41" s="179" t="s">
        <v>4940</v>
      </c>
      <c r="C41" s="180">
        <v>3</v>
      </c>
      <c r="D41" s="100"/>
      <c r="E41" s="187"/>
      <c r="F41" s="187"/>
      <c r="G41" s="187"/>
      <c r="H41" s="187"/>
      <c r="I41" s="100"/>
      <c r="J41" s="100"/>
      <c r="K41" s="100"/>
    </row>
    <row r="42" spans="1:11" ht="33.75">
      <c r="A42" s="184"/>
      <c r="B42" s="179" t="s">
        <v>4941</v>
      </c>
      <c r="C42" s="180"/>
      <c r="D42" s="100"/>
      <c r="E42" s="187"/>
      <c r="F42" s="187"/>
      <c r="G42" s="187"/>
      <c r="H42" s="187"/>
      <c r="I42" s="100"/>
      <c r="J42" s="100"/>
      <c r="K42" s="100"/>
    </row>
    <row r="43" spans="1:11" ht="22.5">
      <c r="A43" s="184"/>
      <c r="B43" s="185" t="s">
        <v>4952</v>
      </c>
      <c r="C43" s="186">
        <f>C44+C45</f>
        <v>9</v>
      </c>
      <c r="D43" s="100"/>
      <c r="E43" s="187"/>
      <c r="F43" s="187"/>
      <c r="G43" s="187"/>
      <c r="H43" s="188">
        <f>C44*175*0.92*1.05+C45*175*0.92</f>
        <v>1521.45</v>
      </c>
      <c r="I43" s="100"/>
      <c r="J43" s="100"/>
      <c r="K43" s="100"/>
    </row>
    <row r="44" spans="1:11" ht="33.75">
      <c r="A44" s="184"/>
      <c r="B44" s="179" t="s">
        <v>4940</v>
      </c>
      <c r="C44" s="180">
        <v>9</v>
      </c>
      <c r="D44" s="100"/>
      <c r="E44" s="187"/>
      <c r="F44" s="187"/>
      <c r="G44" s="187"/>
      <c r="H44" s="187"/>
      <c r="I44" s="100"/>
      <c r="J44" s="100"/>
      <c r="K44" s="100"/>
    </row>
    <row r="45" spans="1:11" ht="33.75">
      <c r="A45" s="184"/>
      <c r="B45" s="179" t="s">
        <v>4941</v>
      </c>
      <c r="C45" s="180"/>
      <c r="D45" s="100"/>
      <c r="E45" s="187"/>
      <c r="F45" s="187"/>
      <c r="G45" s="187"/>
      <c r="H45" s="187"/>
      <c r="I45" s="100"/>
      <c r="J45" s="100"/>
      <c r="K45" s="100"/>
    </row>
    <row r="46" spans="1:11" ht="22.5">
      <c r="A46" s="184"/>
      <c r="B46" s="185" t="s">
        <v>4953</v>
      </c>
      <c r="C46" s="186">
        <f>C47+C48</f>
        <v>29</v>
      </c>
      <c r="D46" s="100"/>
      <c r="E46" s="187"/>
      <c r="F46" s="187"/>
      <c r="G46" s="187"/>
      <c r="H46" s="188">
        <f>C47*175*0.92*1.05+C48*175*0.92</f>
        <v>4894.4000000000005</v>
      </c>
      <c r="I46" s="100"/>
      <c r="J46" s="100"/>
      <c r="K46" s="100"/>
    </row>
    <row r="47" spans="1:11" ht="33.75">
      <c r="A47" s="184"/>
      <c r="B47" s="179" t="s">
        <v>4940</v>
      </c>
      <c r="C47" s="180">
        <v>28</v>
      </c>
      <c r="D47" s="100"/>
      <c r="E47" s="187"/>
      <c r="F47" s="187"/>
      <c r="G47" s="187"/>
      <c r="H47" s="187"/>
      <c r="I47" s="100"/>
      <c r="J47" s="100"/>
      <c r="K47" s="100"/>
    </row>
    <row r="48" spans="1:11" ht="33.75">
      <c r="A48" s="184"/>
      <c r="B48" s="179" t="s">
        <v>4941</v>
      </c>
      <c r="C48" s="180">
        <v>1</v>
      </c>
      <c r="D48" s="100"/>
      <c r="E48" s="187"/>
      <c r="F48" s="187"/>
      <c r="G48" s="187"/>
      <c r="H48" s="187"/>
      <c r="I48" s="100"/>
      <c r="J48" s="100"/>
      <c r="K48" s="100"/>
    </row>
    <row r="49" spans="1:11" ht="22.5">
      <c r="A49" s="184"/>
      <c r="B49" s="185" t="s">
        <v>4954</v>
      </c>
      <c r="C49" s="186">
        <f>C50+C51</f>
        <v>2</v>
      </c>
      <c r="D49" s="100"/>
      <c r="E49" s="187"/>
      <c r="F49" s="187"/>
      <c r="G49" s="187"/>
      <c r="H49" s="188">
        <f>E50*0.92*1.05+E51*0.92</f>
        <v>320.71199999999999</v>
      </c>
      <c r="I49" s="100"/>
      <c r="J49" s="100"/>
      <c r="K49" s="100"/>
    </row>
    <row r="50" spans="1:11" ht="33.75">
      <c r="A50" s="184"/>
      <c r="B50" s="179" t="s">
        <v>4940</v>
      </c>
      <c r="C50" s="180">
        <v>2</v>
      </c>
      <c r="D50" s="100"/>
      <c r="E50" s="187">
        <v>332</v>
      </c>
      <c r="F50" s="187"/>
      <c r="G50" s="187"/>
      <c r="H50" s="187"/>
      <c r="I50" s="100"/>
      <c r="J50" s="100"/>
      <c r="K50" s="100"/>
    </row>
    <row r="51" spans="1:11" ht="33.75">
      <c r="A51" s="184"/>
      <c r="B51" s="179" t="s">
        <v>4941</v>
      </c>
      <c r="C51" s="180"/>
      <c r="D51" s="100"/>
      <c r="E51" s="187"/>
      <c r="F51" s="187"/>
      <c r="G51" s="187"/>
      <c r="H51" s="187"/>
      <c r="I51" s="100"/>
      <c r="J51" s="100"/>
      <c r="K51" s="100"/>
    </row>
    <row r="52" spans="1:11" ht="22.5">
      <c r="A52" s="184"/>
      <c r="B52" s="185" t="s">
        <v>4955</v>
      </c>
      <c r="C52" s="186">
        <f>C53+C54</f>
        <v>8</v>
      </c>
      <c r="D52" s="100"/>
      <c r="E52" s="187"/>
      <c r="F52" s="187"/>
      <c r="G52" s="187"/>
      <c r="H52" s="188">
        <f>E53*0.92*1.05+E54*0.92</f>
        <v>1296.3720000000001</v>
      </c>
      <c r="I52" s="100"/>
      <c r="J52" s="100"/>
      <c r="K52" s="100"/>
    </row>
    <row r="53" spans="1:11" ht="33.75">
      <c r="A53" s="184"/>
      <c r="B53" s="179" t="s">
        <v>4940</v>
      </c>
      <c r="C53" s="180">
        <v>8</v>
      </c>
      <c r="D53" s="100"/>
      <c r="E53" s="187">
        <v>1342</v>
      </c>
      <c r="F53" s="187"/>
      <c r="G53" s="187"/>
      <c r="H53" s="187"/>
      <c r="I53" s="100"/>
      <c r="J53" s="100"/>
      <c r="K53" s="100"/>
    </row>
    <row r="54" spans="1:11" ht="33.75">
      <c r="A54" s="184"/>
      <c r="B54" s="179" t="s">
        <v>4941</v>
      </c>
      <c r="C54" s="180"/>
      <c r="D54" s="100"/>
      <c r="E54" s="187"/>
      <c r="F54" s="187"/>
      <c r="G54" s="187"/>
      <c r="H54" s="187"/>
      <c r="I54" s="100"/>
      <c r="J54" s="100"/>
      <c r="K54" s="100"/>
    </row>
    <row r="55" spans="1:11" ht="22.5">
      <c r="A55" s="184"/>
      <c r="B55" s="185" t="s">
        <v>4956</v>
      </c>
      <c r="C55" s="186">
        <f>C56+C57</f>
        <v>1</v>
      </c>
      <c r="D55" s="100"/>
      <c r="E55" s="187"/>
      <c r="F55" s="187"/>
      <c r="G55" s="187"/>
      <c r="H55" s="188">
        <f>C56*175*0.92*1.05+C57*175*0.92</f>
        <v>169.05</v>
      </c>
      <c r="I55" s="100"/>
      <c r="J55" s="100"/>
      <c r="K55" s="100"/>
    </row>
    <row r="56" spans="1:11" ht="33.75">
      <c r="A56" s="184"/>
      <c r="B56" s="179" t="s">
        <v>4940</v>
      </c>
      <c r="C56" s="180">
        <v>1</v>
      </c>
      <c r="D56" s="100"/>
      <c r="E56" s="187"/>
      <c r="F56" s="187"/>
      <c r="G56" s="187"/>
      <c r="H56" s="187"/>
      <c r="I56" s="100"/>
      <c r="J56" s="100"/>
      <c r="K56" s="100"/>
    </row>
    <row r="57" spans="1:11" ht="33.75">
      <c r="A57" s="184"/>
      <c r="B57" s="179" t="s">
        <v>4941</v>
      </c>
      <c r="C57" s="180"/>
      <c r="D57" s="100"/>
      <c r="E57" s="187"/>
      <c r="F57" s="187"/>
      <c r="G57" s="187"/>
      <c r="H57" s="187"/>
      <c r="I57" s="100"/>
      <c r="J57" s="100"/>
      <c r="K57" s="100"/>
    </row>
    <row r="58" spans="1:11" ht="22.5">
      <c r="A58" s="184"/>
      <c r="B58" s="185" t="s">
        <v>4957</v>
      </c>
      <c r="C58" s="186">
        <f>C59+C60</f>
        <v>1</v>
      </c>
      <c r="D58" s="100"/>
      <c r="E58" s="187"/>
      <c r="F58" s="187"/>
      <c r="G58" s="187"/>
      <c r="H58" s="188">
        <f>C59*175*0.92*1.05+C60*175*0.92</f>
        <v>169.05</v>
      </c>
      <c r="I58" s="100"/>
      <c r="J58" s="100"/>
      <c r="K58" s="100"/>
    </row>
    <row r="59" spans="1:11" ht="33.75">
      <c r="A59" s="184"/>
      <c r="B59" s="179" t="s">
        <v>4940</v>
      </c>
      <c r="C59" s="180">
        <v>1</v>
      </c>
      <c r="D59" s="100"/>
      <c r="E59" s="187"/>
      <c r="F59" s="187"/>
      <c r="G59" s="187"/>
      <c r="H59" s="187"/>
      <c r="I59" s="100"/>
      <c r="J59" s="100"/>
      <c r="K59" s="100"/>
    </row>
    <row r="60" spans="1:11" ht="33.75">
      <c r="A60" s="184"/>
      <c r="B60" s="179" t="s">
        <v>4941</v>
      </c>
      <c r="C60" s="180"/>
      <c r="D60" s="100"/>
      <c r="E60" s="187"/>
      <c r="F60" s="187"/>
      <c r="G60" s="187"/>
      <c r="H60" s="187"/>
      <c r="I60" s="100"/>
      <c r="J60" s="100"/>
      <c r="K60" s="100"/>
    </row>
    <row r="61" spans="1:11" ht="22.5">
      <c r="A61" s="184"/>
      <c r="B61" s="185" t="s">
        <v>4958</v>
      </c>
      <c r="C61" s="186">
        <f>C62+C63</f>
        <v>2</v>
      </c>
      <c r="D61" s="100"/>
      <c r="E61" s="187"/>
      <c r="F61" s="187"/>
      <c r="G61" s="187"/>
      <c r="H61" s="188">
        <f>E62*0.92*1.05+E63*0.92</f>
        <v>320.71199999999999</v>
      </c>
      <c r="I61" s="100"/>
      <c r="J61" s="100"/>
      <c r="K61" s="100"/>
    </row>
    <row r="62" spans="1:11" ht="33.75">
      <c r="A62" s="184"/>
      <c r="B62" s="179" t="s">
        <v>4940</v>
      </c>
      <c r="C62" s="180">
        <v>2</v>
      </c>
      <c r="D62" s="100"/>
      <c r="E62" s="187">
        <v>332</v>
      </c>
      <c r="F62" s="187"/>
      <c r="G62" s="187"/>
      <c r="H62" s="187"/>
      <c r="I62" s="100"/>
      <c r="J62" s="100"/>
      <c r="K62" s="100"/>
    </row>
    <row r="63" spans="1:11" ht="33.75">
      <c r="A63" s="184"/>
      <c r="B63" s="179" t="s">
        <v>4941</v>
      </c>
      <c r="C63" s="180"/>
      <c r="D63" s="100"/>
      <c r="E63" s="187"/>
      <c r="F63" s="187"/>
      <c r="G63" s="187"/>
      <c r="H63" s="187"/>
      <c r="I63" s="100"/>
      <c r="J63" s="100"/>
      <c r="K63" s="100"/>
    </row>
    <row r="64" spans="1:11" ht="22.5">
      <c r="A64" s="184"/>
      <c r="B64" s="185" t="s">
        <v>4959</v>
      </c>
      <c r="C64" s="186">
        <f>C65+C66</f>
        <v>15</v>
      </c>
      <c r="D64" s="100"/>
      <c r="E64" s="187"/>
      <c r="F64" s="187"/>
      <c r="G64" s="187"/>
      <c r="H64" s="188">
        <f>C65*175*0.92*1.05+C66*175*0.92</f>
        <v>2519.65</v>
      </c>
      <c r="I64" s="100"/>
      <c r="J64" s="100"/>
      <c r="K64" s="100"/>
    </row>
    <row r="65" spans="1:11" ht="33.75">
      <c r="A65" s="184"/>
      <c r="B65" s="179" t="s">
        <v>4940</v>
      </c>
      <c r="C65" s="180">
        <v>13</v>
      </c>
      <c r="D65" s="100"/>
      <c r="E65" s="187"/>
      <c r="F65" s="187"/>
      <c r="G65" s="187"/>
      <c r="H65" s="187"/>
      <c r="I65" s="100"/>
      <c r="J65" s="100"/>
      <c r="K65" s="100"/>
    </row>
    <row r="66" spans="1:11" ht="33.75">
      <c r="A66" s="184"/>
      <c r="B66" s="179" t="s">
        <v>4941</v>
      </c>
      <c r="C66" s="180">
        <v>2</v>
      </c>
      <c r="D66" s="100"/>
      <c r="E66" s="187"/>
      <c r="F66" s="187"/>
      <c r="G66" s="187"/>
      <c r="H66" s="187"/>
      <c r="I66" s="100"/>
      <c r="J66" s="100"/>
      <c r="K66" s="100"/>
    </row>
    <row r="67" spans="1:11" ht="22.5">
      <c r="A67" s="184"/>
      <c r="B67" s="185" t="s">
        <v>4960</v>
      </c>
      <c r="C67" s="186">
        <f>C68+C69</f>
        <v>7</v>
      </c>
      <c r="D67" s="100"/>
      <c r="E67" s="187"/>
      <c r="F67" s="187"/>
      <c r="G67" s="187"/>
      <c r="H67" s="188">
        <f>E68*0.92*1.05+E69*0.92</f>
        <v>1161.7760000000001</v>
      </c>
      <c r="I67" s="100"/>
      <c r="J67" s="100"/>
      <c r="K67" s="100"/>
    </row>
    <row r="68" spans="1:11" ht="33.75">
      <c r="A68" s="184"/>
      <c r="B68" s="179" t="s">
        <v>4940</v>
      </c>
      <c r="C68" s="180">
        <v>6</v>
      </c>
      <c r="D68" s="100"/>
      <c r="E68" s="187">
        <v>1036</v>
      </c>
      <c r="F68" s="187"/>
      <c r="G68" s="187"/>
      <c r="H68" s="187"/>
      <c r="I68" s="100"/>
      <c r="J68" s="100"/>
      <c r="K68" s="100"/>
    </row>
    <row r="69" spans="1:11" ht="33.75">
      <c r="A69" s="184"/>
      <c r="B69" s="179" t="s">
        <v>4941</v>
      </c>
      <c r="C69" s="180">
        <v>1</v>
      </c>
      <c r="D69" s="100"/>
      <c r="E69" s="187">
        <v>175</v>
      </c>
      <c r="F69" s="187"/>
      <c r="G69" s="187"/>
      <c r="H69" s="187"/>
      <c r="I69" s="100"/>
      <c r="J69" s="100"/>
      <c r="K69" s="100"/>
    </row>
    <row r="70" spans="1:11" ht="22.5">
      <c r="A70" s="184"/>
      <c r="B70" s="185" t="s">
        <v>4961</v>
      </c>
      <c r="C70" s="186">
        <f>C71+C72</f>
        <v>1</v>
      </c>
      <c r="D70" s="100"/>
      <c r="E70" s="187"/>
      <c r="F70" s="187"/>
      <c r="G70" s="187"/>
      <c r="H70" s="188">
        <f>C71*175*0.92*1.05+C72*175*0.92</f>
        <v>169.05</v>
      </c>
      <c r="I70" s="100"/>
      <c r="J70" s="100"/>
      <c r="K70" s="100"/>
    </row>
    <row r="71" spans="1:11" ht="33.75">
      <c r="A71" s="184"/>
      <c r="B71" s="179" t="s">
        <v>4940</v>
      </c>
      <c r="C71" s="180">
        <v>1</v>
      </c>
      <c r="D71" s="100"/>
      <c r="E71" s="187"/>
      <c r="F71" s="187"/>
      <c r="G71" s="187"/>
      <c r="H71" s="187"/>
      <c r="I71" s="100"/>
      <c r="J71" s="100"/>
      <c r="K71" s="100"/>
    </row>
    <row r="72" spans="1:11" ht="33.75">
      <c r="A72" s="184"/>
      <c r="B72" s="179" t="s">
        <v>4941</v>
      </c>
      <c r="C72" s="180"/>
      <c r="D72" s="100"/>
      <c r="E72" s="187"/>
      <c r="F72" s="187"/>
      <c r="G72" s="187"/>
      <c r="H72" s="187"/>
      <c r="I72" s="100"/>
      <c r="J72" s="100"/>
      <c r="K72" s="100"/>
    </row>
    <row r="73" spans="1:11" ht="22.5">
      <c r="A73" s="184"/>
      <c r="B73" s="185" t="s">
        <v>4962</v>
      </c>
      <c r="C73" s="186">
        <f>C74+C75</f>
        <v>4</v>
      </c>
      <c r="D73" s="100"/>
      <c r="E73" s="187"/>
      <c r="F73" s="187"/>
      <c r="G73" s="187"/>
      <c r="H73" s="188">
        <f>C74*175*0.92*1.05+C75*175*0.92</f>
        <v>668.15000000000009</v>
      </c>
      <c r="I73" s="100"/>
      <c r="J73" s="100"/>
      <c r="K73" s="100"/>
    </row>
    <row r="74" spans="1:11" ht="33.75">
      <c r="A74" s="184"/>
      <c r="B74" s="179" t="s">
        <v>4940</v>
      </c>
      <c r="C74" s="180">
        <v>3</v>
      </c>
      <c r="D74" s="100"/>
      <c r="E74" s="187"/>
      <c r="F74" s="187"/>
      <c r="G74" s="187"/>
      <c r="H74" s="187"/>
      <c r="I74" s="100"/>
      <c r="J74" s="100"/>
      <c r="K74" s="100"/>
    </row>
    <row r="75" spans="1:11" ht="33.75">
      <c r="A75" s="184"/>
      <c r="B75" s="179" t="s">
        <v>4941</v>
      </c>
      <c r="C75" s="180">
        <v>1</v>
      </c>
      <c r="D75" s="100"/>
      <c r="E75" s="187"/>
      <c r="F75" s="187"/>
      <c r="G75" s="187"/>
      <c r="H75" s="187"/>
      <c r="I75" s="100"/>
      <c r="J75" s="100"/>
      <c r="K75" s="100"/>
    </row>
    <row r="76" spans="1:11" ht="22.5">
      <c r="A76" s="184"/>
      <c r="B76" s="185" t="s">
        <v>4963</v>
      </c>
      <c r="C76" s="186">
        <f>C77+C78</f>
        <v>12</v>
      </c>
      <c r="D76" s="100"/>
      <c r="E76" s="187"/>
      <c r="F76" s="187"/>
      <c r="G76" s="187"/>
      <c r="H76" s="188">
        <f>E77*0.92*1.05+E78*0.92</f>
        <v>1970.6400000000003</v>
      </c>
      <c r="I76" s="100"/>
      <c r="J76" s="100"/>
      <c r="K76" s="100"/>
    </row>
    <row r="77" spans="1:11" ht="33.75">
      <c r="A77" s="184"/>
      <c r="B77" s="179" t="s">
        <v>4940</v>
      </c>
      <c r="C77" s="180">
        <v>12</v>
      </c>
      <c r="D77" s="100"/>
      <c r="E77" s="187">
        <v>2040</v>
      </c>
      <c r="F77" s="187"/>
      <c r="G77" s="187"/>
      <c r="H77" s="187"/>
      <c r="I77" s="100"/>
      <c r="J77" s="100"/>
      <c r="K77" s="100"/>
    </row>
    <row r="78" spans="1:11" ht="33.75">
      <c r="A78" s="184"/>
      <c r="B78" s="179" t="s">
        <v>4941</v>
      </c>
      <c r="C78" s="180"/>
      <c r="D78" s="100"/>
      <c r="E78" s="187"/>
      <c r="F78" s="187"/>
      <c r="G78" s="187"/>
      <c r="H78" s="187"/>
      <c r="I78" s="100"/>
      <c r="J78" s="100"/>
      <c r="K78" s="100"/>
    </row>
    <row r="79" spans="1:11" ht="22.5">
      <c r="A79" s="184"/>
      <c r="B79" s="185" t="s">
        <v>4964</v>
      </c>
      <c r="C79" s="186">
        <f>C80+C81</f>
        <v>18</v>
      </c>
      <c r="D79" s="100"/>
      <c r="E79" s="187"/>
      <c r="F79" s="187"/>
      <c r="G79" s="187"/>
      <c r="H79" s="188">
        <f>E80*0.92*1.05+E81*0.92</f>
        <v>2952.096</v>
      </c>
      <c r="I79" s="100"/>
      <c r="J79" s="100"/>
      <c r="K79" s="100"/>
    </row>
    <row r="80" spans="1:11" ht="33.75">
      <c r="A80" s="184"/>
      <c r="B80" s="179" t="s">
        <v>4940</v>
      </c>
      <c r="C80" s="180">
        <v>18</v>
      </c>
      <c r="D80" s="100"/>
      <c r="E80" s="187">
        <v>3056</v>
      </c>
      <c r="F80" s="187"/>
      <c r="G80" s="187"/>
      <c r="H80" s="187"/>
      <c r="I80" s="100"/>
      <c r="J80" s="100"/>
      <c r="K80" s="100"/>
    </row>
    <row r="81" spans="1:11" ht="33.75">
      <c r="A81" s="184"/>
      <c r="B81" s="179" t="s">
        <v>4941</v>
      </c>
      <c r="C81" s="180"/>
      <c r="D81" s="100"/>
      <c r="E81" s="187"/>
      <c r="F81" s="187"/>
      <c r="G81" s="187"/>
      <c r="H81" s="187"/>
      <c r="I81" s="100"/>
      <c r="J81" s="100"/>
      <c r="K81" s="100"/>
    </row>
    <row r="82" spans="1:11" ht="22.5">
      <c r="A82" s="184"/>
      <c r="B82" s="185" t="s">
        <v>4965</v>
      </c>
      <c r="C82" s="186">
        <f>C83+C84</f>
        <v>12</v>
      </c>
      <c r="D82" s="100"/>
      <c r="E82" s="187"/>
      <c r="F82" s="187"/>
      <c r="G82" s="187"/>
      <c r="H82" s="188">
        <f>E83*0.92*1.05+E84*0.92</f>
        <v>1966.7760000000003</v>
      </c>
      <c r="I82" s="100"/>
      <c r="J82" s="100"/>
      <c r="K82" s="100"/>
    </row>
    <row r="83" spans="1:11" ht="33.75">
      <c r="A83" s="184"/>
      <c r="B83" s="179" t="s">
        <v>4940</v>
      </c>
      <c r="C83" s="180">
        <v>12</v>
      </c>
      <c r="D83" s="100"/>
      <c r="E83" s="187">
        <v>2036</v>
      </c>
      <c r="F83" s="187"/>
      <c r="G83" s="187"/>
      <c r="H83" s="187"/>
      <c r="I83" s="100"/>
      <c r="J83" s="100"/>
      <c r="K83" s="100"/>
    </row>
    <row r="84" spans="1:11" ht="33.75">
      <c r="A84" s="184"/>
      <c r="B84" s="179" t="s">
        <v>4941</v>
      </c>
      <c r="C84" s="180"/>
      <c r="D84" s="100"/>
      <c r="E84" s="187"/>
      <c r="F84" s="187"/>
      <c r="G84" s="187"/>
      <c r="H84" s="187"/>
      <c r="I84" s="100"/>
      <c r="J84" s="100"/>
      <c r="K84" s="100"/>
    </row>
    <row r="85" spans="1:11" ht="22.5">
      <c r="A85" s="184"/>
      <c r="B85" s="185" t="s">
        <v>4966</v>
      </c>
      <c r="C85" s="186">
        <f>C86+C87</f>
        <v>1</v>
      </c>
      <c r="D85" s="100"/>
      <c r="E85" s="187"/>
      <c r="F85" s="187"/>
      <c r="G85" s="187"/>
      <c r="H85" s="188">
        <f>C86*175*0.92*1.05+C87*175*0.92</f>
        <v>169.05</v>
      </c>
      <c r="I85" s="100"/>
      <c r="J85" s="100"/>
      <c r="K85" s="100"/>
    </row>
    <row r="86" spans="1:11" ht="33.75">
      <c r="A86" s="184"/>
      <c r="B86" s="179" t="s">
        <v>4940</v>
      </c>
      <c r="C86" s="180">
        <v>1</v>
      </c>
      <c r="D86" s="100"/>
      <c r="E86" s="187"/>
      <c r="F86" s="187"/>
      <c r="G86" s="187"/>
      <c r="H86" s="187"/>
      <c r="I86" s="100"/>
      <c r="J86" s="100"/>
      <c r="K86" s="100"/>
    </row>
    <row r="87" spans="1:11" ht="33.75">
      <c r="A87" s="184"/>
      <c r="B87" s="179" t="s">
        <v>4941</v>
      </c>
      <c r="C87" s="180"/>
      <c r="D87" s="100"/>
      <c r="E87" s="187"/>
      <c r="F87" s="187"/>
      <c r="G87" s="187"/>
      <c r="H87" s="187"/>
      <c r="I87" s="100"/>
      <c r="J87" s="100"/>
      <c r="K87" s="100"/>
    </row>
    <row r="88" spans="1:11" ht="22.5">
      <c r="A88" s="184"/>
      <c r="B88" s="185" t="s">
        <v>4967</v>
      </c>
      <c r="C88" s="186">
        <f>C89+C90</f>
        <v>2</v>
      </c>
      <c r="D88" s="100"/>
      <c r="E88" s="187"/>
      <c r="F88" s="187"/>
      <c r="G88" s="187"/>
      <c r="H88" s="188">
        <f>C89*175*0.92*1.05+C90*175*0.92</f>
        <v>338.1</v>
      </c>
      <c r="I88" s="100"/>
      <c r="J88" s="100"/>
      <c r="K88" s="100"/>
    </row>
    <row r="89" spans="1:11" ht="33.75">
      <c r="A89" s="184"/>
      <c r="B89" s="179" t="s">
        <v>4940</v>
      </c>
      <c r="C89" s="180">
        <v>2</v>
      </c>
      <c r="D89" s="100"/>
      <c r="E89" s="187"/>
      <c r="F89" s="187"/>
      <c r="G89" s="187"/>
      <c r="H89" s="187"/>
      <c r="I89" s="100"/>
      <c r="J89" s="100"/>
      <c r="K89" s="100"/>
    </row>
    <row r="90" spans="1:11" ht="33.75">
      <c r="A90" s="184"/>
      <c r="B90" s="179" t="s">
        <v>4941</v>
      </c>
      <c r="C90" s="180"/>
      <c r="D90" s="100"/>
      <c r="E90" s="187"/>
      <c r="F90" s="187"/>
      <c r="G90" s="187"/>
      <c r="H90" s="187"/>
      <c r="I90" s="100"/>
      <c r="J90" s="100"/>
      <c r="K90" s="100"/>
    </row>
    <row r="91" spans="1:11" ht="22.5">
      <c r="A91" s="100"/>
      <c r="B91" s="185" t="s">
        <v>4968</v>
      </c>
      <c r="C91" s="186">
        <f>C92+C93</f>
        <v>2</v>
      </c>
      <c r="D91" s="100"/>
      <c r="E91" s="187"/>
      <c r="F91" s="187"/>
      <c r="G91" s="187"/>
      <c r="H91" s="188">
        <f>C92*175*0.92*1.05+C93*175*0.92</f>
        <v>338.1</v>
      </c>
      <c r="I91" s="100"/>
      <c r="J91" s="100"/>
      <c r="K91" s="100"/>
    </row>
    <row r="92" spans="1:11" ht="33.75">
      <c r="A92" s="100"/>
      <c r="B92" s="179" t="s">
        <v>4940</v>
      </c>
      <c r="C92" s="180">
        <v>2</v>
      </c>
      <c r="D92" s="100"/>
      <c r="E92" s="187"/>
      <c r="F92" s="187"/>
      <c r="G92" s="187"/>
      <c r="H92" s="187"/>
      <c r="I92" s="100"/>
      <c r="J92" s="100"/>
      <c r="K92" s="100"/>
    </row>
    <row r="93" spans="1:11" ht="33.75">
      <c r="A93" s="100"/>
      <c r="B93" s="179" t="s">
        <v>4941</v>
      </c>
      <c r="C93" s="180"/>
      <c r="D93" s="100"/>
      <c r="E93" s="187"/>
      <c r="F93" s="187"/>
      <c r="G93" s="187"/>
      <c r="H93" s="187"/>
      <c r="I93" s="100"/>
      <c r="J93" s="100"/>
      <c r="K93" s="100"/>
    </row>
    <row r="94" spans="1:11">
      <c r="A94" s="100"/>
      <c r="B94" s="251" t="s">
        <v>320</v>
      </c>
      <c r="C94" s="180">
        <f>C13+C16+C17</f>
        <v>199</v>
      </c>
      <c r="D94" s="100"/>
      <c r="E94" s="187">
        <f>SUM(E22:E93)</f>
        <v>11033</v>
      </c>
      <c r="F94" s="187">
        <f>SUM(F22:F93)</f>
        <v>0</v>
      </c>
      <c r="G94" s="187">
        <f>SUM(G22:G93)</f>
        <v>0</v>
      </c>
      <c r="H94" s="188">
        <f>SUM(H22:H93)</f>
        <v>30658.103000000003</v>
      </c>
      <c r="I94" s="97">
        <f>SUM(G94:H94)</f>
        <v>30658.103000000003</v>
      </c>
      <c r="J94" s="100"/>
      <c r="K94" s="100"/>
    </row>
    <row r="95" spans="1:11">
      <c r="A95" s="100"/>
      <c r="B95" s="100"/>
      <c r="C95" s="100"/>
      <c r="D95" s="100"/>
      <c r="E95" s="100"/>
      <c r="F95" s="100"/>
      <c r="G95" s="100"/>
      <c r="H95" s="100"/>
      <c r="I95" s="100"/>
      <c r="J95" s="100"/>
      <c r="K95" s="100"/>
    </row>
  </sheetData>
  <mergeCells count="3">
    <mergeCell ref="A7:C7"/>
    <mergeCell ref="A8:C8"/>
    <mergeCell ref="E10:H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AH80"/>
  <sheetViews>
    <sheetView topLeftCell="A46" workbookViewId="0">
      <selection activeCell="P48" sqref="P48"/>
    </sheetView>
  </sheetViews>
  <sheetFormatPr defaultRowHeight="12.75"/>
  <sheetData>
    <row r="2" spans="1:15" ht="13.5">
      <c r="A2" s="252" t="s">
        <v>161</v>
      </c>
      <c r="O2" s="253" t="s">
        <v>161</v>
      </c>
    </row>
    <row r="6" spans="1:15">
      <c r="A6" s="254" t="s">
        <v>162</v>
      </c>
      <c r="O6" s="255" t="s">
        <v>163</v>
      </c>
    </row>
    <row r="11" spans="1:15">
      <c r="O11" s="255" t="s">
        <v>164</v>
      </c>
    </row>
    <row r="12" spans="1:15">
      <c r="A12" s="254" t="s">
        <v>165</v>
      </c>
    </row>
    <row r="20" spans="1:15" ht="16.5">
      <c r="H20" s="256" t="s">
        <v>5814</v>
      </c>
    </row>
    <row r="21" spans="1:15">
      <c r="O21" s="257" t="s">
        <v>166</v>
      </c>
    </row>
    <row r="25" spans="1:15">
      <c r="A25" s="258" t="s">
        <v>48</v>
      </c>
      <c r="C25" s="259" t="s">
        <v>5908</v>
      </c>
    </row>
    <row r="28" spans="1:15">
      <c r="A28" s="260" t="s">
        <v>5909</v>
      </c>
      <c r="O28" s="261" t="s">
        <v>49</v>
      </c>
    </row>
    <row r="31" spans="1:15" ht="13.5">
      <c r="F31" s="262">
        <v>44621</v>
      </c>
      <c r="G31" s="263">
        <v>44652</v>
      </c>
      <c r="H31" s="263">
        <v>44682</v>
      </c>
      <c r="I31" s="263">
        <v>44713</v>
      </c>
      <c r="K31" s="264" t="s">
        <v>5815</v>
      </c>
      <c r="N31" s="264" t="s">
        <v>5816</v>
      </c>
    </row>
    <row r="32" spans="1:15">
      <c r="A32" s="265" t="s">
        <v>167</v>
      </c>
    </row>
    <row r="34" spans="1:34" ht="13.5">
      <c r="D34" s="264" t="s">
        <v>168</v>
      </c>
    </row>
    <row r="35" spans="1:34">
      <c r="E35" s="265" t="s">
        <v>169</v>
      </c>
      <c r="F35" s="265" t="s">
        <v>170</v>
      </c>
      <c r="K35" s="265" t="s">
        <v>66</v>
      </c>
      <c r="L35" s="265" t="s">
        <v>171</v>
      </c>
      <c r="M35" s="265" t="s">
        <v>172</v>
      </c>
    </row>
    <row r="36" spans="1:34">
      <c r="A36" s="265" t="s">
        <v>173</v>
      </c>
      <c r="B36" s="265" t="s">
        <v>173</v>
      </c>
    </row>
    <row r="37" spans="1:34">
      <c r="A37" s="265" t="s">
        <v>174</v>
      </c>
      <c r="B37" s="265" t="s">
        <v>175</v>
      </c>
      <c r="G37" s="265" t="s">
        <v>176</v>
      </c>
      <c r="H37" s="265" t="s">
        <v>176</v>
      </c>
      <c r="I37" s="265" t="s">
        <v>176</v>
      </c>
      <c r="J37" s="265" t="s">
        <v>58</v>
      </c>
      <c r="K37" s="265" t="s">
        <v>66</v>
      </c>
      <c r="L37" s="265" t="s">
        <v>171</v>
      </c>
      <c r="M37" s="265" t="s">
        <v>172</v>
      </c>
      <c r="N37" s="265" t="s">
        <v>58</v>
      </c>
      <c r="O37" s="266">
        <v>44652</v>
      </c>
      <c r="P37" s="267">
        <v>44682</v>
      </c>
      <c r="Q37" s="267">
        <v>44713</v>
      </c>
    </row>
    <row r="38" spans="1:34">
      <c r="E38" s="265" t="s">
        <v>177</v>
      </c>
      <c r="F38" s="265" t="s">
        <v>177</v>
      </c>
    </row>
    <row r="39" spans="1:34">
      <c r="J39" s="267">
        <v>44652</v>
      </c>
      <c r="K39" s="267">
        <v>44682</v>
      </c>
      <c r="L39" s="267">
        <v>44713</v>
      </c>
      <c r="M39" s="267">
        <v>44652</v>
      </c>
      <c r="N39" s="267">
        <v>44682</v>
      </c>
      <c r="O39" s="267">
        <v>44713</v>
      </c>
      <c r="P39" s="267">
        <v>44652</v>
      </c>
      <c r="Q39" s="267">
        <v>44682</v>
      </c>
      <c r="R39" s="267">
        <v>44713</v>
      </c>
    </row>
    <row r="43" spans="1:34" ht="24.75">
      <c r="A43" s="309" t="s">
        <v>6198</v>
      </c>
    </row>
    <row r="44" spans="1:34">
      <c r="G44" s="271">
        <v>0</v>
      </c>
      <c r="H44" s="271">
        <v>0</v>
      </c>
      <c r="AE44" s="270">
        <v>0</v>
      </c>
      <c r="AF44" s="270">
        <v>0</v>
      </c>
      <c r="AG44" s="270">
        <v>0</v>
      </c>
      <c r="AH44" s="270">
        <v>0</v>
      </c>
    </row>
    <row r="47" spans="1:34">
      <c r="A47" s="131" t="s">
        <v>179</v>
      </c>
    </row>
    <row r="51" spans="1:12">
      <c r="A51" s="254" t="s">
        <v>180</v>
      </c>
    </row>
    <row r="56" spans="1:12">
      <c r="A56" s="254" t="s">
        <v>112</v>
      </c>
      <c r="C56" s="254" t="s">
        <v>181</v>
      </c>
      <c r="E56" s="254" t="s">
        <v>6198</v>
      </c>
      <c r="G56" s="254" t="s">
        <v>111</v>
      </c>
      <c r="K56" s="254" t="s">
        <v>181</v>
      </c>
      <c r="L56" s="254" t="s">
        <v>6198</v>
      </c>
    </row>
    <row r="61" spans="1:12">
      <c r="A61" s="254" t="s">
        <v>114</v>
      </c>
      <c r="C61" s="254" t="s">
        <v>181</v>
      </c>
      <c r="E61" s="254" t="s">
        <v>6198</v>
      </c>
      <c r="G61" s="254" t="s">
        <v>182</v>
      </c>
      <c r="K61" s="254" t="s">
        <v>181</v>
      </c>
      <c r="L61" s="254" t="s">
        <v>6198</v>
      </c>
    </row>
    <row r="65" spans="1:12">
      <c r="A65" s="254" t="s">
        <v>183</v>
      </c>
      <c r="C65" s="254" t="s">
        <v>181</v>
      </c>
      <c r="E65" s="254" t="s">
        <v>6198</v>
      </c>
    </row>
    <row r="66" spans="1:12">
      <c r="G66" s="254" t="s">
        <v>184</v>
      </c>
      <c r="K66" s="254" t="s">
        <v>181</v>
      </c>
      <c r="L66" s="254" t="s">
        <v>6198</v>
      </c>
    </row>
    <row r="71" spans="1:12">
      <c r="A71" s="254" t="s">
        <v>185</v>
      </c>
      <c r="C71" s="254" t="s">
        <v>181</v>
      </c>
      <c r="E71" s="254" t="s">
        <v>6198</v>
      </c>
      <c r="G71" s="254" t="s">
        <v>186</v>
      </c>
      <c r="K71" s="254" t="s">
        <v>181</v>
      </c>
      <c r="L71" s="254" t="s">
        <v>6198</v>
      </c>
    </row>
    <row r="75" spans="1:12">
      <c r="A75" s="254" t="s">
        <v>187</v>
      </c>
      <c r="C75" s="254" t="s">
        <v>181</v>
      </c>
      <c r="E75" s="254" t="s">
        <v>6198</v>
      </c>
      <c r="G75" s="254" t="s">
        <v>188</v>
      </c>
      <c r="K75" s="254" t="s">
        <v>181</v>
      </c>
      <c r="L75" s="254" t="s">
        <v>6198</v>
      </c>
    </row>
    <row r="80" spans="1:12">
      <c r="G80" s="254" t="s">
        <v>189</v>
      </c>
      <c r="K80" s="254" t="s">
        <v>181</v>
      </c>
      <c r="L80" s="254" t="s">
        <v>6198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C1779"/>
  <sheetViews>
    <sheetView workbookViewId="0">
      <selection activeCell="D99" sqref="D99"/>
    </sheetView>
  </sheetViews>
  <sheetFormatPr defaultRowHeight="12.75"/>
  <sheetData>
    <row r="1" spans="1:11">
      <c r="F1" s="272" t="s">
        <v>5910</v>
      </c>
    </row>
    <row r="3" spans="1:11">
      <c r="K3" s="273" t="s">
        <v>47</v>
      </c>
    </row>
    <row r="12" spans="1:11">
      <c r="A12" s="258" t="s">
        <v>48</v>
      </c>
      <c r="C12" s="259" t="s">
        <v>87</v>
      </c>
    </row>
    <row r="19" spans="1:29">
      <c r="A19" s="274" t="s">
        <v>5911</v>
      </c>
      <c r="K19" s="275" t="s">
        <v>49</v>
      </c>
    </row>
    <row r="25" spans="1:29">
      <c r="A25" s="276" t="s">
        <v>50</v>
      </c>
      <c r="B25" s="276" t="s">
        <v>51</v>
      </c>
      <c r="C25" s="276" t="s">
        <v>50</v>
      </c>
      <c r="D25" s="276" t="s">
        <v>21</v>
      </c>
      <c r="E25" s="277" t="s">
        <v>94</v>
      </c>
      <c r="F25" s="277" t="s">
        <v>52</v>
      </c>
      <c r="G25" s="277" t="s">
        <v>53</v>
      </c>
      <c r="H25" s="277" t="s">
        <v>54</v>
      </c>
      <c r="I25" s="277" t="s">
        <v>55</v>
      </c>
      <c r="J25" s="277" t="s">
        <v>56</v>
      </c>
      <c r="K25" s="276" t="s">
        <v>57</v>
      </c>
      <c r="L25" s="276" t="s">
        <v>57</v>
      </c>
      <c r="M25" s="276" t="s">
        <v>58</v>
      </c>
      <c r="N25" s="276" t="s">
        <v>59</v>
      </c>
      <c r="O25" s="276" t="s">
        <v>60</v>
      </c>
      <c r="P25" s="276" t="s">
        <v>61</v>
      </c>
      <c r="Q25" s="276" t="s">
        <v>62</v>
      </c>
      <c r="R25" s="276" t="s">
        <v>63</v>
      </c>
      <c r="S25" s="276" t="s">
        <v>64</v>
      </c>
      <c r="T25" s="276" t="s">
        <v>64</v>
      </c>
      <c r="U25" s="276" t="s">
        <v>64</v>
      </c>
      <c r="V25" s="276" t="s">
        <v>64</v>
      </c>
      <c r="W25" s="276" t="s">
        <v>88</v>
      </c>
      <c r="X25" s="276" t="s">
        <v>65</v>
      </c>
      <c r="Y25" s="276" t="s">
        <v>66</v>
      </c>
      <c r="Z25" s="276" t="s">
        <v>67</v>
      </c>
      <c r="AA25" s="276" t="s">
        <v>68</v>
      </c>
      <c r="AB25" s="276" t="s">
        <v>69</v>
      </c>
      <c r="AC25" s="276" t="s">
        <v>70</v>
      </c>
    </row>
    <row r="26" spans="1:29">
      <c r="E26" s="277" t="s">
        <v>95</v>
      </c>
      <c r="Q26" s="276" t="s">
        <v>71</v>
      </c>
      <c r="W26" s="276" t="s">
        <v>89</v>
      </c>
    </row>
    <row r="30" spans="1:29">
      <c r="U30" s="276" t="s">
        <v>90</v>
      </c>
    </row>
    <row r="32" spans="1:29">
      <c r="C32" s="276" t="s">
        <v>72</v>
      </c>
      <c r="K32" s="276" t="s">
        <v>73</v>
      </c>
      <c r="L32" s="276" t="s">
        <v>74</v>
      </c>
      <c r="S32" s="276" t="s">
        <v>75</v>
      </c>
      <c r="T32" s="276" t="s">
        <v>76</v>
      </c>
      <c r="V32" s="276" t="s">
        <v>77</v>
      </c>
    </row>
    <row r="42" spans="1:22">
      <c r="A42" s="268" t="s">
        <v>32</v>
      </c>
      <c r="E42" s="278">
        <v>46</v>
      </c>
      <c r="F42" s="278">
        <v>69</v>
      </c>
      <c r="G42" s="278">
        <v>46</v>
      </c>
      <c r="H42" s="278">
        <v>154</v>
      </c>
      <c r="I42" s="279">
        <v>60256</v>
      </c>
      <c r="J42" s="279">
        <v>43307</v>
      </c>
      <c r="K42" s="279">
        <v>41743</v>
      </c>
      <c r="L42" s="279">
        <v>16949</v>
      </c>
      <c r="Q42" s="279">
        <v>14235</v>
      </c>
      <c r="R42" s="279">
        <v>18513</v>
      </c>
      <c r="S42" s="279">
        <v>1147650.4217499795</v>
      </c>
      <c r="T42" s="279">
        <v>208869.96926666668</v>
      </c>
      <c r="U42" s="279">
        <v>169445.32076666676</v>
      </c>
      <c r="V42" s="279">
        <v>225923.46576666663</v>
      </c>
    </row>
    <row r="49" spans="1:22">
      <c r="A49" s="278">
        <v>1</v>
      </c>
      <c r="B49" s="280" t="s">
        <v>28</v>
      </c>
      <c r="C49" s="278">
        <v>1</v>
      </c>
      <c r="D49" s="259" t="s">
        <v>22</v>
      </c>
      <c r="F49" s="281">
        <v>41214</v>
      </c>
      <c r="G49" s="281">
        <v>43831</v>
      </c>
      <c r="I49" s="279">
        <v>25466</v>
      </c>
      <c r="J49" s="279">
        <v>25282</v>
      </c>
      <c r="K49" s="279">
        <v>25177</v>
      </c>
      <c r="L49" s="279">
        <v>184</v>
      </c>
      <c r="M49" s="279">
        <v>179</v>
      </c>
      <c r="R49" s="279">
        <v>289</v>
      </c>
      <c r="S49" s="279">
        <v>843856.1019999783</v>
      </c>
      <c r="T49" s="279">
        <v>5590.7883333333275</v>
      </c>
      <c r="U49" s="279">
        <v>5559.7883333333293</v>
      </c>
      <c r="V49" s="279">
        <v>7745.6636666666673</v>
      </c>
    </row>
    <row r="50" spans="1:22">
      <c r="E50" s="282">
        <v>0</v>
      </c>
      <c r="F50" s="283">
        <v>1</v>
      </c>
      <c r="G50" s="284">
        <v>0</v>
      </c>
      <c r="H50" s="284">
        <v>0</v>
      </c>
    </row>
    <row r="56" spans="1:22">
      <c r="A56" s="278">
        <v>2</v>
      </c>
      <c r="B56" s="280" t="s">
        <v>28</v>
      </c>
      <c r="C56" s="278">
        <v>2</v>
      </c>
      <c r="D56" s="259" t="s">
        <v>5419</v>
      </c>
      <c r="F56" s="281">
        <v>41306</v>
      </c>
      <c r="G56" s="281">
        <v>43831</v>
      </c>
      <c r="I56" s="279">
        <v>518</v>
      </c>
      <c r="J56" s="279">
        <v>517</v>
      </c>
      <c r="K56" s="279">
        <v>504</v>
      </c>
      <c r="L56" s="279">
        <v>1</v>
      </c>
      <c r="R56" s="279">
        <v>14</v>
      </c>
      <c r="S56" s="279">
        <v>2628.6756666666711</v>
      </c>
      <c r="T56" s="279">
        <v>4.2</v>
      </c>
      <c r="V56" s="279">
        <v>42.076666666666682</v>
      </c>
    </row>
    <row r="57" spans="1:22">
      <c r="E57" s="282">
        <v>0</v>
      </c>
      <c r="F57" s="283">
        <v>1</v>
      </c>
      <c r="G57" s="284">
        <v>0</v>
      </c>
      <c r="H57" s="284">
        <v>0</v>
      </c>
    </row>
    <row r="63" spans="1:22">
      <c r="A63" s="278">
        <v>3</v>
      </c>
      <c r="B63" s="280" t="s">
        <v>28</v>
      </c>
      <c r="C63" s="278">
        <v>3</v>
      </c>
      <c r="D63" s="259" t="s">
        <v>33</v>
      </c>
      <c r="F63" s="281">
        <v>41306</v>
      </c>
      <c r="G63" s="281">
        <v>43831</v>
      </c>
      <c r="I63" s="279">
        <v>1439</v>
      </c>
      <c r="J63" s="279">
        <v>1439</v>
      </c>
      <c r="K63" s="279">
        <v>1438</v>
      </c>
      <c r="R63" s="279">
        <v>1</v>
      </c>
      <c r="S63" s="279">
        <v>11158.102000000019</v>
      </c>
    </row>
    <row r="64" spans="1:22">
      <c r="E64" s="282">
        <v>0</v>
      </c>
      <c r="F64" s="283">
        <v>1</v>
      </c>
      <c r="G64" s="284">
        <v>0</v>
      </c>
      <c r="H64" s="284">
        <v>0</v>
      </c>
    </row>
    <row r="70" spans="1:22">
      <c r="A70" s="278">
        <v>4</v>
      </c>
      <c r="B70" s="280" t="s">
        <v>28</v>
      </c>
      <c r="C70" s="278">
        <v>4</v>
      </c>
      <c r="D70" s="259" t="s">
        <v>17</v>
      </c>
      <c r="F70" s="281">
        <v>41306</v>
      </c>
      <c r="G70" s="281">
        <v>43831</v>
      </c>
      <c r="I70" s="279">
        <v>6407</v>
      </c>
      <c r="J70" s="279">
        <v>6343</v>
      </c>
      <c r="K70" s="279">
        <v>6222</v>
      </c>
      <c r="L70" s="279">
        <v>64</v>
      </c>
      <c r="M70" s="279">
        <v>36</v>
      </c>
      <c r="R70" s="279">
        <v>185</v>
      </c>
      <c r="S70" s="279">
        <v>20568.755149999641</v>
      </c>
      <c r="T70" s="279">
        <v>130.50983333333329</v>
      </c>
      <c r="U70" s="279">
        <v>63.013999999999953</v>
      </c>
      <c r="V70" s="279">
        <v>442.50983333333318</v>
      </c>
    </row>
    <row r="71" spans="1:22">
      <c r="E71" s="282">
        <v>0</v>
      </c>
      <c r="F71" s="283">
        <v>1</v>
      </c>
      <c r="G71" s="284">
        <v>0</v>
      </c>
      <c r="H71" s="284">
        <v>0</v>
      </c>
    </row>
    <row r="77" spans="1:22">
      <c r="A77" s="278">
        <v>5</v>
      </c>
      <c r="B77" s="280" t="s">
        <v>28</v>
      </c>
      <c r="C77" s="278">
        <v>5</v>
      </c>
      <c r="D77" s="259" t="s">
        <v>18</v>
      </c>
      <c r="F77" s="281">
        <v>41306</v>
      </c>
      <c r="G77" s="281">
        <v>43831</v>
      </c>
      <c r="I77" s="279">
        <v>2320</v>
      </c>
      <c r="J77" s="279">
        <v>2308</v>
      </c>
      <c r="K77" s="279">
        <v>2299</v>
      </c>
      <c r="L77" s="279">
        <v>12</v>
      </c>
      <c r="M77" s="279">
        <v>9</v>
      </c>
      <c r="R77" s="279">
        <v>21</v>
      </c>
      <c r="S77" s="279">
        <v>15285.464533333317</v>
      </c>
      <c r="T77" s="279">
        <v>11.163333333333334</v>
      </c>
      <c r="U77" s="279">
        <v>7.8633333333333368</v>
      </c>
      <c r="V77" s="279">
        <v>24.171666666666667</v>
      </c>
    </row>
    <row r="78" spans="1:22">
      <c r="E78" s="282">
        <v>0</v>
      </c>
      <c r="F78" s="283">
        <v>1</v>
      </c>
      <c r="G78" s="284">
        <v>0</v>
      </c>
      <c r="H78" s="284">
        <v>0</v>
      </c>
    </row>
    <row r="84" spans="1:22">
      <c r="A84" s="278">
        <v>6</v>
      </c>
      <c r="B84" s="280" t="s">
        <v>28</v>
      </c>
      <c r="C84" s="278">
        <v>6</v>
      </c>
      <c r="D84" s="259" t="s">
        <v>78</v>
      </c>
      <c r="F84" s="281">
        <v>43958</v>
      </c>
      <c r="G84" s="281">
        <v>43958</v>
      </c>
      <c r="I84" s="279">
        <v>1906</v>
      </c>
      <c r="J84" s="279">
        <v>1881</v>
      </c>
      <c r="K84" s="279">
        <v>1807</v>
      </c>
      <c r="L84" s="279">
        <v>25</v>
      </c>
      <c r="M84" s="279">
        <v>6</v>
      </c>
      <c r="R84" s="279">
        <v>99</v>
      </c>
      <c r="S84" s="279">
        <v>8036.1972000000078</v>
      </c>
      <c r="T84" s="279">
        <v>79.600000000000009</v>
      </c>
      <c r="U84" s="279">
        <v>3.2666666666666515</v>
      </c>
      <c r="V84" s="279">
        <v>261.28333333333325</v>
      </c>
    </row>
    <row r="85" spans="1:22">
      <c r="E85" s="282">
        <v>0</v>
      </c>
      <c r="F85" s="283">
        <v>1</v>
      </c>
      <c r="G85" s="284">
        <v>0</v>
      </c>
      <c r="H85" s="284">
        <v>0</v>
      </c>
    </row>
    <row r="91" spans="1:22">
      <c r="A91" s="278">
        <v>7</v>
      </c>
      <c r="B91" s="280" t="s">
        <v>28</v>
      </c>
      <c r="C91" s="278">
        <v>7</v>
      </c>
      <c r="D91" s="259" t="s">
        <v>5817</v>
      </c>
      <c r="F91" s="281">
        <v>41306</v>
      </c>
      <c r="G91" s="281">
        <v>43831</v>
      </c>
      <c r="I91" s="279">
        <v>142</v>
      </c>
      <c r="J91" s="279">
        <v>142</v>
      </c>
      <c r="K91" s="279">
        <v>137</v>
      </c>
      <c r="R91" s="279">
        <v>5</v>
      </c>
      <c r="S91" s="279">
        <v>1166.1468333333339</v>
      </c>
      <c r="V91" s="279">
        <v>11.07833333333333</v>
      </c>
    </row>
    <row r="92" spans="1:22">
      <c r="E92" s="286">
        <v>1</v>
      </c>
      <c r="F92" s="283">
        <v>1</v>
      </c>
      <c r="G92" s="284">
        <v>0</v>
      </c>
      <c r="H92" s="284">
        <v>0</v>
      </c>
    </row>
    <row r="98" spans="1:22">
      <c r="A98" s="278">
        <v>8</v>
      </c>
      <c r="B98" s="280" t="s">
        <v>115</v>
      </c>
      <c r="C98" s="278">
        <v>3282</v>
      </c>
      <c r="D98" s="259"/>
      <c r="F98" s="281">
        <v>44536</v>
      </c>
      <c r="G98" s="281">
        <v>44651</v>
      </c>
      <c r="I98" s="279">
        <v>545</v>
      </c>
      <c r="J98" s="279">
        <v>530</v>
      </c>
      <c r="K98" s="279">
        <v>519</v>
      </c>
      <c r="L98" s="279">
        <v>15</v>
      </c>
      <c r="M98" s="279">
        <v>5</v>
      </c>
      <c r="R98" s="279">
        <v>26</v>
      </c>
      <c r="S98" s="279">
        <v>1487.1499999999994</v>
      </c>
      <c r="T98" s="279">
        <v>24.258333333333336</v>
      </c>
      <c r="U98" s="279">
        <v>6.2416666666666671</v>
      </c>
      <c r="V98" s="279">
        <v>47.158333333333331</v>
      </c>
    </row>
    <row r="99" spans="1:22">
      <c r="E99" s="286">
        <v>1</v>
      </c>
      <c r="F99" s="283">
        <v>1</v>
      </c>
      <c r="G99" s="287">
        <v>1</v>
      </c>
      <c r="H99" s="284">
        <v>2</v>
      </c>
    </row>
    <row r="105" spans="1:22">
      <c r="A105" s="278">
        <v>9</v>
      </c>
      <c r="B105" s="280" t="s">
        <v>115</v>
      </c>
      <c r="C105" s="278">
        <v>3358</v>
      </c>
      <c r="D105" s="259"/>
      <c r="F105" s="281">
        <v>44543</v>
      </c>
      <c r="G105" s="281">
        <v>44651</v>
      </c>
      <c r="I105" s="279">
        <v>427</v>
      </c>
      <c r="J105" s="279">
        <v>425</v>
      </c>
      <c r="K105" s="279">
        <v>421</v>
      </c>
      <c r="L105" s="279">
        <v>2</v>
      </c>
      <c r="R105" s="279">
        <v>6</v>
      </c>
      <c r="S105" s="279">
        <v>827.13349999999798</v>
      </c>
      <c r="T105" s="279">
        <v>4.1833333333333336</v>
      </c>
      <c r="V105" s="279">
        <v>7.3083333333333336</v>
      </c>
    </row>
    <row r="106" spans="1:22">
      <c r="E106" s="286">
        <v>1</v>
      </c>
      <c r="F106" s="283">
        <v>1</v>
      </c>
      <c r="G106" s="284">
        <v>0</v>
      </c>
      <c r="H106" s="284">
        <v>2</v>
      </c>
    </row>
    <row r="112" spans="1:22">
      <c r="A112" s="278">
        <v>10</v>
      </c>
      <c r="B112" s="280" t="s">
        <v>46</v>
      </c>
      <c r="C112" s="278">
        <v>3304</v>
      </c>
      <c r="D112" s="259"/>
      <c r="F112" s="281">
        <v>44554</v>
      </c>
      <c r="G112" s="281">
        <v>44651</v>
      </c>
      <c r="I112" s="279">
        <v>141</v>
      </c>
      <c r="J112" s="279">
        <v>141</v>
      </c>
      <c r="K112" s="279">
        <v>140</v>
      </c>
      <c r="R112" s="279">
        <v>1</v>
      </c>
      <c r="S112" s="279">
        <v>1259.4565000000018</v>
      </c>
    </row>
    <row r="113" spans="1:22">
      <c r="E113" s="286">
        <v>1</v>
      </c>
      <c r="F113" s="283">
        <v>1</v>
      </c>
      <c r="G113" s="287">
        <v>1</v>
      </c>
      <c r="H113" s="284">
        <v>2</v>
      </c>
    </row>
    <row r="119" spans="1:22">
      <c r="A119" s="278">
        <v>11</v>
      </c>
      <c r="B119" s="280" t="s">
        <v>125</v>
      </c>
      <c r="C119" s="278">
        <v>3344</v>
      </c>
      <c r="D119" s="259"/>
      <c r="F119" s="281">
        <v>44571</v>
      </c>
      <c r="G119" s="281">
        <v>44655</v>
      </c>
      <c r="I119" s="279">
        <v>34</v>
      </c>
      <c r="J119" s="279">
        <v>34</v>
      </c>
      <c r="K119" s="279">
        <v>32</v>
      </c>
      <c r="R119" s="279">
        <v>2</v>
      </c>
      <c r="S119" s="279">
        <v>1625.1516666666669</v>
      </c>
    </row>
    <row r="120" spans="1:22">
      <c r="E120" s="286">
        <v>1</v>
      </c>
      <c r="F120" s="283">
        <v>1</v>
      </c>
      <c r="G120" s="284">
        <v>0</v>
      </c>
      <c r="H120" s="284">
        <v>2</v>
      </c>
    </row>
    <row r="126" spans="1:22">
      <c r="A126" s="278">
        <v>12</v>
      </c>
      <c r="B126" s="280" t="s">
        <v>4996</v>
      </c>
      <c r="C126" s="278">
        <v>3409</v>
      </c>
      <c r="D126" s="259"/>
      <c r="F126" s="281">
        <v>44580</v>
      </c>
      <c r="G126" s="281">
        <v>44651</v>
      </c>
      <c r="I126" s="279">
        <v>179</v>
      </c>
      <c r="J126" s="279">
        <v>174</v>
      </c>
      <c r="K126" s="279">
        <v>170</v>
      </c>
      <c r="L126" s="279">
        <v>5</v>
      </c>
      <c r="R126" s="279">
        <v>9</v>
      </c>
      <c r="S126" s="279">
        <v>462.70200000000011</v>
      </c>
      <c r="T126" s="279">
        <v>9.8000000000000007</v>
      </c>
      <c r="V126" s="279">
        <v>18.05</v>
      </c>
    </row>
    <row r="127" spans="1:22">
      <c r="E127" s="286">
        <v>1</v>
      </c>
      <c r="F127" s="283">
        <v>1</v>
      </c>
      <c r="G127" s="287">
        <v>1</v>
      </c>
      <c r="H127" s="284">
        <v>2</v>
      </c>
    </row>
    <row r="133" spans="1:22">
      <c r="A133" s="278">
        <v>13</v>
      </c>
      <c r="B133" s="280" t="s">
        <v>147</v>
      </c>
      <c r="C133" s="278">
        <v>3473</v>
      </c>
      <c r="D133" s="259"/>
      <c r="F133" s="281">
        <v>44587</v>
      </c>
      <c r="G133" s="281">
        <v>44659</v>
      </c>
      <c r="I133" s="279">
        <v>90</v>
      </c>
      <c r="J133" s="279">
        <v>90</v>
      </c>
      <c r="K133" s="279">
        <v>88</v>
      </c>
      <c r="R133" s="279">
        <v>2</v>
      </c>
      <c r="S133" s="279">
        <v>615.5243333333342</v>
      </c>
      <c r="V133" s="279">
        <v>1.333333333333333</v>
      </c>
    </row>
    <row r="134" spans="1:22">
      <c r="E134" s="282">
        <v>0</v>
      </c>
      <c r="F134" s="283">
        <v>1</v>
      </c>
      <c r="G134" s="284">
        <v>0</v>
      </c>
      <c r="H134" s="284">
        <v>0</v>
      </c>
    </row>
    <row r="140" spans="1:22">
      <c r="A140" s="278">
        <v>14</v>
      </c>
      <c r="B140" s="280" t="s">
        <v>147</v>
      </c>
      <c r="C140" s="278">
        <v>3486</v>
      </c>
      <c r="D140" s="259"/>
      <c r="F140" s="281">
        <v>44595</v>
      </c>
      <c r="G140" s="281">
        <v>44666</v>
      </c>
      <c r="I140" s="279">
        <v>15</v>
      </c>
      <c r="J140" s="279">
        <v>14</v>
      </c>
      <c r="K140" s="279">
        <v>3</v>
      </c>
      <c r="L140" s="279">
        <v>1</v>
      </c>
      <c r="R140" s="279">
        <v>12</v>
      </c>
      <c r="S140" s="279">
        <v>203.06666666666672</v>
      </c>
      <c r="T140" s="279">
        <v>40.93333333333333</v>
      </c>
      <c r="V140" s="279">
        <v>107.78333333333335</v>
      </c>
    </row>
    <row r="141" spans="1:22">
      <c r="E141" s="286">
        <v>1</v>
      </c>
      <c r="F141" s="283">
        <v>1</v>
      </c>
      <c r="G141" s="287">
        <v>1</v>
      </c>
      <c r="H141" s="284">
        <v>2</v>
      </c>
    </row>
    <row r="147" spans="1:22">
      <c r="A147" s="278">
        <v>15</v>
      </c>
      <c r="B147" s="280" t="s">
        <v>44</v>
      </c>
      <c r="C147" s="278">
        <v>3464</v>
      </c>
      <c r="D147" s="259"/>
      <c r="F147" s="281">
        <v>44596</v>
      </c>
      <c r="G147" s="281">
        <v>44651</v>
      </c>
      <c r="I147" s="279">
        <v>43</v>
      </c>
      <c r="J147" s="279">
        <v>43</v>
      </c>
      <c r="K147" s="279">
        <v>42</v>
      </c>
      <c r="R147" s="279">
        <v>1</v>
      </c>
      <c r="S147" s="279">
        <v>108.87833333333329</v>
      </c>
    </row>
    <row r="148" spans="1:22">
      <c r="E148" s="286">
        <v>1</v>
      </c>
      <c r="F148" s="283">
        <v>1</v>
      </c>
      <c r="G148" s="287">
        <v>1</v>
      </c>
      <c r="H148" s="284">
        <v>2</v>
      </c>
    </row>
    <row r="154" spans="1:22">
      <c r="A154" s="278">
        <v>16</v>
      </c>
      <c r="B154" s="280" t="s">
        <v>125</v>
      </c>
      <c r="C154" s="278">
        <v>3417</v>
      </c>
      <c r="D154" s="259"/>
      <c r="F154" s="281">
        <v>44599</v>
      </c>
      <c r="G154" s="281">
        <v>44651</v>
      </c>
      <c r="I154" s="279">
        <v>14</v>
      </c>
      <c r="J154" s="279">
        <v>14</v>
      </c>
      <c r="K154" s="279">
        <v>13</v>
      </c>
      <c r="R154" s="279">
        <v>1</v>
      </c>
      <c r="S154" s="279">
        <v>318.56499999999994</v>
      </c>
      <c r="V154" s="279">
        <v>50.7</v>
      </c>
    </row>
    <row r="155" spans="1:22">
      <c r="E155" s="286">
        <v>1</v>
      </c>
      <c r="F155" s="283">
        <v>1</v>
      </c>
      <c r="G155" s="287">
        <v>1</v>
      </c>
      <c r="H155" s="284">
        <v>2</v>
      </c>
    </row>
    <row r="161" spans="1:23">
      <c r="A161" s="278">
        <v>17</v>
      </c>
      <c r="B161" s="288" t="s">
        <v>34</v>
      </c>
      <c r="C161" s="278">
        <v>3475</v>
      </c>
      <c r="D161" s="259"/>
      <c r="F161" s="281">
        <v>44601</v>
      </c>
      <c r="G161" s="281">
        <v>44669</v>
      </c>
      <c r="I161" s="279">
        <v>108</v>
      </c>
      <c r="J161" s="279">
        <v>59</v>
      </c>
      <c r="K161" s="279">
        <v>14</v>
      </c>
      <c r="L161" s="279">
        <v>49</v>
      </c>
      <c r="M161" s="279">
        <v>42</v>
      </c>
      <c r="R161" s="279">
        <v>94</v>
      </c>
      <c r="S161" s="279">
        <v>1043.5385000000006</v>
      </c>
      <c r="T161" s="279">
        <v>635.05400000000031</v>
      </c>
      <c r="U161" s="279">
        <v>565.97066666666694</v>
      </c>
      <c r="V161" s="279">
        <v>917.97066666666728</v>
      </c>
    </row>
    <row r="162" spans="1:23">
      <c r="E162" s="286">
        <v>1</v>
      </c>
      <c r="F162" s="283">
        <v>1</v>
      </c>
      <c r="G162" s="287">
        <v>1</v>
      </c>
      <c r="H162" s="284">
        <v>2</v>
      </c>
    </row>
    <row r="168" spans="1:23">
      <c r="A168" s="278">
        <v>18</v>
      </c>
      <c r="B168" s="280" t="s">
        <v>46</v>
      </c>
      <c r="C168" s="278">
        <v>3299</v>
      </c>
      <c r="D168" s="259"/>
      <c r="F168" s="281">
        <v>44603</v>
      </c>
      <c r="G168" s="281">
        <v>44666</v>
      </c>
      <c r="I168" s="279">
        <v>40</v>
      </c>
      <c r="J168" s="279">
        <v>37</v>
      </c>
      <c r="K168" s="279">
        <v>19</v>
      </c>
      <c r="L168" s="279">
        <v>3</v>
      </c>
      <c r="R168" s="279">
        <v>21</v>
      </c>
      <c r="S168" s="279">
        <v>839.8689999999998</v>
      </c>
      <c r="T168" s="279">
        <v>177.14999999999998</v>
      </c>
      <c r="V168" s="279">
        <v>603.69799999999987</v>
      </c>
    </row>
    <row r="169" spans="1:23">
      <c r="E169" s="286">
        <v>1</v>
      </c>
      <c r="F169" s="283">
        <v>1</v>
      </c>
      <c r="G169" s="287">
        <v>1</v>
      </c>
      <c r="H169" s="284">
        <v>2</v>
      </c>
    </row>
    <row r="175" spans="1:23">
      <c r="A175" s="278">
        <v>19</v>
      </c>
      <c r="B175" s="280" t="s">
        <v>147</v>
      </c>
      <c r="C175" s="278">
        <v>3406</v>
      </c>
      <c r="D175" s="259"/>
      <c r="F175" s="281">
        <v>44610</v>
      </c>
      <c r="G175" s="281">
        <v>44671</v>
      </c>
      <c r="I175" s="279">
        <v>187</v>
      </c>
      <c r="J175" s="279">
        <v>151</v>
      </c>
      <c r="K175" s="279">
        <v>51</v>
      </c>
      <c r="L175" s="279">
        <v>36</v>
      </c>
      <c r="M175" s="279">
        <v>14</v>
      </c>
      <c r="R175" s="279">
        <v>136</v>
      </c>
      <c r="S175" s="279">
        <v>1031.5373333333348</v>
      </c>
      <c r="T175" s="279">
        <v>434.10866666666647</v>
      </c>
      <c r="U175" s="279">
        <v>223.3086666666664</v>
      </c>
      <c r="V175" s="279">
        <v>736.07533333333424</v>
      </c>
      <c r="W175" s="285" t="s">
        <v>5086</v>
      </c>
    </row>
    <row r="176" spans="1:23">
      <c r="E176" s="286">
        <v>1</v>
      </c>
      <c r="F176" s="283">
        <v>1</v>
      </c>
      <c r="G176" s="287">
        <v>1</v>
      </c>
      <c r="H176" s="284">
        <v>2</v>
      </c>
    </row>
    <row r="182" spans="1:22">
      <c r="A182" s="278">
        <v>20</v>
      </c>
      <c r="B182" s="280" t="s">
        <v>125</v>
      </c>
      <c r="C182" s="278">
        <v>3503</v>
      </c>
      <c r="D182" s="259"/>
      <c r="F182" s="281">
        <v>44621</v>
      </c>
      <c r="G182" s="281">
        <v>44669</v>
      </c>
      <c r="I182" s="279">
        <v>282</v>
      </c>
      <c r="J182" s="279">
        <v>117</v>
      </c>
      <c r="K182" s="279">
        <v>25</v>
      </c>
      <c r="L182" s="279">
        <v>165</v>
      </c>
      <c r="M182" s="279">
        <v>140</v>
      </c>
      <c r="R182" s="279">
        <v>257</v>
      </c>
      <c r="S182" s="279">
        <v>1073.155</v>
      </c>
      <c r="T182" s="279">
        <v>538.61499999999955</v>
      </c>
      <c r="U182" s="279">
        <v>482.7816666666663</v>
      </c>
      <c r="V182" s="279">
        <v>907.64000000000101</v>
      </c>
    </row>
    <row r="183" spans="1:22">
      <c r="E183" s="282">
        <v>0</v>
      </c>
      <c r="F183" s="283">
        <v>1</v>
      </c>
      <c r="G183" s="287">
        <v>1</v>
      </c>
      <c r="H183" s="284">
        <v>2</v>
      </c>
    </row>
    <row r="189" spans="1:22">
      <c r="A189" s="278">
        <v>21</v>
      </c>
      <c r="B189" s="280" t="s">
        <v>147</v>
      </c>
      <c r="C189" s="278">
        <v>3509</v>
      </c>
      <c r="D189" s="259"/>
      <c r="F189" s="281">
        <v>44621</v>
      </c>
      <c r="G189" s="281">
        <v>44652</v>
      </c>
      <c r="I189" s="279">
        <v>46</v>
      </c>
      <c r="J189" s="279">
        <v>41</v>
      </c>
      <c r="K189" s="279">
        <v>31</v>
      </c>
      <c r="L189" s="279">
        <v>5</v>
      </c>
      <c r="R189" s="279">
        <v>15</v>
      </c>
      <c r="S189" s="279">
        <v>37.200000000000024</v>
      </c>
      <c r="T189" s="279">
        <v>6.8833333333333329</v>
      </c>
      <c r="V189" s="279">
        <v>13.883333333333333</v>
      </c>
    </row>
    <row r="190" spans="1:22">
      <c r="E190" s="286">
        <v>1</v>
      </c>
      <c r="F190" s="283">
        <v>1</v>
      </c>
      <c r="G190" s="284">
        <v>0</v>
      </c>
      <c r="H190" s="284">
        <v>0</v>
      </c>
    </row>
    <row r="196" spans="1:22">
      <c r="A196" s="278">
        <v>22</v>
      </c>
      <c r="B196" s="280" t="s">
        <v>25</v>
      </c>
      <c r="C196" s="278">
        <v>3259</v>
      </c>
      <c r="D196" s="259"/>
      <c r="F196" s="281">
        <v>44622</v>
      </c>
      <c r="G196" s="281">
        <v>44634</v>
      </c>
      <c r="I196" s="279">
        <v>204</v>
      </c>
      <c r="J196" s="279">
        <v>203</v>
      </c>
      <c r="K196" s="279">
        <v>196</v>
      </c>
      <c r="L196" s="279">
        <v>1</v>
      </c>
      <c r="R196" s="279">
        <v>8</v>
      </c>
      <c r="S196" s="279">
        <v>962.85733333333428</v>
      </c>
      <c r="T196" s="279">
        <v>2.9333333333333331</v>
      </c>
      <c r="V196" s="279">
        <v>10.574999999999999</v>
      </c>
    </row>
    <row r="197" spans="1:22">
      <c r="E197" s="286">
        <v>1</v>
      </c>
      <c r="F197" s="283">
        <v>1</v>
      </c>
      <c r="G197" s="287">
        <v>1</v>
      </c>
      <c r="H197" s="284">
        <v>2</v>
      </c>
    </row>
    <row r="203" spans="1:22">
      <c r="A203" s="278">
        <v>23</v>
      </c>
      <c r="B203" s="280" t="s">
        <v>25</v>
      </c>
      <c r="C203" s="278">
        <v>3254</v>
      </c>
      <c r="D203" s="259"/>
      <c r="F203" s="281">
        <v>44624</v>
      </c>
      <c r="G203" s="281">
        <v>44628</v>
      </c>
      <c r="I203" s="279">
        <v>111</v>
      </c>
      <c r="J203" s="279">
        <v>111</v>
      </c>
      <c r="K203" s="279">
        <v>109</v>
      </c>
      <c r="R203" s="279">
        <v>2</v>
      </c>
      <c r="S203" s="279">
        <v>215.93100000000001</v>
      </c>
      <c r="V203" s="279">
        <v>1.333333333333333</v>
      </c>
    </row>
    <row r="204" spans="1:22">
      <c r="E204" s="286">
        <v>1</v>
      </c>
      <c r="F204" s="283">
        <v>1</v>
      </c>
      <c r="G204" s="287">
        <v>1</v>
      </c>
      <c r="H204" s="284">
        <v>2</v>
      </c>
    </row>
    <row r="210" spans="1:22">
      <c r="A210" s="278">
        <v>24</v>
      </c>
      <c r="B210" s="280" t="s">
        <v>25</v>
      </c>
      <c r="C210" s="278">
        <v>3267</v>
      </c>
      <c r="D210" s="259"/>
      <c r="F210" s="281">
        <v>44627</v>
      </c>
      <c r="G210" s="281">
        <v>44650</v>
      </c>
      <c r="I210" s="279">
        <v>174</v>
      </c>
      <c r="J210" s="279">
        <v>166</v>
      </c>
      <c r="K210" s="279">
        <v>104</v>
      </c>
      <c r="L210" s="279">
        <v>8</v>
      </c>
      <c r="R210" s="279">
        <v>70</v>
      </c>
      <c r="S210" s="279">
        <v>1546.9919999999997</v>
      </c>
      <c r="T210" s="279">
        <v>19.266666666666669</v>
      </c>
      <c r="V210" s="279">
        <v>296.61533333333335</v>
      </c>
    </row>
    <row r="211" spans="1:22">
      <c r="E211" s="286">
        <v>1</v>
      </c>
      <c r="F211" s="283">
        <v>1</v>
      </c>
      <c r="G211" s="287">
        <v>1</v>
      </c>
      <c r="H211" s="284">
        <v>2</v>
      </c>
    </row>
    <row r="217" spans="1:22">
      <c r="A217" s="278">
        <v>25</v>
      </c>
      <c r="B217" s="280" t="s">
        <v>25</v>
      </c>
      <c r="C217" s="278">
        <v>3263</v>
      </c>
      <c r="D217" s="259"/>
      <c r="F217" s="281">
        <v>44628</v>
      </c>
      <c r="G217" s="281">
        <v>44650</v>
      </c>
      <c r="I217" s="279">
        <v>38</v>
      </c>
      <c r="J217" s="279">
        <v>34</v>
      </c>
      <c r="K217" s="279">
        <v>20</v>
      </c>
      <c r="L217" s="279">
        <v>4</v>
      </c>
      <c r="R217" s="279">
        <v>18</v>
      </c>
      <c r="S217" s="279">
        <v>1631.586666666667</v>
      </c>
      <c r="T217" s="279">
        <v>102.66666666666666</v>
      </c>
      <c r="V217" s="279">
        <v>275.00833333333333</v>
      </c>
    </row>
    <row r="218" spans="1:22">
      <c r="E218" s="286">
        <v>1</v>
      </c>
      <c r="F218" s="283">
        <v>1</v>
      </c>
      <c r="G218" s="287">
        <v>1</v>
      </c>
      <c r="H218" s="284">
        <v>2</v>
      </c>
    </row>
    <row r="224" spans="1:22">
      <c r="A224" s="278">
        <v>26</v>
      </c>
      <c r="B224" s="280" t="s">
        <v>25</v>
      </c>
      <c r="C224" s="278">
        <v>3269</v>
      </c>
      <c r="D224" s="259"/>
      <c r="F224" s="281">
        <v>44628</v>
      </c>
      <c r="G224" s="281">
        <v>44650</v>
      </c>
      <c r="I224" s="279">
        <v>125</v>
      </c>
      <c r="J224" s="279">
        <v>115</v>
      </c>
      <c r="K224" s="279">
        <v>81</v>
      </c>
      <c r="L224" s="279">
        <v>10</v>
      </c>
      <c r="R224" s="279">
        <v>44</v>
      </c>
      <c r="S224" s="279">
        <v>1261.5360000000005</v>
      </c>
      <c r="T224" s="279">
        <v>58.766666666666673</v>
      </c>
      <c r="V224" s="279">
        <v>626.24599999999987</v>
      </c>
    </row>
    <row r="225" spans="1:22">
      <c r="E225" s="286">
        <v>1</v>
      </c>
      <c r="F225" s="283">
        <v>1</v>
      </c>
      <c r="G225" s="287">
        <v>1</v>
      </c>
      <c r="H225" s="284">
        <v>2</v>
      </c>
    </row>
    <row r="231" spans="1:22">
      <c r="A231" s="278">
        <v>27</v>
      </c>
      <c r="B231" s="280" t="s">
        <v>25</v>
      </c>
      <c r="C231" s="278">
        <v>3264</v>
      </c>
      <c r="D231" s="259"/>
      <c r="F231" s="281">
        <v>44629</v>
      </c>
      <c r="G231" s="281">
        <v>44650</v>
      </c>
      <c r="I231" s="279">
        <v>20</v>
      </c>
      <c r="J231" s="279">
        <v>20</v>
      </c>
      <c r="K231" s="279">
        <v>13</v>
      </c>
      <c r="R231" s="279">
        <v>7</v>
      </c>
      <c r="S231" s="279">
        <v>1163.8666666666666</v>
      </c>
      <c r="V231" s="279">
        <v>493.25000000000006</v>
      </c>
    </row>
    <row r="232" spans="1:22">
      <c r="E232" s="286">
        <v>1</v>
      </c>
      <c r="F232" s="283">
        <v>1</v>
      </c>
      <c r="G232" s="287">
        <v>1</v>
      </c>
      <c r="H232" s="284">
        <v>2</v>
      </c>
    </row>
    <row r="238" spans="1:22">
      <c r="A238" s="278">
        <v>28</v>
      </c>
      <c r="B238" s="280" t="s">
        <v>25</v>
      </c>
      <c r="C238" s="278">
        <v>3268</v>
      </c>
      <c r="D238" s="259"/>
      <c r="F238" s="281">
        <v>44629</v>
      </c>
      <c r="G238" s="281">
        <v>44650</v>
      </c>
      <c r="I238" s="279">
        <v>117</v>
      </c>
      <c r="J238" s="279">
        <v>109</v>
      </c>
      <c r="K238" s="279">
        <v>79</v>
      </c>
      <c r="L238" s="279">
        <v>8</v>
      </c>
      <c r="R238" s="279">
        <v>38</v>
      </c>
      <c r="S238" s="279">
        <v>1209.5113333333325</v>
      </c>
      <c r="T238" s="279">
        <v>20.233333333333334</v>
      </c>
      <c r="V238" s="279">
        <v>503.67933333333343</v>
      </c>
    </row>
    <row r="239" spans="1:22">
      <c r="E239" s="286">
        <v>1</v>
      </c>
      <c r="F239" s="283">
        <v>1</v>
      </c>
      <c r="G239" s="287">
        <v>1</v>
      </c>
      <c r="H239" s="284">
        <v>2</v>
      </c>
    </row>
    <row r="245" spans="1:22">
      <c r="A245" s="278">
        <v>29</v>
      </c>
      <c r="B245" s="280" t="s">
        <v>25</v>
      </c>
      <c r="C245" s="278">
        <v>3271</v>
      </c>
      <c r="D245" s="259"/>
      <c r="F245" s="281">
        <v>44629</v>
      </c>
      <c r="G245" s="281">
        <v>44650</v>
      </c>
      <c r="I245" s="279">
        <v>271</v>
      </c>
      <c r="J245" s="279">
        <v>269</v>
      </c>
      <c r="K245" s="279">
        <v>229</v>
      </c>
      <c r="L245" s="279">
        <v>2</v>
      </c>
      <c r="R245" s="279">
        <v>42</v>
      </c>
      <c r="S245" s="279">
        <v>940.83366666666689</v>
      </c>
      <c r="T245" s="279">
        <v>8.7833333333333332</v>
      </c>
      <c r="V245" s="279">
        <v>88.574333333333342</v>
      </c>
    </row>
    <row r="246" spans="1:22">
      <c r="E246" s="286">
        <v>1</v>
      </c>
      <c r="F246" s="283">
        <v>1</v>
      </c>
      <c r="G246" s="287">
        <v>1</v>
      </c>
      <c r="H246" s="284">
        <v>2</v>
      </c>
    </row>
    <row r="252" spans="1:22">
      <c r="A252" s="278">
        <v>30</v>
      </c>
      <c r="B252" s="280" t="s">
        <v>25</v>
      </c>
      <c r="C252" s="278">
        <v>3278</v>
      </c>
      <c r="D252" s="259"/>
      <c r="F252" s="281">
        <v>44630</v>
      </c>
      <c r="G252" s="281">
        <v>44650</v>
      </c>
      <c r="I252" s="279">
        <v>233</v>
      </c>
      <c r="J252" s="279">
        <v>228</v>
      </c>
      <c r="K252" s="279">
        <v>175</v>
      </c>
      <c r="L252" s="279">
        <v>5</v>
      </c>
      <c r="R252" s="279">
        <v>58</v>
      </c>
      <c r="S252" s="279">
        <v>965.00066666666748</v>
      </c>
      <c r="T252" s="279">
        <v>85.766666666666637</v>
      </c>
      <c r="V252" s="279">
        <v>360.53333333333336</v>
      </c>
    </row>
    <row r="253" spans="1:22">
      <c r="E253" s="286">
        <v>1</v>
      </c>
      <c r="F253" s="283">
        <v>1</v>
      </c>
      <c r="G253" s="287">
        <v>1</v>
      </c>
      <c r="H253" s="284">
        <v>2</v>
      </c>
    </row>
    <row r="259" spans="1:22">
      <c r="A259" s="278">
        <v>31</v>
      </c>
      <c r="B259" s="280" t="s">
        <v>25</v>
      </c>
      <c r="C259" s="278">
        <v>3274</v>
      </c>
      <c r="D259" s="259"/>
      <c r="F259" s="281">
        <v>44631</v>
      </c>
      <c r="G259" s="281">
        <v>44649</v>
      </c>
      <c r="I259" s="279">
        <v>114</v>
      </c>
      <c r="J259" s="279">
        <v>99</v>
      </c>
      <c r="K259" s="279">
        <v>66</v>
      </c>
      <c r="L259" s="279">
        <v>15</v>
      </c>
      <c r="R259" s="279">
        <v>48</v>
      </c>
      <c r="S259" s="279">
        <v>698.04200000000014</v>
      </c>
      <c r="T259" s="279">
        <v>36.866666666666667</v>
      </c>
      <c r="V259" s="279">
        <v>241.37899999999999</v>
      </c>
    </row>
    <row r="260" spans="1:22">
      <c r="E260" s="286">
        <v>1</v>
      </c>
      <c r="F260" s="283">
        <v>1</v>
      </c>
      <c r="G260" s="287">
        <v>1</v>
      </c>
      <c r="H260" s="284">
        <v>2</v>
      </c>
    </row>
    <row r="266" spans="1:22">
      <c r="A266" s="278">
        <v>32</v>
      </c>
      <c r="B266" s="280" t="s">
        <v>25</v>
      </c>
      <c r="C266" s="278">
        <v>3277</v>
      </c>
      <c r="D266" s="259"/>
      <c r="F266" s="281">
        <v>44631</v>
      </c>
      <c r="G266" s="281">
        <v>44648</v>
      </c>
      <c r="I266" s="279">
        <v>81</v>
      </c>
      <c r="J266" s="279">
        <v>81</v>
      </c>
      <c r="K266" s="279">
        <v>54</v>
      </c>
      <c r="R266" s="279">
        <v>27</v>
      </c>
      <c r="S266" s="279">
        <v>617.86800000000005</v>
      </c>
      <c r="V266" s="279">
        <v>282.97733333333338</v>
      </c>
    </row>
    <row r="267" spans="1:22">
      <c r="E267" s="286">
        <v>1</v>
      </c>
      <c r="F267" s="283">
        <v>1</v>
      </c>
      <c r="G267" s="287">
        <v>1</v>
      </c>
      <c r="H267" s="284">
        <v>2</v>
      </c>
    </row>
    <row r="273" spans="1:22">
      <c r="A273" s="278">
        <v>33</v>
      </c>
      <c r="B273" s="280" t="s">
        <v>25</v>
      </c>
      <c r="C273" s="278">
        <v>3266</v>
      </c>
      <c r="D273" s="259"/>
      <c r="F273" s="281">
        <v>44634</v>
      </c>
      <c r="G273" s="281">
        <v>44648</v>
      </c>
      <c r="I273" s="279">
        <v>68</v>
      </c>
      <c r="J273" s="279">
        <v>66</v>
      </c>
      <c r="K273" s="279">
        <v>51</v>
      </c>
      <c r="L273" s="279">
        <v>2</v>
      </c>
      <c r="R273" s="279">
        <v>17</v>
      </c>
      <c r="S273" s="279">
        <v>600.54</v>
      </c>
      <c r="T273" s="279">
        <v>10.266666666666666</v>
      </c>
      <c r="V273" s="279">
        <v>115.6</v>
      </c>
    </row>
    <row r="274" spans="1:22">
      <c r="E274" s="286">
        <v>1</v>
      </c>
      <c r="F274" s="283">
        <v>1</v>
      </c>
      <c r="G274" s="287">
        <v>1</v>
      </c>
      <c r="H274" s="284">
        <v>2</v>
      </c>
    </row>
    <row r="280" spans="1:22">
      <c r="A280" s="278">
        <v>34</v>
      </c>
      <c r="B280" s="280" t="s">
        <v>25</v>
      </c>
      <c r="C280" s="278">
        <v>3272</v>
      </c>
      <c r="D280" s="259"/>
      <c r="F280" s="281">
        <v>44634</v>
      </c>
      <c r="G280" s="281">
        <v>44642</v>
      </c>
      <c r="I280" s="279">
        <v>118</v>
      </c>
      <c r="J280" s="279">
        <v>116</v>
      </c>
      <c r="K280" s="279">
        <v>88</v>
      </c>
      <c r="L280" s="279">
        <v>2</v>
      </c>
      <c r="R280" s="279">
        <v>30</v>
      </c>
      <c r="S280" s="279">
        <v>442.08000000000015</v>
      </c>
      <c r="T280" s="279">
        <v>22.1</v>
      </c>
      <c r="V280" s="279">
        <v>131.26666666666668</v>
      </c>
    </row>
    <row r="281" spans="1:22">
      <c r="E281" s="286">
        <v>1</v>
      </c>
      <c r="F281" s="283">
        <v>1</v>
      </c>
      <c r="G281" s="287">
        <v>1</v>
      </c>
      <c r="H281" s="284">
        <v>2</v>
      </c>
    </row>
    <row r="287" spans="1:22">
      <c r="A287" s="278">
        <v>35</v>
      </c>
      <c r="B287" s="280" t="s">
        <v>25</v>
      </c>
      <c r="C287" s="278">
        <v>3270</v>
      </c>
      <c r="D287" s="259"/>
      <c r="F287" s="281">
        <v>44635</v>
      </c>
      <c r="G287" s="281">
        <v>44641</v>
      </c>
      <c r="I287" s="279">
        <v>227</v>
      </c>
      <c r="J287" s="279">
        <v>223</v>
      </c>
      <c r="K287" s="279">
        <v>191</v>
      </c>
      <c r="L287" s="279">
        <v>4</v>
      </c>
      <c r="R287" s="279">
        <v>36</v>
      </c>
      <c r="S287" s="279">
        <v>291.62566666666669</v>
      </c>
      <c r="T287" s="279">
        <v>11.2</v>
      </c>
      <c r="V287" s="279">
        <v>76.840666666666664</v>
      </c>
    </row>
    <row r="288" spans="1:22">
      <c r="E288" s="286">
        <v>1</v>
      </c>
      <c r="F288" s="283">
        <v>1</v>
      </c>
      <c r="G288" s="287">
        <v>1</v>
      </c>
      <c r="H288" s="284">
        <v>2</v>
      </c>
    </row>
    <row r="294" spans="1:23">
      <c r="A294" s="278">
        <v>36</v>
      </c>
      <c r="B294" s="280" t="s">
        <v>25</v>
      </c>
      <c r="C294" s="278">
        <v>3273</v>
      </c>
      <c r="D294" s="259"/>
      <c r="F294" s="281">
        <v>44635</v>
      </c>
      <c r="G294" s="281">
        <v>44641</v>
      </c>
      <c r="I294" s="279">
        <v>103</v>
      </c>
      <c r="J294" s="279">
        <v>96</v>
      </c>
      <c r="K294" s="279">
        <v>70</v>
      </c>
      <c r="L294" s="279">
        <v>7</v>
      </c>
      <c r="R294" s="279">
        <v>33</v>
      </c>
      <c r="S294" s="279">
        <v>170.08699999999996</v>
      </c>
      <c r="T294" s="279">
        <v>8.65</v>
      </c>
      <c r="V294" s="279">
        <v>26.77</v>
      </c>
    </row>
    <row r="295" spans="1:23">
      <c r="E295" s="286">
        <v>1</v>
      </c>
      <c r="F295" s="283">
        <v>1</v>
      </c>
      <c r="G295" s="287">
        <v>1</v>
      </c>
      <c r="H295" s="284">
        <v>2</v>
      </c>
    </row>
    <row r="301" spans="1:23">
      <c r="A301" s="278">
        <v>37</v>
      </c>
      <c r="B301" s="280" t="s">
        <v>38</v>
      </c>
      <c r="C301" s="278">
        <v>3359</v>
      </c>
      <c r="D301" s="259"/>
      <c r="F301" s="281">
        <v>44635</v>
      </c>
      <c r="G301" s="281">
        <v>44666</v>
      </c>
      <c r="I301" s="279">
        <v>203</v>
      </c>
      <c r="J301" s="279">
        <v>40</v>
      </c>
      <c r="K301" s="279">
        <v>2</v>
      </c>
      <c r="L301" s="279">
        <v>163</v>
      </c>
      <c r="M301" s="279">
        <v>130</v>
      </c>
      <c r="R301" s="279">
        <v>201</v>
      </c>
      <c r="S301" s="279">
        <v>873.23749999999961</v>
      </c>
      <c r="T301" s="279">
        <v>784.3274999999993</v>
      </c>
      <c r="U301" s="279">
        <v>537.10383333333255</v>
      </c>
      <c r="V301" s="279">
        <v>853.36249999999961</v>
      </c>
      <c r="W301" s="285" t="s">
        <v>4993</v>
      </c>
    </row>
    <row r="302" spans="1:23">
      <c r="E302" s="286">
        <v>1</v>
      </c>
      <c r="F302" s="283">
        <v>1</v>
      </c>
      <c r="G302" s="287">
        <v>1</v>
      </c>
      <c r="H302" s="284">
        <v>2</v>
      </c>
    </row>
    <row r="308" spans="1:23">
      <c r="A308" s="278">
        <v>38</v>
      </c>
      <c r="B308" s="288" t="s">
        <v>34</v>
      </c>
      <c r="C308" s="278">
        <v>3559</v>
      </c>
      <c r="D308" s="259"/>
      <c r="F308" s="281">
        <v>44636</v>
      </c>
      <c r="G308" s="281">
        <v>44651</v>
      </c>
      <c r="I308" s="279">
        <v>48</v>
      </c>
      <c r="J308" s="279">
        <v>47</v>
      </c>
      <c r="K308" s="279">
        <v>38</v>
      </c>
      <c r="L308" s="279">
        <v>1</v>
      </c>
      <c r="R308" s="279">
        <v>10</v>
      </c>
      <c r="S308" s="279">
        <v>160.15833333333325</v>
      </c>
      <c r="T308" s="279">
        <v>8.0500000000000007</v>
      </c>
      <c r="V308" s="279">
        <v>15.916666666666664</v>
      </c>
    </row>
    <row r="309" spans="1:23">
      <c r="E309" s="282">
        <v>0</v>
      </c>
      <c r="F309" s="283">
        <v>1</v>
      </c>
      <c r="G309" s="284">
        <v>0</v>
      </c>
      <c r="H309" s="290">
        <v>1</v>
      </c>
    </row>
    <row r="315" spans="1:23">
      <c r="A315" s="278">
        <v>39</v>
      </c>
      <c r="B315" s="280" t="s">
        <v>147</v>
      </c>
      <c r="C315" s="278">
        <v>3001</v>
      </c>
      <c r="D315" s="259"/>
      <c r="F315" s="281">
        <v>44652</v>
      </c>
      <c r="G315" s="281">
        <v>44652</v>
      </c>
      <c r="I315" s="279">
        <v>145</v>
      </c>
      <c r="L315" s="279">
        <v>145</v>
      </c>
      <c r="M315" s="279">
        <v>123</v>
      </c>
      <c r="R315" s="279">
        <v>145</v>
      </c>
      <c r="S315" s="279">
        <v>361.46100000000001</v>
      </c>
      <c r="T315" s="279">
        <v>361.4609999999999</v>
      </c>
      <c r="U315" s="279">
        <v>262.32999999999993</v>
      </c>
      <c r="V315" s="279">
        <v>361.46099999999967</v>
      </c>
      <c r="W315" s="285" t="s">
        <v>5083</v>
      </c>
    </row>
    <row r="316" spans="1:23">
      <c r="E316" s="282">
        <v>0</v>
      </c>
      <c r="F316" s="282">
        <v>0</v>
      </c>
      <c r="G316" s="284">
        <v>0</v>
      </c>
      <c r="H316" s="290">
        <v>1</v>
      </c>
    </row>
    <row r="322" spans="1:23">
      <c r="A322" s="278">
        <v>40</v>
      </c>
      <c r="B322" s="280" t="s">
        <v>147</v>
      </c>
      <c r="C322" s="278">
        <v>3004</v>
      </c>
      <c r="D322" s="259"/>
      <c r="F322" s="281">
        <v>44652</v>
      </c>
      <c r="G322" s="281">
        <v>44652</v>
      </c>
      <c r="I322" s="279">
        <v>39</v>
      </c>
      <c r="L322" s="279">
        <v>39</v>
      </c>
      <c r="M322" s="279">
        <v>33</v>
      </c>
      <c r="R322" s="279">
        <v>39</v>
      </c>
      <c r="S322" s="279">
        <v>270.92300000000012</v>
      </c>
      <c r="T322" s="279">
        <v>270.92300000000017</v>
      </c>
      <c r="U322" s="279">
        <v>206.83966666666686</v>
      </c>
      <c r="V322" s="279">
        <v>270.923</v>
      </c>
      <c r="W322" s="285" t="s">
        <v>5083</v>
      </c>
    </row>
    <row r="323" spans="1:23">
      <c r="E323" s="282">
        <v>0</v>
      </c>
      <c r="F323" s="282">
        <v>0</v>
      </c>
      <c r="G323" s="284">
        <v>0</v>
      </c>
      <c r="H323" s="284">
        <v>2</v>
      </c>
    </row>
    <row r="329" spans="1:23">
      <c r="A329" s="278">
        <v>41</v>
      </c>
      <c r="B329" s="280" t="s">
        <v>147</v>
      </c>
      <c r="C329" s="278">
        <v>3005</v>
      </c>
      <c r="D329" s="259"/>
      <c r="F329" s="281">
        <v>44652</v>
      </c>
      <c r="G329" s="281">
        <v>44652</v>
      </c>
      <c r="I329" s="279">
        <v>21</v>
      </c>
      <c r="L329" s="279">
        <v>21</v>
      </c>
      <c r="M329" s="279">
        <v>17</v>
      </c>
      <c r="R329" s="279">
        <v>21</v>
      </c>
      <c r="S329" s="279">
        <v>46.683000000000014</v>
      </c>
      <c r="T329" s="279">
        <v>46.683</v>
      </c>
      <c r="U329" s="279">
        <v>27.332999999999984</v>
      </c>
      <c r="V329" s="279">
        <v>46.683</v>
      </c>
      <c r="W329" s="285" t="s">
        <v>5083</v>
      </c>
    </row>
    <row r="330" spans="1:23">
      <c r="E330" s="282">
        <v>0</v>
      </c>
      <c r="F330" s="282">
        <v>0</v>
      </c>
      <c r="G330" s="284">
        <v>0</v>
      </c>
      <c r="H330" s="284">
        <v>2</v>
      </c>
    </row>
    <row r="336" spans="1:23">
      <c r="A336" s="278">
        <v>42</v>
      </c>
      <c r="B336" s="280" t="s">
        <v>147</v>
      </c>
      <c r="C336" s="278">
        <v>3006</v>
      </c>
      <c r="D336" s="259"/>
      <c r="F336" s="281">
        <v>44652</v>
      </c>
      <c r="G336" s="281">
        <v>44652</v>
      </c>
      <c r="I336" s="279">
        <v>128</v>
      </c>
      <c r="L336" s="279">
        <v>128</v>
      </c>
      <c r="M336" s="279">
        <v>118</v>
      </c>
      <c r="R336" s="279">
        <v>128</v>
      </c>
      <c r="S336" s="279">
        <v>274.30866666666668</v>
      </c>
      <c r="T336" s="279">
        <v>274.30866666666617</v>
      </c>
      <c r="U336" s="279">
        <v>258.57533333333288</v>
      </c>
      <c r="V336" s="279">
        <v>274.30866666666668</v>
      </c>
      <c r="W336" s="285" t="s">
        <v>5083</v>
      </c>
    </row>
    <row r="337" spans="1:23">
      <c r="E337" s="282">
        <v>0</v>
      </c>
      <c r="F337" s="282">
        <v>0</v>
      </c>
      <c r="G337" s="284">
        <v>0</v>
      </c>
      <c r="H337" s="290">
        <v>1</v>
      </c>
    </row>
    <row r="343" spans="1:23">
      <c r="A343" s="278">
        <v>43</v>
      </c>
      <c r="B343" s="280" t="s">
        <v>147</v>
      </c>
      <c r="C343" s="278">
        <v>3007</v>
      </c>
      <c r="D343" s="259"/>
      <c r="F343" s="281">
        <v>44652</v>
      </c>
      <c r="G343" s="281">
        <v>44652</v>
      </c>
      <c r="I343" s="279">
        <v>31</v>
      </c>
      <c r="L343" s="279">
        <v>31</v>
      </c>
      <c r="M343" s="279">
        <v>23</v>
      </c>
      <c r="R343" s="279">
        <v>31</v>
      </c>
      <c r="S343" s="279">
        <v>62.4866666666667</v>
      </c>
      <c r="T343" s="279">
        <v>62.486666666666686</v>
      </c>
      <c r="U343" s="279">
        <v>32.686666666666682</v>
      </c>
      <c r="V343" s="279">
        <v>62.486666666666721</v>
      </c>
      <c r="W343" s="285" t="s">
        <v>5083</v>
      </c>
    </row>
    <row r="344" spans="1:23">
      <c r="E344" s="282">
        <v>0</v>
      </c>
      <c r="F344" s="282">
        <v>0</v>
      </c>
      <c r="G344" s="284">
        <v>0</v>
      </c>
      <c r="H344" s="284">
        <v>2</v>
      </c>
    </row>
    <row r="350" spans="1:23">
      <c r="A350" s="278">
        <v>44</v>
      </c>
      <c r="B350" s="280" t="s">
        <v>147</v>
      </c>
      <c r="C350" s="278">
        <v>3008</v>
      </c>
      <c r="D350" s="259"/>
      <c r="F350" s="281">
        <v>44652</v>
      </c>
      <c r="G350" s="281">
        <v>44652</v>
      </c>
      <c r="I350" s="279">
        <v>9</v>
      </c>
      <c r="L350" s="279">
        <v>9</v>
      </c>
      <c r="M350" s="279">
        <v>5</v>
      </c>
      <c r="R350" s="279">
        <v>9</v>
      </c>
      <c r="S350" s="279">
        <v>24.731333333333328</v>
      </c>
      <c r="T350" s="279">
        <v>24.731333333333325</v>
      </c>
      <c r="U350" s="279">
        <v>19.264666666666663</v>
      </c>
      <c r="V350" s="279">
        <v>24.731333333333328</v>
      </c>
      <c r="W350" s="285" t="s">
        <v>5083</v>
      </c>
    </row>
    <row r="351" spans="1:23">
      <c r="E351" s="282">
        <v>0</v>
      </c>
      <c r="F351" s="282">
        <v>0</v>
      </c>
      <c r="G351" s="284">
        <v>0</v>
      </c>
      <c r="H351" s="284">
        <v>2</v>
      </c>
    </row>
    <row r="357" spans="1:23">
      <c r="A357" s="278">
        <v>45</v>
      </c>
      <c r="B357" s="280" t="s">
        <v>147</v>
      </c>
      <c r="C357" s="278">
        <v>3009</v>
      </c>
      <c r="D357" s="259"/>
      <c r="F357" s="281">
        <v>44652</v>
      </c>
      <c r="G357" s="281">
        <v>44652</v>
      </c>
      <c r="I357" s="279">
        <v>9</v>
      </c>
      <c r="L357" s="279">
        <v>9</v>
      </c>
      <c r="M357" s="279">
        <v>9</v>
      </c>
      <c r="R357" s="279">
        <v>9</v>
      </c>
      <c r="S357" s="279">
        <v>12.382333333333333</v>
      </c>
      <c r="T357" s="279">
        <v>12.382333333333339</v>
      </c>
      <c r="U357" s="279">
        <v>12.382333333333335</v>
      </c>
      <c r="V357" s="279">
        <v>12.382333333333335</v>
      </c>
      <c r="W357" s="285" t="s">
        <v>5083</v>
      </c>
    </row>
    <row r="358" spans="1:23">
      <c r="E358" s="282">
        <v>0</v>
      </c>
      <c r="F358" s="282">
        <v>0</v>
      </c>
      <c r="G358" s="284">
        <v>0</v>
      </c>
      <c r="H358" s="290">
        <v>1</v>
      </c>
    </row>
    <row r="364" spans="1:23">
      <c r="A364" s="278">
        <v>46</v>
      </c>
      <c r="B364" s="280" t="s">
        <v>147</v>
      </c>
      <c r="C364" s="278">
        <v>3010</v>
      </c>
      <c r="D364" s="259"/>
      <c r="F364" s="281">
        <v>44652</v>
      </c>
      <c r="G364" s="281">
        <v>44652</v>
      </c>
      <c r="I364" s="279">
        <v>37</v>
      </c>
      <c r="L364" s="279">
        <v>37</v>
      </c>
      <c r="M364" s="279">
        <v>31</v>
      </c>
      <c r="R364" s="279">
        <v>37</v>
      </c>
      <c r="S364" s="279">
        <v>64.139999999999986</v>
      </c>
      <c r="T364" s="279">
        <v>64.14</v>
      </c>
      <c r="U364" s="279">
        <v>36.406666666666666</v>
      </c>
      <c r="V364" s="279">
        <v>64.14</v>
      </c>
      <c r="W364" s="285" t="s">
        <v>5083</v>
      </c>
    </row>
    <row r="365" spans="1:23">
      <c r="E365" s="282">
        <v>0</v>
      </c>
      <c r="F365" s="282">
        <v>0</v>
      </c>
      <c r="G365" s="284">
        <v>0</v>
      </c>
      <c r="H365" s="284">
        <v>2</v>
      </c>
    </row>
    <row r="371" spans="1:23">
      <c r="A371" s="278">
        <v>47</v>
      </c>
      <c r="B371" s="280" t="s">
        <v>147</v>
      </c>
      <c r="C371" s="278">
        <v>3011</v>
      </c>
      <c r="D371" s="259"/>
      <c r="F371" s="281">
        <v>44652</v>
      </c>
      <c r="G371" s="281">
        <v>44652</v>
      </c>
      <c r="I371" s="279">
        <v>33</v>
      </c>
      <c r="L371" s="279">
        <v>33</v>
      </c>
      <c r="M371" s="279">
        <v>29</v>
      </c>
      <c r="R371" s="279">
        <v>33</v>
      </c>
      <c r="S371" s="279">
        <v>98.76400000000001</v>
      </c>
      <c r="T371" s="279">
        <v>98.763999999999982</v>
      </c>
      <c r="U371" s="279">
        <v>73.280666666666662</v>
      </c>
      <c r="V371" s="279">
        <v>98.764000000000038</v>
      </c>
      <c r="W371" s="285" t="s">
        <v>5083</v>
      </c>
    </row>
    <row r="372" spans="1:23">
      <c r="E372" s="282">
        <v>0</v>
      </c>
      <c r="F372" s="282">
        <v>0</v>
      </c>
      <c r="G372" s="284">
        <v>0</v>
      </c>
      <c r="H372" s="284">
        <v>2</v>
      </c>
    </row>
    <row r="378" spans="1:23">
      <c r="A378" s="278">
        <v>48</v>
      </c>
      <c r="B378" s="280" t="s">
        <v>46</v>
      </c>
      <c r="C378" s="278">
        <v>3012</v>
      </c>
      <c r="D378" s="259"/>
      <c r="F378" s="281">
        <v>44652</v>
      </c>
      <c r="G378" s="281">
        <v>44652</v>
      </c>
      <c r="I378" s="279">
        <v>39</v>
      </c>
      <c r="L378" s="279">
        <v>39</v>
      </c>
      <c r="M378" s="279">
        <v>33</v>
      </c>
      <c r="R378" s="279">
        <v>39</v>
      </c>
      <c r="S378" s="279">
        <v>948.23049999999955</v>
      </c>
      <c r="T378" s="279">
        <v>948.23050000000012</v>
      </c>
      <c r="U378" s="279">
        <v>723.9388333333336</v>
      </c>
      <c r="V378" s="279">
        <v>948.23049999999989</v>
      </c>
    </row>
    <row r="379" spans="1:23">
      <c r="E379" s="282">
        <v>0</v>
      </c>
      <c r="F379" s="282">
        <v>0</v>
      </c>
      <c r="G379" s="284">
        <v>0</v>
      </c>
      <c r="H379" s="284">
        <v>2</v>
      </c>
    </row>
    <row r="385" spans="1:22">
      <c r="A385" s="278">
        <v>49</v>
      </c>
      <c r="B385" s="280" t="s">
        <v>46</v>
      </c>
      <c r="C385" s="278">
        <v>3013</v>
      </c>
      <c r="D385" s="259"/>
      <c r="F385" s="281">
        <v>44652</v>
      </c>
      <c r="G385" s="281">
        <v>44652</v>
      </c>
      <c r="I385" s="279">
        <v>128</v>
      </c>
      <c r="L385" s="279">
        <v>128</v>
      </c>
      <c r="M385" s="279">
        <v>118</v>
      </c>
      <c r="R385" s="279">
        <v>128</v>
      </c>
      <c r="S385" s="279">
        <v>960.08033333333367</v>
      </c>
      <c r="T385" s="279">
        <v>960.08033333333401</v>
      </c>
      <c r="U385" s="279">
        <v>905.01366666666729</v>
      </c>
      <c r="V385" s="279">
        <v>960.08033333333378</v>
      </c>
    </row>
    <row r="386" spans="1:22">
      <c r="E386" s="282">
        <v>0</v>
      </c>
      <c r="F386" s="282">
        <v>0</v>
      </c>
      <c r="G386" s="284">
        <v>0</v>
      </c>
      <c r="H386" s="284">
        <v>2</v>
      </c>
    </row>
    <row r="392" spans="1:22">
      <c r="A392" s="278">
        <v>50</v>
      </c>
      <c r="B392" s="280" t="s">
        <v>40</v>
      </c>
      <c r="C392" s="278">
        <v>3284</v>
      </c>
      <c r="D392" s="259"/>
      <c r="F392" s="281">
        <v>44652</v>
      </c>
      <c r="G392" s="281">
        <v>44652</v>
      </c>
      <c r="I392" s="279">
        <v>400</v>
      </c>
      <c r="J392" s="279">
        <v>382</v>
      </c>
      <c r="K392" s="279">
        <v>282</v>
      </c>
      <c r="L392" s="279">
        <v>18</v>
      </c>
      <c r="R392" s="279">
        <v>118</v>
      </c>
      <c r="S392" s="279">
        <v>2509.3061333333389</v>
      </c>
      <c r="T392" s="279">
        <v>285.60000000000002</v>
      </c>
      <c r="V392" s="279">
        <v>1237.2440000000004</v>
      </c>
    </row>
    <row r="393" spans="1:22">
      <c r="E393" s="286">
        <v>1</v>
      </c>
      <c r="F393" s="283">
        <v>1</v>
      </c>
      <c r="G393" s="287">
        <v>1</v>
      </c>
      <c r="H393" s="284">
        <v>2</v>
      </c>
    </row>
    <row r="399" spans="1:22">
      <c r="A399" s="278">
        <v>51</v>
      </c>
      <c r="B399" s="280" t="s">
        <v>40</v>
      </c>
      <c r="C399" s="278">
        <v>3286</v>
      </c>
      <c r="D399" s="259"/>
      <c r="F399" s="281">
        <v>44652</v>
      </c>
      <c r="G399" s="281">
        <v>44652</v>
      </c>
      <c r="I399" s="279">
        <v>400</v>
      </c>
      <c r="J399" s="279">
        <v>382</v>
      </c>
      <c r="K399" s="279">
        <v>283</v>
      </c>
      <c r="L399" s="279">
        <v>18</v>
      </c>
      <c r="R399" s="279">
        <v>117</v>
      </c>
      <c r="S399" s="279">
        <v>2501.7894666666698</v>
      </c>
      <c r="T399" s="279">
        <v>285.59999999999997</v>
      </c>
      <c r="V399" s="279">
        <v>1237.2440000000001</v>
      </c>
    </row>
    <row r="400" spans="1:22">
      <c r="E400" s="286">
        <v>1</v>
      </c>
      <c r="F400" s="283">
        <v>1</v>
      </c>
      <c r="G400" s="287">
        <v>1</v>
      </c>
      <c r="H400" s="284">
        <v>2</v>
      </c>
    </row>
    <row r="406" spans="1:23">
      <c r="A406" s="278">
        <v>52</v>
      </c>
      <c r="B406" s="280" t="s">
        <v>142</v>
      </c>
      <c r="C406" s="278">
        <v>3311</v>
      </c>
      <c r="D406" s="259"/>
      <c r="F406" s="281">
        <v>44652</v>
      </c>
      <c r="G406" s="281">
        <v>44652</v>
      </c>
      <c r="I406" s="279">
        <v>61</v>
      </c>
      <c r="L406" s="279">
        <v>61</v>
      </c>
      <c r="M406" s="279">
        <v>60</v>
      </c>
      <c r="R406" s="279">
        <v>61</v>
      </c>
      <c r="S406" s="279">
        <v>583.32083333333298</v>
      </c>
      <c r="T406" s="279">
        <v>583.32083333333321</v>
      </c>
      <c r="U406" s="279">
        <v>582.40416666666647</v>
      </c>
      <c r="V406" s="279">
        <v>583.32083333333333</v>
      </c>
      <c r="W406" s="285" t="s">
        <v>124</v>
      </c>
    </row>
    <row r="407" spans="1:23">
      <c r="E407" s="282">
        <v>0</v>
      </c>
      <c r="F407" s="282">
        <v>0</v>
      </c>
      <c r="G407" s="284">
        <v>0</v>
      </c>
      <c r="H407" s="284">
        <v>2</v>
      </c>
    </row>
    <row r="413" spans="1:23">
      <c r="A413" s="278">
        <v>53</v>
      </c>
      <c r="B413" s="288" t="s">
        <v>34</v>
      </c>
      <c r="C413" s="278">
        <v>3316</v>
      </c>
      <c r="D413" s="259"/>
      <c r="F413" s="281">
        <v>44652</v>
      </c>
      <c r="G413" s="281">
        <v>44652</v>
      </c>
      <c r="I413" s="279">
        <v>421</v>
      </c>
      <c r="L413" s="279">
        <v>421</v>
      </c>
      <c r="M413" s="279">
        <v>372</v>
      </c>
      <c r="R413" s="279">
        <v>421</v>
      </c>
      <c r="S413" s="279">
        <v>1220.405000000002</v>
      </c>
      <c r="T413" s="279">
        <v>1220.4050000000018</v>
      </c>
      <c r="U413" s="279">
        <v>1117.1216666666683</v>
      </c>
      <c r="V413" s="279">
        <v>1220.4050000000011</v>
      </c>
    </row>
    <row r="414" spans="1:23">
      <c r="E414" s="282">
        <v>0</v>
      </c>
      <c r="F414" s="282">
        <v>0</v>
      </c>
      <c r="G414" s="284">
        <v>0</v>
      </c>
      <c r="H414" s="284">
        <v>2</v>
      </c>
    </row>
    <row r="420" spans="1:23">
      <c r="A420" s="278">
        <v>54</v>
      </c>
      <c r="B420" s="280" t="s">
        <v>125</v>
      </c>
      <c r="C420" s="278">
        <v>3325</v>
      </c>
      <c r="D420" s="259"/>
      <c r="F420" s="281">
        <v>44652</v>
      </c>
      <c r="G420" s="281">
        <v>44652</v>
      </c>
      <c r="I420" s="279">
        <v>27</v>
      </c>
      <c r="J420" s="279">
        <v>17</v>
      </c>
      <c r="K420" s="279">
        <v>2</v>
      </c>
      <c r="L420" s="279">
        <v>10</v>
      </c>
      <c r="R420" s="279">
        <v>25</v>
      </c>
      <c r="S420" s="279">
        <v>2141.666666666667</v>
      </c>
      <c r="T420" s="279">
        <v>233.33333333333331</v>
      </c>
      <c r="V420" s="279">
        <v>1913.333333333333</v>
      </c>
      <c r="W420" s="285" t="s">
        <v>126</v>
      </c>
    </row>
    <row r="421" spans="1:23">
      <c r="E421" s="286">
        <v>1</v>
      </c>
      <c r="F421" s="283">
        <v>1</v>
      </c>
      <c r="G421" s="284">
        <v>0</v>
      </c>
      <c r="H421" s="284">
        <v>2</v>
      </c>
    </row>
    <row r="427" spans="1:23">
      <c r="A427" s="278">
        <v>55</v>
      </c>
      <c r="B427" s="280" t="s">
        <v>125</v>
      </c>
      <c r="C427" s="278">
        <v>3326</v>
      </c>
      <c r="D427" s="259"/>
      <c r="F427" s="281">
        <v>44652</v>
      </c>
      <c r="G427" s="281">
        <v>44652</v>
      </c>
      <c r="I427" s="279">
        <v>27</v>
      </c>
      <c r="L427" s="279">
        <v>27</v>
      </c>
      <c r="M427" s="279">
        <v>17</v>
      </c>
      <c r="R427" s="279">
        <v>27</v>
      </c>
      <c r="S427" s="279">
        <v>2141.6666666666665</v>
      </c>
      <c r="T427" s="279">
        <v>2141.6666666666665</v>
      </c>
      <c r="U427" s="279">
        <v>1908.333333333333</v>
      </c>
      <c r="V427" s="279">
        <v>2141.6666666666679</v>
      </c>
      <c r="W427" s="285" t="s">
        <v>128</v>
      </c>
    </row>
    <row r="428" spans="1:23">
      <c r="E428" s="282">
        <v>0</v>
      </c>
      <c r="F428" s="282">
        <v>0</v>
      </c>
      <c r="G428" s="284">
        <v>0</v>
      </c>
      <c r="H428" s="284">
        <v>2</v>
      </c>
    </row>
    <row r="434" spans="1:23">
      <c r="A434" s="278">
        <v>56</v>
      </c>
      <c r="B434" s="280" t="s">
        <v>125</v>
      </c>
      <c r="C434" s="278">
        <v>3327</v>
      </c>
      <c r="D434" s="259"/>
      <c r="F434" s="281">
        <v>44652</v>
      </c>
      <c r="G434" s="281">
        <v>44652</v>
      </c>
      <c r="I434" s="279">
        <v>27</v>
      </c>
      <c r="J434" s="279">
        <v>6</v>
      </c>
      <c r="L434" s="279">
        <v>21</v>
      </c>
      <c r="M434" s="279">
        <v>11</v>
      </c>
      <c r="R434" s="279">
        <v>27</v>
      </c>
      <c r="S434" s="279">
        <v>2741.333333333333</v>
      </c>
      <c r="T434" s="279">
        <v>1452.7999999999997</v>
      </c>
      <c r="U434" s="279">
        <v>1154.133333333333</v>
      </c>
      <c r="V434" s="279">
        <v>2692.2666666666655</v>
      </c>
      <c r="W434" s="285" t="s">
        <v>130</v>
      </c>
    </row>
    <row r="435" spans="1:23">
      <c r="E435" s="286">
        <v>1</v>
      </c>
      <c r="F435" s="283">
        <v>1</v>
      </c>
      <c r="G435" s="287">
        <v>1</v>
      </c>
      <c r="H435" s="284">
        <v>2</v>
      </c>
    </row>
    <row r="441" spans="1:23">
      <c r="A441" s="278">
        <v>57</v>
      </c>
      <c r="B441" s="280" t="s">
        <v>125</v>
      </c>
      <c r="C441" s="278">
        <v>3329</v>
      </c>
      <c r="D441" s="259"/>
      <c r="F441" s="281">
        <v>44652</v>
      </c>
      <c r="G441" s="281">
        <v>44652</v>
      </c>
      <c r="I441" s="279">
        <v>7</v>
      </c>
      <c r="J441" s="279">
        <v>7</v>
      </c>
      <c r="K441" s="279">
        <v>5</v>
      </c>
      <c r="R441" s="279">
        <v>2</v>
      </c>
      <c r="S441" s="279">
        <v>690.83333333333348</v>
      </c>
      <c r="V441" s="279">
        <v>197.91666666666669</v>
      </c>
      <c r="W441" s="285" t="s">
        <v>126</v>
      </c>
    </row>
    <row r="442" spans="1:23">
      <c r="E442" s="286">
        <v>1</v>
      </c>
      <c r="F442" s="283">
        <v>1</v>
      </c>
      <c r="G442" s="284">
        <v>0</v>
      </c>
      <c r="H442" s="284">
        <v>2</v>
      </c>
    </row>
    <row r="448" spans="1:23">
      <c r="A448" s="278">
        <v>58</v>
      </c>
      <c r="B448" s="280" t="s">
        <v>125</v>
      </c>
      <c r="C448" s="278">
        <v>3330</v>
      </c>
      <c r="D448" s="259"/>
      <c r="F448" s="281">
        <v>44652</v>
      </c>
      <c r="G448" s="281">
        <v>44652</v>
      </c>
      <c r="I448" s="279">
        <v>7</v>
      </c>
      <c r="J448" s="279">
        <v>3</v>
      </c>
      <c r="L448" s="279">
        <v>4</v>
      </c>
      <c r="M448" s="279">
        <v>2</v>
      </c>
      <c r="R448" s="279">
        <v>7</v>
      </c>
      <c r="S448" s="279">
        <v>690.83333333333326</v>
      </c>
      <c r="T448" s="279">
        <v>435.83333333333337</v>
      </c>
      <c r="U448" s="279">
        <v>394.16666666666674</v>
      </c>
      <c r="V448" s="279">
        <v>681.66666666666652</v>
      </c>
      <c r="W448" s="285" t="s">
        <v>128</v>
      </c>
    </row>
    <row r="449" spans="1:23">
      <c r="E449" s="286">
        <v>1</v>
      </c>
      <c r="F449" s="283">
        <v>1</v>
      </c>
      <c r="G449" s="287">
        <v>1</v>
      </c>
      <c r="H449" s="284">
        <v>2</v>
      </c>
    </row>
    <row r="455" spans="1:23">
      <c r="A455" s="278">
        <v>59</v>
      </c>
      <c r="B455" s="280" t="s">
        <v>125</v>
      </c>
      <c r="C455" s="278">
        <v>3331</v>
      </c>
      <c r="D455" s="259"/>
      <c r="F455" s="281">
        <v>44652</v>
      </c>
      <c r="G455" s="281">
        <v>44652</v>
      </c>
      <c r="I455" s="279">
        <v>7</v>
      </c>
      <c r="J455" s="279">
        <v>3</v>
      </c>
      <c r="L455" s="279">
        <v>4</v>
      </c>
      <c r="M455" s="279">
        <v>2</v>
      </c>
      <c r="R455" s="279">
        <v>7</v>
      </c>
      <c r="S455" s="279">
        <v>884.26666666666677</v>
      </c>
      <c r="T455" s="279">
        <v>557.86666666666667</v>
      </c>
      <c r="U455" s="279">
        <v>504.5333333333333</v>
      </c>
      <c r="V455" s="279">
        <v>872.5333333333333</v>
      </c>
      <c r="W455" s="285" t="s">
        <v>130</v>
      </c>
    </row>
    <row r="456" spans="1:23">
      <c r="E456" s="286">
        <v>1</v>
      </c>
      <c r="F456" s="283">
        <v>1</v>
      </c>
      <c r="G456" s="284">
        <v>0</v>
      </c>
      <c r="H456" s="284">
        <v>2</v>
      </c>
    </row>
    <row r="462" spans="1:23">
      <c r="A462" s="278">
        <v>60</v>
      </c>
      <c r="B462" s="280" t="s">
        <v>125</v>
      </c>
      <c r="C462" s="278">
        <v>3334</v>
      </c>
      <c r="D462" s="259"/>
      <c r="F462" s="281">
        <v>44652</v>
      </c>
      <c r="G462" s="281">
        <v>44652</v>
      </c>
      <c r="I462" s="279">
        <v>70</v>
      </c>
      <c r="J462" s="279">
        <v>70</v>
      </c>
      <c r="K462" s="279">
        <v>67</v>
      </c>
      <c r="R462" s="279">
        <v>3</v>
      </c>
      <c r="S462" s="279">
        <v>1527.663333333332</v>
      </c>
      <c r="V462" s="279">
        <v>410.16666666666674</v>
      </c>
      <c r="W462" s="285" t="s">
        <v>126</v>
      </c>
    </row>
    <row r="463" spans="1:23">
      <c r="E463" s="286">
        <v>1</v>
      </c>
      <c r="F463" s="283">
        <v>1</v>
      </c>
      <c r="G463" s="284">
        <v>0</v>
      </c>
      <c r="H463" s="284">
        <v>2</v>
      </c>
    </row>
    <row r="469" spans="1:22">
      <c r="A469" s="278">
        <v>61</v>
      </c>
      <c r="B469" s="280" t="s">
        <v>125</v>
      </c>
      <c r="C469" s="278">
        <v>3339</v>
      </c>
      <c r="D469" s="259"/>
      <c r="F469" s="281">
        <v>44652</v>
      </c>
      <c r="G469" s="281">
        <v>44652</v>
      </c>
      <c r="I469" s="279">
        <v>33</v>
      </c>
      <c r="J469" s="279">
        <v>30</v>
      </c>
      <c r="K469" s="279">
        <v>27</v>
      </c>
      <c r="L469" s="279">
        <v>3</v>
      </c>
      <c r="R469" s="279">
        <v>6</v>
      </c>
      <c r="S469" s="279">
        <v>812.66666666666595</v>
      </c>
      <c r="T469" s="279">
        <v>49.166666666666657</v>
      </c>
      <c r="V469" s="279">
        <v>211.66666666666663</v>
      </c>
    </row>
    <row r="470" spans="1:22">
      <c r="E470" s="282">
        <v>0</v>
      </c>
      <c r="F470" s="283">
        <v>1</v>
      </c>
      <c r="G470" s="284">
        <v>0</v>
      </c>
      <c r="H470" s="284">
        <v>2</v>
      </c>
    </row>
    <row r="476" spans="1:22">
      <c r="A476" s="278">
        <v>62</v>
      </c>
      <c r="B476" s="280" t="s">
        <v>125</v>
      </c>
      <c r="C476" s="278">
        <v>3340</v>
      </c>
      <c r="D476" s="259"/>
      <c r="F476" s="281">
        <v>44652</v>
      </c>
      <c r="G476" s="281">
        <v>44652</v>
      </c>
      <c r="I476" s="279">
        <v>33</v>
      </c>
      <c r="J476" s="279">
        <v>30</v>
      </c>
      <c r="K476" s="279">
        <v>27</v>
      </c>
      <c r="L476" s="279">
        <v>3</v>
      </c>
      <c r="R476" s="279">
        <v>6</v>
      </c>
      <c r="S476" s="279">
        <v>1039.5133333333335</v>
      </c>
      <c r="T476" s="279">
        <v>62.933333333333337</v>
      </c>
      <c r="V476" s="279">
        <v>270.93333333333334</v>
      </c>
    </row>
    <row r="477" spans="1:22">
      <c r="E477" s="282">
        <v>0</v>
      </c>
      <c r="F477" s="283">
        <v>1</v>
      </c>
      <c r="G477" s="284">
        <v>0</v>
      </c>
      <c r="H477" s="284">
        <v>2</v>
      </c>
    </row>
    <row r="483" spans="1:22">
      <c r="A483" s="278">
        <v>63</v>
      </c>
      <c r="B483" s="280" t="s">
        <v>125</v>
      </c>
      <c r="C483" s="278">
        <v>3342</v>
      </c>
      <c r="D483" s="259"/>
      <c r="F483" s="281">
        <v>44652</v>
      </c>
      <c r="G483" s="281">
        <v>44652</v>
      </c>
      <c r="I483" s="279">
        <v>45</v>
      </c>
      <c r="J483" s="279">
        <v>45</v>
      </c>
      <c r="K483" s="279">
        <v>39</v>
      </c>
      <c r="R483" s="279">
        <v>6</v>
      </c>
      <c r="S483" s="279">
        <v>1411.9898333333329</v>
      </c>
      <c r="V483" s="279">
        <v>304.95000000000005</v>
      </c>
    </row>
    <row r="484" spans="1:22">
      <c r="E484" s="286">
        <v>1</v>
      </c>
      <c r="F484" s="283">
        <v>1</v>
      </c>
      <c r="G484" s="287">
        <v>1</v>
      </c>
      <c r="H484" s="284">
        <v>2</v>
      </c>
    </row>
    <row r="490" spans="1:22">
      <c r="A490" s="278">
        <v>64</v>
      </c>
      <c r="B490" s="280" t="s">
        <v>79</v>
      </c>
      <c r="C490" s="278">
        <v>3351</v>
      </c>
      <c r="D490" s="259"/>
      <c r="F490" s="281">
        <v>44652</v>
      </c>
      <c r="G490" s="281">
        <v>44652</v>
      </c>
      <c r="I490" s="279">
        <v>118</v>
      </c>
      <c r="J490" s="279">
        <v>114</v>
      </c>
      <c r="K490" s="279">
        <v>90</v>
      </c>
      <c r="L490" s="279">
        <v>4</v>
      </c>
      <c r="R490" s="279">
        <v>28</v>
      </c>
      <c r="S490" s="279">
        <v>1363.9284999999998</v>
      </c>
      <c r="T490" s="279">
        <v>16.633333333333333</v>
      </c>
      <c r="V490" s="279">
        <v>511.72666666666663</v>
      </c>
    </row>
    <row r="491" spans="1:22">
      <c r="E491" s="286">
        <v>1</v>
      </c>
      <c r="F491" s="283">
        <v>1</v>
      </c>
      <c r="G491" s="287">
        <v>1</v>
      </c>
      <c r="H491" s="284">
        <v>2</v>
      </c>
    </row>
    <row r="497" spans="1:23">
      <c r="A497" s="278">
        <v>65</v>
      </c>
      <c r="B497" s="280" t="s">
        <v>39</v>
      </c>
      <c r="C497" s="278">
        <v>3368</v>
      </c>
      <c r="D497" s="259"/>
      <c r="F497" s="281">
        <v>44652</v>
      </c>
      <c r="G497" s="281">
        <v>44652</v>
      </c>
      <c r="I497" s="279">
        <v>33</v>
      </c>
      <c r="L497" s="279">
        <v>33</v>
      </c>
      <c r="M497" s="279">
        <v>29</v>
      </c>
      <c r="R497" s="279">
        <v>33</v>
      </c>
      <c r="S497" s="279">
        <v>98.764000000000038</v>
      </c>
      <c r="T497" s="279">
        <v>98.764000000000038</v>
      </c>
      <c r="U497" s="279">
        <v>73.280666666666676</v>
      </c>
      <c r="V497" s="279">
        <v>98.764000000000038</v>
      </c>
    </row>
    <row r="498" spans="1:23">
      <c r="E498" s="282">
        <v>0</v>
      </c>
      <c r="F498" s="282">
        <v>0</v>
      </c>
      <c r="G498" s="284">
        <v>0</v>
      </c>
      <c r="H498" s="284">
        <v>0</v>
      </c>
    </row>
    <row r="504" spans="1:23">
      <c r="A504" s="278">
        <v>66</v>
      </c>
      <c r="B504" s="280" t="s">
        <v>147</v>
      </c>
      <c r="C504" s="278">
        <v>3369</v>
      </c>
      <c r="D504" s="259"/>
      <c r="F504" s="281">
        <v>44652</v>
      </c>
      <c r="G504" s="281">
        <v>44652</v>
      </c>
      <c r="I504" s="279">
        <v>487</v>
      </c>
      <c r="L504" s="279">
        <v>487</v>
      </c>
      <c r="M504" s="279">
        <v>441</v>
      </c>
      <c r="R504" s="279">
        <v>487</v>
      </c>
      <c r="S504" s="279">
        <v>1466.8453333333302</v>
      </c>
      <c r="T504" s="279">
        <v>1466.8453333333309</v>
      </c>
      <c r="U504" s="279">
        <v>1369.658666666664</v>
      </c>
      <c r="V504" s="279">
        <v>1466.8453333333318</v>
      </c>
      <c r="W504" s="285" t="s">
        <v>5083</v>
      </c>
    </row>
    <row r="505" spans="1:23">
      <c r="E505" s="282">
        <v>0</v>
      </c>
      <c r="F505" s="282">
        <v>0</v>
      </c>
      <c r="G505" s="284">
        <v>0</v>
      </c>
      <c r="H505" s="290">
        <v>1</v>
      </c>
    </row>
    <row r="511" spans="1:23">
      <c r="A511" s="278">
        <v>67</v>
      </c>
      <c r="B511" s="280" t="s">
        <v>147</v>
      </c>
      <c r="C511" s="278">
        <v>3371</v>
      </c>
      <c r="D511" s="259"/>
      <c r="F511" s="281">
        <v>44652</v>
      </c>
      <c r="G511" s="281">
        <v>44652</v>
      </c>
      <c r="I511" s="279">
        <v>64</v>
      </c>
      <c r="L511" s="279">
        <v>64</v>
      </c>
      <c r="M511" s="279">
        <v>63</v>
      </c>
      <c r="R511" s="279">
        <v>64</v>
      </c>
      <c r="S511" s="279">
        <v>234.89500000000001</v>
      </c>
      <c r="T511" s="279">
        <v>234.89499999999992</v>
      </c>
      <c r="U511" s="279">
        <v>234.52833333333328</v>
      </c>
      <c r="V511" s="279">
        <v>234.8949999999999</v>
      </c>
      <c r="W511" s="285" t="s">
        <v>5083</v>
      </c>
    </row>
    <row r="512" spans="1:23">
      <c r="E512" s="282">
        <v>0</v>
      </c>
      <c r="F512" s="282">
        <v>0</v>
      </c>
      <c r="G512" s="284">
        <v>0</v>
      </c>
      <c r="H512" s="284">
        <v>2</v>
      </c>
    </row>
    <row r="518" spans="1:22">
      <c r="A518" s="278">
        <v>68</v>
      </c>
      <c r="B518" s="280" t="s">
        <v>39</v>
      </c>
      <c r="C518" s="278">
        <v>3372</v>
      </c>
      <c r="D518" s="259"/>
      <c r="F518" s="281">
        <v>44652</v>
      </c>
      <c r="G518" s="281">
        <v>44652</v>
      </c>
      <c r="I518" s="279">
        <v>488</v>
      </c>
      <c r="L518" s="279">
        <v>488</v>
      </c>
      <c r="M518" s="279">
        <v>442</v>
      </c>
      <c r="R518" s="279">
        <v>488</v>
      </c>
      <c r="S518" s="279">
        <v>733.98266666666814</v>
      </c>
      <c r="T518" s="279">
        <v>733.98266666666461</v>
      </c>
      <c r="U518" s="279">
        <v>685.38933333333148</v>
      </c>
      <c r="V518" s="279">
        <v>733.98266666666609</v>
      </c>
    </row>
    <row r="519" spans="1:22">
      <c r="E519" s="282">
        <v>0</v>
      </c>
      <c r="F519" s="282">
        <v>0</v>
      </c>
      <c r="G519" s="284">
        <v>0</v>
      </c>
      <c r="H519" s="290">
        <v>1</v>
      </c>
    </row>
    <row r="525" spans="1:22">
      <c r="A525" s="278">
        <v>69</v>
      </c>
      <c r="B525" s="280" t="s">
        <v>39</v>
      </c>
      <c r="C525" s="278">
        <v>3373</v>
      </c>
      <c r="D525" s="259"/>
      <c r="F525" s="281">
        <v>44652</v>
      </c>
      <c r="G525" s="281">
        <v>44652</v>
      </c>
      <c r="I525" s="279">
        <v>64</v>
      </c>
      <c r="L525" s="279">
        <v>64</v>
      </c>
      <c r="M525" s="279">
        <v>63</v>
      </c>
      <c r="R525" s="279">
        <v>64</v>
      </c>
      <c r="S525" s="279">
        <v>234.8949999999999</v>
      </c>
      <c r="T525" s="279">
        <v>234.89500000000001</v>
      </c>
      <c r="U525" s="279">
        <v>234.52833333333331</v>
      </c>
      <c r="V525" s="279">
        <v>234.89499999999992</v>
      </c>
    </row>
    <row r="526" spans="1:22">
      <c r="E526" s="282">
        <v>0</v>
      </c>
      <c r="F526" s="282">
        <v>0</v>
      </c>
      <c r="G526" s="284">
        <v>0</v>
      </c>
      <c r="H526" s="284">
        <v>2</v>
      </c>
    </row>
    <row r="532" spans="1:22">
      <c r="A532" s="278">
        <v>70</v>
      </c>
      <c r="B532" s="280" t="s">
        <v>39</v>
      </c>
      <c r="C532" s="278">
        <v>3374</v>
      </c>
      <c r="D532" s="259"/>
      <c r="F532" s="281">
        <v>44652</v>
      </c>
      <c r="G532" s="281">
        <v>44652</v>
      </c>
      <c r="I532" s="279">
        <v>488</v>
      </c>
      <c r="L532" s="279">
        <v>488</v>
      </c>
      <c r="M532" s="279">
        <v>442</v>
      </c>
      <c r="R532" s="279">
        <v>488</v>
      </c>
      <c r="S532" s="279">
        <v>733.98266666666507</v>
      </c>
      <c r="T532" s="279">
        <v>733.98266666666632</v>
      </c>
      <c r="U532" s="279">
        <v>685.38933333333318</v>
      </c>
      <c r="V532" s="279">
        <v>733.98266666666484</v>
      </c>
    </row>
    <row r="533" spans="1:22">
      <c r="E533" s="282">
        <v>0</v>
      </c>
      <c r="F533" s="282">
        <v>0</v>
      </c>
      <c r="G533" s="284">
        <v>0</v>
      </c>
      <c r="H533" s="290">
        <v>1</v>
      </c>
    </row>
    <row r="539" spans="1:22">
      <c r="A539" s="278">
        <v>71</v>
      </c>
      <c r="B539" s="280" t="s">
        <v>39</v>
      </c>
      <c r="C539" s="278">
        <v>3375</v>
      </c>
      <c r="D539" s="259"/>
      <c r="F539" s="281">
        <v>44652</v>
      </c>
      <c r="G539" s="281">
        <v>44652</v>
      </c>
      <c r="I539" s="279">
        <v>64</v>
      </c>
      <c r="L539" s="279">
        <v>64</v>
      </c>
      <c r="M539" s="279">
        <v>63</v>
      </c>
      <c r="R539" s="279">
        <v>64</v>
      </c>
      <c r="S539" s="279">
        <v>234.89499999999987</v>
      </c>
      <c r="T539" s="279">
        <v>234.89499999999987</v>
      </c>
      <c r="U539" s="279">
        <v>234.52833333333317</v>
      </c>
      <c r="V539" s="279">
        <v>234.89500000000001</v>
      </c>
    </row>
    <row r="540" spans="1:22">
      <c r="E540" s="282">
        <v>0</v>
      </c>
      <c r="F540" s="282">
        <v>0</v>
      </c>
      <c r="G540" s="284">
        <v>0</v>
      </c>
      <c r="H540" s="284">
        <v>2</v>
      </c>
    </row>
    <row r="546" spans="1:23">
      <c r="A546" s="278">
        <v>72</v>
      </c>
      <c r="B546" s="280" t="s">
        <v>147</v>
      </c>
      <c r="C546" s="278">
        <v>3376</v>
      </c>
      <c r="D546" s="259"/>
      <c r="F546" s="281">
        <v>44652</v>
      </c>
      <c r="G546" s="281">
        <v>44652</v>
      </c>
      <c r="I546" s="279">
        <v>93</v>
      </c>
      <c r="L546" s="279">
        <v>93</v>
      </c>
      <c r="M546" s="279">
        <v>75</v>
      </c>
      <c r="R546" s="279">
        <v>93</v>
      </c>
      <c r="S546" s="279">
        <v>242.02999999999989</v>
      </c>
      <c r="T546" s="279">
        <v>242.03</v>
      </c>
      <c r="U546" s="279">
        <v>124.67</v>
      </c>
      <c r="V546" s="279">
        <v>242.03</v>
      </c>
      <c r="W546" s="285" t="s">
        <v>5821</v>
      </c>
    </row>
    <row r="547" spans="1:23">
      <c r="E547" s="282">
        <v>0</v>
      </c>
      <c r="F547" s="282">
        <v>0</v>
      </c>
      <c r="G547" s="284">
        <v>0</v>
      </c>
      <c r="H547" s="284">
        <v>0</v>
      </c>
    </row>
    <row r="553" spans="1:23">
      <c r="A553" s="278">
        <v>73</v>
      </c>
      <c r="B553" s="280" t="s">
        <v>142</v>
      </c>
      <c r="C553" s="278">
        <v>3379</v>
      </c>
      <c r="D553" s="259"/>
      <c r="F553" s="281">
        <v>44652</v>
      </c>
      <c r="G553" s="281">
        <v>44652</v>
      </c>
      <c r="I553" s="279">
        <v>63</v>
      </c>
      <c r="L553" s="279">
        <v>63</v>
      </c>
      <c r="M553" s="279">
        <v>62</v>
      </c>
      <c r="R553" s="279">
        <v>63</v>
      </c>
      <c r="S553" s="279">
        <v>4091.9100000000012</v>
      </c>
      <c r="T553" s="279">
        <v>4091.9100000000008</v>
      </c>
      <c r="U553" s="279">
        <v>4085.31</v>
      </c>
      <c r="V553" s="279">
        <v>4091.9100000000008</v>
      </c>
      <c r="W553" s="285" t="s">
        <v>5420</v>
      </c>
    </row>
    <row r="554" spans="1:23">
      <c r="E554" s="282">
        <v>0</v>
      </c>
      <c r="F554" s="282">
        <v>0</v>
      </c>
      <c r="G554" s="284">
        <v>0</v>
      </c>
      <c r="H554" s="284">
        <v>2</v>
      </c>
    </row>
    <row r="560" spans="1:23">
      <c r="A560" s="278">
        <v>74</v>
      </c>
      <c r="B560" s="280" t="s">
        <v>147</v>
      </c>
      <c r="C560" s="278">
        <v>3380</v>
      </c>
      <c r="D560" s="259"/>
      <c r="F560" s="281">
        <v>44652</v>
      </c>
      <c r="G560" s="281">
        <v>44652</v>
      </c>
      <c r="I560" s="279">
        <v>23</v>
      </c>
      <c r="L560" s="279">
        <v>23</v>
      </c>
      <c r="M560" s="279">
        <v>19</v>
      </c>
      <c r="R560" s="279">
        <v>23</v>
      </c>
      <c r="S560" s="279">
        <v>140.64533333333338</v>
      </c>
      <c r="T560" s="279">
        <v>140.64533333333327</v>
      </c>
      <c r="U560" s="279">
        <v>126.24533333333325</v>
      </c>
      <c r="V560" s="279">
        <v>140.64533333333324</v>
      </c>
      <c r="W560" s="285" t="s">
        <v>5083</v>
      </c>
    </row>
    <row r="561" spans="1:22">
      <c r="E561" s="282">
        <v>0</v>
      </c>
      <c r="F561" s="282">
        <v>0</v>
      </c>
      <c r="G561" s="284">
        <v>0</v>
      </c>
      <c r="H561" s="284">
        <v>2</v>
      </c>
    </row>
    <row r="567" spans="1:22">
      <c r="A567" s="278">
        <v>75</v>
      </c>
      <c r="B567" s="280" t="s">
        <v>40</v>
      </c>
      <c r="C567" s="278">
        <v>3383</v>
      </c>
      <c r="D567" s="259"/>
      <c r="F567" s="281">
        <v>44652</v>
      </c>
      <c r="G567" s="281">
        <v>44652</v>
      </c>
      <c r="I567" s="279">
        <v>54</v>
      </c>
      <c r="L567" s="279">
        <v>54</v>
      </c>
      <c r="M567" s="279">
        <v>50</v>
      </c>
      <c r="R567" s="279">
        <v>54</v>
      </c>
      <c r="S567" s="279">
        <v>95.060000000000031</v>
      </c>
      <c r="T567" s="279">
        <v>95.059999999999988</v>
      </c>
      <c r="U567" s="279">
        <v>70.193333333333328</v>
      </c>
      <c r="V567" s="279">
        <v>95.06</v>
      </c>
    </row>
    <row r="568" spans="1:22">
      <c r="E568" s="282">
        <v>0</v>
      </c>
      <c r="F568" s="282">
        <v>0</v>
      </c>
      <c r="G568" s="284">
        <v>0</v>
      </c>
      <c r="H568" s="290">
        <v>1</v>
      </c>
    </row>
    <row r="574" spans="1:22">
      <c r="A574" s="278">
        <v>76</v>
      </c>
      <c r="B574" s="289" t="s">
        <v>4558</v>
      </c>
      <c r="C574" s="278">
        <v>3389</v>
      </c>
      <c r="D574" s="259"/>
      <c r="F574" s="281">
        <v>44652</v>
      </c>
      <c r="G574" s="281">
        <v>44652</v>
      </c>
      <c r="I574" s="279">
        <v>31</v>
      </c>
      <c r="J574" s="279">
        <v>26</v>
      </c>
      <c r="K574" s="279">
        <v>24</v>
      </c>
      <c r="L574" s="279">
        <v>5</v>
      </c>
      <c r="R574" s="279">
        <v>7</v>
      </c>
      <c r="S574" s="279">
        <v>976.49599999999987</v>
      </c>
      <c r="T574" s="279">
        <v>392.73333333333329</v>
      </c>
      <c r="V574" s="279">
        <v>393.86666666666662</v>
      </c>
    </row>
    <row r="575" spans="1:22">
      <c r="E575" s="286">
        <v>1</v>
      </c>
      <c r="F575" s="283">
        <v>1</v>
      </c>
      <c r="G575" s="287">
        <v>1</v>
      </c>
      <c r="H575" s="284">
        <v>2</v>
      </c>
    </row>
    <row r="581" spans="1:22">
      <c r="A581" s="278">
        <v>77</v>
      </c>
      <c r="B581" s="289" t="s">
        <v>4558</v>
      </c>
      <c r="C581" s="278">
        <v>3390</v>
      </c>
      <c r="D581" s="259"/>
      <c r="F581" s="281">
        <v>44652</v>
      </c>
      <c r="G581" s="281">
        <v>44652</v>
      </c>
      <c r="I581" s="279">
        <v>84</v>
      </c>
      <c r="J581" s="279">
        <v>57</v>
      </c>
      <c r="K581" s="279">
        <v>54</v>
      </c>
      <c r="L581" s="279">
        <v>27</v>
      </c>
      <c r="M581" s="279">
        <v>18</v>
      </c>
      <c r="R581" s="279">
        <v>30</v>
      </c>
      <c r="S581" s="279">
        <v>427.99200000000013</v>
      </c>
      <c r="T581" s="279">
        <v>265.86066666666648</v>
      </c>
      <c r="U581" s="279">
        <v>103.32733333333321</v>
      </c>
      <c r="V581" s="279">
        <v>283.57133333333337</v>
      </c>
    </row>
    <row r="582" spans="1:22">
      <c r="E582" s="286">
        <v>1</v>
      </c>
      <c r="F582" s="283">
        <v>1</v>
      </c>
      <c r="G582" s="287">
        <v>1</v>
      </c>
      <c r="H582" s="284">
        <v>2</v>
      </c>
    </row>
    <row r="588" spans="1:22">
      <c r="A588" s="278">
        <v>78</v>
      </c>
      <c r="B588" s="289" t="s">
        <v>4558</v>
      </c>
      <c r="C588" s="278">
        <v>3391</v>
      </c>
      <c r="D588" s="259"/>
      <c r="F588" s="281">
        <v>44652</v>
      </c>
      <c r="G588" s="281">
        <v>44652</v>
      </c>
      <c r="I588" s="279">
        <v>273</v>
      </c>
      <c r="L588" s="279">
        <v>273</v>
      </c>
      <c r="M588" s="279">
        <v>242</v>
      </c>
      <c r="R588" s="279">
        <v>273</v>
      </c>
      <c r="S588" s="279">
        <v>1211.9679999999842</v>
      </c>
      <c r="T588" s="279">
        <v>1211.9679999999837</v>
      </c>
      <c r="U588" s="279">
        <v>1044.3679999999836</v>
      </c>
      <c r="V588" s="279">
        <v>1211.9679999999839</v>
      </c>
    </row>
    <row r="589" spans="1:22">
      <c r="E589" s="282">
        <v>0</v>
      </c>
      <c r="F589" s="282">
        <v>0</v>
      </c>
      <c r="G589" s="284">
        <v>0</v>
      </c>
      <c r="H589" s="290">
        <v>1</v>
      </c>
    </row>
    <row r="595" spans="1:22">
      <c r="A595" s="278">
        <v>79</v>
      </c>
      <c r="B595" s="289" t="s">
        <v>4558</v>
      </c>
      <c r="C595" s="278">
        <v>3392</v>
      </c>
      <c r="D595" s="259"/>
      <c r="F595" s="281">
        <v>44652</v>
      </c>
      <c r="G595" s="281">
        <v>44652</v>
      </c>
      <c r="I595" s="279">
        <v>16</v>
      </c>
      <c r="J595" s="279">
        <v>3</v>
      </c>
      <c r="K595" s="279">
        <v>3</v>
      </c>
      <c r="L595" s="279">
        <v>13</v>
      </c>
      <c r="M595" s="279">
        <v>13</v>
      </c>
      <c r="R595" s="279">
        <v>13</v>
      </c>
      <c r="S595" s="279">
        <v>53.265333333333345</v>
      </c>
      <c r="T595" s="279">
        <v>30.864666666666661</v>
      </c>
      <c r="U595" s="279">
        <v>30.864666666666668</v>
      </c>
      <c r="V595" s="279">
        <v>30.864666666666661</v>
      </c>
    </row>
    <row r="596" spans="1:22">
      <c r="E596" s="282">
        <v>0</v>
      </c>
      <c r="F596" s="283">
        <v>1</v>
      </c>
      <c r="G596" s="284">
        <v>0</v>
      </c>
      <c r="H596" s="284">
        <v>2</v>
      </c>
    </row>
    <row r="602" spans="1:22">
      <c r="A602" s="278">
        <v>80</v>
      </c>
      <c r="B602" s="289" t="s">
        <v>4558</v>
      </c>
      <c r="C602" s="278">
        <v>3393</v>
      </c>
      <c r="D602" s="259"/>
      <c r="F602" s="281">
        <v>44652</v>
      </c>
      <c r="G602" s="281">
        <v>44652</v>
      </c>
      <c r="I602" s="279">
        <v>63</v>
      </c>
      <c r="L602" s="279">
        <v>63</v>
      </c>
      <c r="M602" s="279">
        <v>58</v>
      </c>
      <c r="R602" s="279">
        <v>63</v>
      </c>
      <c r="S602" s="279">
        <v>291.48533333333319</v>
      </c>
      <c r="T602" s="279">
        <v>291.48533333333341</v>
      </c>
      <c r="U602" s="279">
        <v>283.6520000000001</v>
      </c>
      <c r="V602" s="279">
        <v>291.48533333333313</v>
      </c>
    </row>
    <row r="603" spans="1:22">
      <c r="E603" s="282">
        <v>0</v>
      </c>
      <c r="F603" s="282">
        <v>0</v>
      </c>
      <c r="G603" s="284">
        <v>0</v>
      </c>
      <c r="H603" s="284">
        <v>2</v>
      </c>
    </row>
    <row r="609" spans="1:22">
      <c r="A609" s="278">
        <v>81</v>
      </c>
      <c r="B609" s="289" t="s">
        <v>4558</v>
      </c>
      <c r="C609" s="278">
        <v>3394</v>
      </c>
      <c r="D609" s="259"/>
      <c r="F609" s="281">
        <v>44652</v>
      </c>
      <c r="G609" s="281">
        <v>44652</v>
      </c>
      <c r="I609" s="279">
        <v>27</v>
      </c>
      <c r="L609" s="279">
        <v>27</v>
      </c>
      <c r="M609" s="279">
        <v>25</v>
      </c>
      <c r="R609" s="279">
        <v>27</v>
      </c>
      <c r="S609" s="279">
        <v>122.61533333333335</v>
      </c>
      <c r="T609" s="279">
        <v>122.61533333333335</v>
      </c>
      <c r="U609" s="279">
        <v>120.34866666666667</v>
      </c>
      <c r="V609" s="279">
        <v>122.61533333333337</v>
      </c>
    </row>
    <row r="610" spans="1:22">
      <c r="E610" s="282">
        <v>0</v>
      </c>
      <c r="F610" s="282">
        <v>0</v>
      </c>
      <c r="G610" s="284">
        <v>0</v>
      </c>
      <c r="H610" s="284">
        <v>2</v>
      </c>
    </row>
    <row r="616" spans="1:22">
      <c r="A616" s="278">
        <v>82</v>
      </c>
      <c r="B616" s="289" t="s">
        <v>4558</v>
      </c>
      <c r="C616" s="278">
        <v>3395</v>
      </c>
      <c r="D616" s="259"/>
      <c r="F616" s="281">
        <v>44652</v>
      </c>
      <c r="G616" s="281">
        <v>44652</v>
      </c>
      <c r="I616" s="279">
        <v>46</v>
      </c>
      <c r="L616" s="279">
        <v>46</v>
      </c>
      <c r="M616" s="279">
        <v>36</v>
      </c>
      <c r="R616" s="279">
        <v>46</v>
      </c>
      <c r="S616" s="279">
        <v>106.60733333333336</v>
      </c>
      <c r="T616" s="279">
        <v>106.60733333333337</v>
      </c>
      <c r="U616" s="279">
        <v>92.407333333333369</v>
      </c>
      <c r="V616" s="279">
        <v>106.60733333333332</v>
      </c>
    </row>
    <row r="617" spans="1:22">
      <c r="E617" s="282">
        <v>0</v>
      </c>
      <c r="F617" s="282">
        <v>0</v>
      </c>
      <c r="G617" s="284">
        <v>0</v>
      </c>
      <c r="H617" s="290">
        <v>1</v>
      </c>
    </row>
    <row r="623" spans="1:22">
      <c r="A623" s="278">
        <v>83</v>
      </c>
      <c r="B623" s="289" t="s">
        <v>4558</v>
      </c>
      <c r="C623" s="278">
        <v>3396</v>
      </c>
      <c r="D623" s="259"/>
      <c r="F623" s="281">
        <v>44652</v>
      </c>
      <c r="G623" s="281">
        <v>44652</v>
      </c>
      <c r="I623" s="279">
        <v>3</v>
      </c>
      <c r="L623" s="279">
        <v>3</v>
      </c>
      <c r="M623" s="279">
        <v>3</v>
      </c>
      <c r="R623" s="279">
        <v>3</v>
      </c>
      <c r="S623" s="279">
        <v>18.2</v>
      </c>
      <c r="T623" s="279">
        <v>18.2</v>
      </c>
      <c r="U623" s="279">
        <v>18.2</v>
      </c>
      <c r="V623" s="279">
        <v>18.200000000000003</v>
      </c>
    </row>
    <row r="624" spans="1:22">
      <c r="E624" s="282">
        <v>0</v>
      </c>
      <c r="F624" s="282">
        <v>0</v>
      </c>
      <c r="G624" s="284">
        <v>0</v>
      </c>
      <c r="H624" s="284">
        <v>2</v>
      </c>
    </row>
    <row r="630" spans="1:22">
      <c r="A630" s="278">
        <v>84</v>
      </c>
      <c r="B630" s="289" t="s">
        <v>4558</v>
      </c>
      <c r="C630" s="278">
        <v>3397</v>
      </c>
      <c r="D630" s="259"/>
      <c r="F630" s="281">
        <v>44652</v>
      </c>
      <c r="G630" s="281">
        <v>44652</v>
      </c>
      <c r="I630" s="279">
        <v>40</v>
      </c>
      <c r="L630" s="279">
        <v>40</v>
      </c>
      <c r="M630" s="279">
        <v>31</v>
      </c>
      <c r="R630" s="279">
        <v>40</v>
      </c>
      <c r="S630" s="279">
        <v>179.79533333333339</v>
      </c>
      <c r="T630" s="279">
        <v>179.7953333333333</v>
      </c>
      <c r="U630" s="279">
        <v>96.235333333333259</v>
      </c>
      <c r="V630" s="279">
        <v>179.79533333333333</v>
      </c>
    </row>
    <row r="631" spans="1:22">
      <c r="E631" s="282">
        <v>0</v>
      </c>
      <c r="F631" s="282">
        <v>0</v>
      </c>
      <c r="G631" s="284">
        <v>0</v>
      </c>
      <c r="H631" s="284">
        <v>2</v>
      </c>
    </row>
    <row r="637" spans="1:22">
      <c r="A637" s="278">
        <v>85</v>
      </c>
      <c r="B637" s="289" t="s">
        <v>4558</v>
      </c>
      <c r="C637" s="278">
        <v>3398</v>
      </c>
      <c r="D637" s="259"/>
      <c r="F637" s="281">
        <v>44652</v>
      </c>
      <c r="G637" s="281">
        <v>44652</v>
      </c>
      <c r="I637" s="279">
        <v>28</v>
      </c>
      <c r="L637" s="279">
        <v>28</v>
      </c>
      <c r="M637" s="279">
        <v>27</v>
      </c>
      <c r="R637" s="279">
        <v>28</v>
      </c>
      <c r="S637" s="279">
        <v>64.024000000000029</v>
      </c>
      <c r="T637" s="279">
        <v>64.024000000000029</v>
      </c>
      <c r="U637" s="279">
        <v>53.077333333333371</v>
      </c>
      <c r="V637" s="279">
        <v>64.024000000000001</v>
      </c>
    </row>
    <row r="638" spans="1:22">
      <c r="E638" s="282">
        <v>0</v>
      </c>
      <c r="F638" s="282">
        <v>0</v>
      </c>
      <c r="G638" s="284">
        <v>0</v>
      </c>
      <c r="H638" s="284">
        <v>2</v>
      </c>
    </row>
    <row r="644" spans="1:23">
      <c r="A644" s="278">
        <v>86</v>
      </c>
      <c r="B644" s="280" t="s">
        <v>142</v>
      </c>
      <c r="C644" s="278">
        <v>3403</v>
      </c>
      <c r="D644" s="259"/>
      <c r="F644" s="281">
        <v>44652</v>
      </c>
      <c r="G644" s="281">
        <v>44666</v>
      </c>
      <c r="I644" s="279">
        <v>72</v>
      </c>
      <c r="L644" s="279">
        <v>72</v>
      </c>
      <c r="M644" s="279">
        <v>71</v>
      </c>
      <c r="R644" s="279">
        <v>72</v>
      </c>
      <c r="S644" s="279">
        <v>245.74499999999981</v>
      </c>
      <c r="T644" s="279">
        <v>245.74499999999981</v>
      </c>
      <c r="U644" s="279">
        <v>245.37833333333313</v>
      </c>
      <c r="V644" s="279">
        <v>245.74499999999986</v>
      </c>
    </row>
    <row r="645" spans="1:23">
      <c r="E645" s="282">
        <v>0</v>
      </c>
      <c r="F645" s="282">
        <v>0</v>
      </c>
      <c r="G645" s="284">
        <v>0</v>
      </c>
      <c r="H645" s="284">
        <v>2</v>
      </c>
    </row>
    <row r="651" spans="1:23">
      <c r="A651" s="278">
        <v>87</v>
      </c>
      <c r="B651" s="280" t="s">
        <v>147</v>
      </c>
      <c r="C651" s="278">
        <v>3407</v>
      </c>
      <c r="D651" s="259"/>
      <c r="F651" s="281">
        <v>44652</v>
      </c>
      <c r="G651" s="281">
        <v>44652</v>
      </c>
      <c r="I651" s="279">
        <v>20</v>
      </c>
      <c r="L651" s="279">
        <v>20</v>
      </c>
      <c r="M651" s="279">
        <v>17</v>
      </c>
      <c r="R651" s="279">
        <v>20</v>
      </c>
      <c r="S651" s="279">
        <v>135.12266666666662</v>
      </c>
      <c r="T651" s="279">
        <v>135.12266666666662</v>
      </c>
      <c r="U651" s="279">
        <v>122.32266666666661</v>
      </c>
      <c r="V651" s="279">
        <v>135.12266666666667</v>
      </c>
      <c r="W651" s="285" t="s">
        <v>5086</v>
      </c>
    </row>
    <row r="652" spans="1:23">
      <c r="E652" s="282">
        <v>0</v>
      </c>
      <c r="F652" s="282">
        <v>0</v>
      </c>
      <c r="G652" s="284">
        <v>0</v>
      </c>
      <c r="H652" s="284">
        <v>2</v>
      </c>
    </row>
    <row r="658" spans="1:22">
      <c r="A658" s="278">
        <v>88</v>
      </c>
      <c r="B658" s="280" t="s">
        <v>41</v>
      </c>
      <c r="C658" s="278">
        <v>3408</v>
      </c>
      <c r="D658" s="259"/>
      <c r="F658" s="281">
        <v>44652</v>
      </c>
      <c r="G658" s="281">
        <v>44652</v>
      </c>
      <c r="I658" s="279">
        <v>190</v>
      </c>
      <c r="L658" s="279">
        <v>190</v>
      </c>
      <c r="M658" s="279">
        <v>158</v>
      </c>
      <c r="R658" s="279">
        <v>190</v>
      </c>
      <c r="S658" s="279">
        <v>1107.0373333333337</v>
      </c>
      <c r="T658" s="279">
        <v>1107.037333333335</v>
      </c>
      <c r="U658" s="279">
        <v>564.31333333333498</v>
      </c>
      <c r="V658" s="279">
        <v>1107.0373333333339</v>
      </c>
    </row>
    <row r="659" spans="1:22">
      <c r="E659" s="282">
        <v>0</v>
      </c>
      <c r="F659" s="282">
        <v>0</v>
      </c>
      <c r="G659" s="284">
        <v>0</v>
      </c>
      <c r="H659" s="284">
        <v>2</v>
      </c>
    </row>
    <row r="665" spans="1:22">
      <c r="A665" s="278">
        <v>89</v>
      </c>
      <c r="B665" s="280" t="s">
        <v>125</v>
      </c>
      <c r="C665" s="278">
        <v>3411</v>
      </c>
      <c r="D665" s="259"/>
      <c r="F665" s="281">
        <v>44652</v>
      </c>
      <c r="G665" s="281">
        <v>44652</v>
      </c>
      <c r="I665" s="279">
        <v>43</v>
      </c>
      <c r="J665" s="279">
        <v>2</v>
      </c>
      <c r="K665" s="279">
        <v>2</v>
      </c>
      <c r="L665" s="279">
        <v>41</v>
      </c>
      <c r="M665" s="279">
        <v>31</v>
      </c>
      <c r="R665" s="279">
        <v>41</v>
      </c>
      <c r="S665" s="279">
        <v>2568.666666666667</v>
      </c>
      <c r="T665" s="279">
        <v>2539.5000000000005</v>
      </c>
      <c r="U665" s="279">
        <v>2309.5000000000009</v>
      </c>
      <c r="V665" s="279">
        <v>2539.5</v>
      </c>
    </row>
    <row r="666" spans="1:22">
      <c r="E666" s="282">
        <v>0</v>
      </c>
      <c r="F666" s="283">
        <v>1</v>
      </c>
      <c r="G666" s="287">
        <v>1</v>
      </c>
      <c r="H666" s="284">
        <v>2</v>
      </c>
    </row>
    <row r="672" spans="1:22">
      <c r="A672" s="278">
        <v>90</v>
      </c>
      <c r="B672" s="280" t="s">
        <v>125</v>
      </c>
      <c r="C672" s="278">
        <v>3412</v>
      </c>
      <c r="D672" s="259"/>
      <c r="F672" s="281">
        <v>44652</v>
      </c>
      <c r="G672" s="281">
        <v>44652</v>
      </c>
      <c r="I672" s="279">
        <v>42</v>
      </c>
      <c r="J672" s="279">
        <v>2</v>
      </c>
      <c r="K672" s="279">
        <v>2</v>
      </c>
      <c r="L672" s="279">
        <v>40</v>
      </c>
      <c r="M672" s="279">
        <v>30</v>
      </c>
      <c r="R672" s="279">
        <v>40</v>
      </c>
      <c r="S672" s="279">
        <v>3027.1</v>
      </c>
      <c r="T672" s="279">
        <v>2986.8500000000004</v>
      </c>
      <c r="U672" s="279">
        <v>2756.85</v>
      </c>
      <c r="V672" s="279">
        <v>2986.8499999999995</v>
      </c>
    </row>
    <row r="673" spans="1:22">
      <c r="E673" s="282">
        <v>0</v>
      </c>
      <c r="F673" s="283">
        <v>1</v>
      </c>
      <c r="G673" s="287">
        <v>1</v>
      </c>
      <c r="H673" s="284">
        <v>2</v>
      </c>
    </row>
    <row r="679" spans="1:22">
      <c r="A679" s="278">
        <v>91</v>
      </c>
      <c r="B679" s="280" t="s">
        <v>125</v>
      </c>
      <c r="C679" s="278">
        <v>3413</v>
      </c>
      <c r="D679" s="259"/>
      <c r="F679" s="281">
        <v>44652</v>
      </c>
      <c r="G679" s="281">
        <v>44652</v>
      </c>
      <c r="I679" s="279">
        <v>42</v>
      </c>
      <c r="J679" s="279">
        <v>2</v>
      </c>
      <c r="K679" s="279">
        <v>2</v>
      </c>
      <c r="L679" s="279">
        <v>40</v>
      </c>
      <c r="M679" s="279">
        <v>30</v>
      </c>
      <c r="R679" s="279">
        <v>40</v>
      </c>
      <c r="S679" s="279">
        <v>2936.8100000000013</v>
      </c>
      <c r="T679" s="279">
        <v>2907.6433333333339</v>
      </c>
      <c r="U679" s="279">
        <v>2590.2433333333342</v>
      </c>
      <c r="V679" s="279">
        <v>2907.6433333333343</v>
      </c>
    </row>
    <row r="680" spans="1:22">
      <c r="E680" s="282">
        <v>0</v>
      </c>
      <c r="F680" s="283">
        <v>1</v>
      </c>
      <c r="G680" s="287">
        <v>1</v>
      </c>
      <c r="H680" s="284">
        <v>2</v>
      </c>
    </row>
    <row r="686" spans="1:22">
      <c r="A686" s="278">
        <v>92</v>
      </c>
      <c r="B686" s="280" t="s">
        <v>125</v>
      </c>
      <c r="C686" s="278">
        <v>3414</v>
      </c>
      <c r="D686" s="259"/>
      <c r="F686" s="281">
        <v>44652</v>
      </c>
      <c r="G686" s="281">
        <v>44652</v>
      </c>
      <c r="I686" s="279">
        <v>16</v>
      </c>
      <c r="J686" s="279">
        <v>2</v>
      </c>
      <c r="K686" s="279">
        <v>2</v>
      </c>
      <c r="L686" s="279">
        <v>14</v>
      </c>
      <c r="M686" s="279">
        <v>11</v>
      </c>
      <c r="R686" s="279">
        <v>14</v>
      </c>
      <c r="S686" s="279">
        <v>519.91666666666663</v>
      </c>
      <c r="T686" s="279">
        <v>499.41666666666657</v>
      </c>
      <c r="U686" s="279">
        <v>450.24999999999994</v>
      </c>
      <c r="V686" s="279">
        <v>499.41666666666657</v>
      </c>
    </row>
    <row r="687" spans="1:22">
      <c r="E687" s="282">
        <v>0</v>
      </c>
      <c r="F687" s="283">
        <v>1</v>
      </c>
      <c r="G687" s="287">
        <v>1</v>
      </c>
      <c r="H687" s="284">
        <v>2</v>
      </c>
    </row>
    <row r="693" spans="1:22">
      <c r="A693" s="278">
        <v>93</v>
      </c>
      <c r="B693" s="280" t="s">
        <v>125</v>
      </c>
      <c r="C693" s="278">
        <v>3415</v>
      </c>
      <c r="D693" s="259"/>
      <c r="F693" s="281">
        <v>44652</v>
      </c>
      <c r="G693" s="281">
        <v>44652</v>
      </c>
      <c r="I693" s="279">
        <v>16</v>
      </c>
      <c r="J693" s="279">
        <v>2</v>
      </c>
      <c r="K693" s="279">
        <v>2</v>
      </c>
      <c r="L693" s="279">
        <v>14</v>
      </c>
      <c r="M693" s="279">
        <v>11</v>
      </c>
      <c r="R693" s="279">
        <v>14</v>
      </c>
      <c r="S693" s="279">
        <v>547.41666666666663</v>
      </c>
      <c r="T693" s="279">
        <v>526.91666666666663</v>
      </c>
      <c r="U693" s="279">
        <v>469.41666666666657</v>
      </c>
      <c r="V693" s="279">
        <v>526.91666666666663</v>
      </c>
    </row>
    <row r="694" spans="1:22">
      <c r="E694" s="282">
        <v>0</v>
      </c>
      <c r="F694" s="283">
        <v>1</v>
      </c>
      <c r="G694" s="287">
        <v>1</v>
      </c>
      <c r="H694" s="284">
        <v>2</v>
      </c>
    </row>
    <row r="700" spans="1:22">
      <c r="A700" s="278">
        <v>94</v>
      </c>
      <c r="B700" s="280" t="s">
        <v>125</v>
      </c>
      <c r="C700" s="278">
        <v>3416</v>
      </c>
      <c r="D700" s="259"/>
      <c r="F700" s="281">
        <v>44652</v>
      </c>
      <c r="G700" s="281">
        <v>44652</v>
      </c>
      <c r="I700" s="279">
        <v>16</v>
      </c>
      <c r="J700" s="279">
        <v>2</v>
      </c>
      <c r="K700" s="279">
        <v>2</v>
      </c>
      <c r="L700" s="279">
        <v>14</v>
      </c>
      <c r="M700" s="279">
        <v>11</v>
      </c>
      <c r="R700" s="279">
        <v>14</v>
      </c>
      <c r="S700" s="279">
        <v>689.9849999999999</v>
      </c>
      <c r="T700" s="279">
        <v>661.69500000000005</v>
      </c>
      <c r="U700" s="279">
        <v>602.1783333333334</v>
      </c>
      <c r="V700" s="279">
        <v>661.69500000000005</v>
      </c>
    </row>
    <row r="701" spans="1:22">
      <c r="E701" s="282">
        <v>0</v>
      </c>
      <c r="F701" s="283">
        <v>1</v>
      </c>
      <c r="G701" s="287">
        <v>1</v>
      </c>
      <c r="H701" s="284">
        <v>2</v>
      </c>
    </row>
    <row r="707" spans="1:22">
      <c r="A707" s="278">
        <v>95</v>
      </c>
      <c r="B707" s="280" t="s">
        <v>125</v>
      </c>
      <c r="C707" s="278">
        <v>3444</v>
      </c>
      <c r="D707" s="259"/>
      <c r="F707" s="281">
        <v>44652</v>
      </c>
      <c r="G707" s="281">
        <v>44652</v>
      </c>
      <c r="I707" s="279">
        <v>43</v>
      </c>
      <c r="L707" s="279">
        <v>43</v>
      </c>
      <c r="M707" s="279">
        <v>40</v>
      </c>
      <c r="R707" s="279">
        <v>43</v>
      </c>
      <c r="S707" s="279">
        <v>1010.75</v>
      </c>
      <c r="T707" s="279">
        <v>1010.7499999999997</v>
      </c>
      <c r="U707" s="279">
        <v>964.91666666666652</v>
      </c>
      <c r="V707" s="279">
        <v>1010.7500000000001</v>
      </c>
    </row>
    <row r="708" spans="1:22">
      <c r="E708" s="282">
        <v>0</v>
      </c>
      <c r="F708" s="282">
        <v>0</v>
      </c>
      <c r="G708" s="284">
        <v>0</v>
      </c>
      <c r="H708" s="284">
        <v>2</v>
      </c>
    </row>
    <row r="714" spans="1:22">
      <c r="A714" s="278">
        <v>96</v>
      </c>
      <c r="B714" s="280" t="s">
        <v>125</v>
      </c>
      <c r="C714" s="278">
        <v>3445</v>
      </c>
      <c r="D714" s="259"/>
      <c r="F714" s="281">
        <v>44652</v>
      </c>
      <c r="G714" s="281">
        <v>44652</v>
      </c>
      <c r="I714" s="279">
        <v>43</v>
      </c>
      <c r="L714" s="279">
        <v>43</v>
      </c>
      <c r="M714" s="279">
        <v>40</v>
      </c>
      <c r="R714" s="279">
        <v>43</v>
      </c>
      <c r="S714" s="279">
        <v>1010.7500000000003</v>
      </c>
      <c r="T714" s="279">
        <v>1010.75</v>
      </c>
      <c r="U714" s="279">
        <v>964.91666666666674</v>
      </c>
      <c r="V714" s="279">
        <v>1010.7500000000001</v>
      </c>
    </row>
    <row r="715" spans="1:22">
      <c r="E715" s="282">
        <v>0</v>
      </c>
      <c r="F715" s="282">
        <v>0</v>
      </c>
      <c r="G715" s="284">
        <v>0</v>
      </c>
      <c r="H715" s="284">
        <v>2</v>
      </c>
    </row>
    <row r="721" spans="1:22">
      <c r="A721" s="278">
        <v>97</v>
      </c>
      <c r="B721" s="280" t="s">
        <v>125</v>
      </c>
      <c r="C721" s="278">
        <v>3446</v>
      </c>
      <c r="D721" s="259"/>
      <c r="F721" s="281">
        <v>44652</v>
      </c>
      <c r="G721" s="281">
        <v>44652</v>
      </c>
      <c r="I721" s="279">
        <v>43</v>
      </c>
      <c r="J721" s="279">
        <v>1</v>
      </c>
      <c r="K721" s="279">
        <v>1</v>
      </c>
      <c r="L721" s="279">
        <v>42</v>
      </c>
      <c r="M721" s="279">
        <v>39</v>
      </c>
      <c r="R721" s="279">
        <v>42</v>
      </c>
      <c r="S721" s="279">
        <v>1394.835</v>
      </c>
      <c r="T721" s="279">
        <v>1387.3600000000006</v>
      </c>
      <c r="U721" s="279">
        <v>1324.1100000000008</v>
      </c>
      <c r="V721" s="279">
        <v>1387.36</v>
      </c>
    </row>
    <row r="722" spans="1:22">
      <c r="E722" s="282">
        <v>0</v>
      </c>
      <c r="F722" s="283">
        <v>1</v>
      </c>
      <c r="G722" s="284">
        <v>0</v>
      </c>
      <c r="H722" s="284">
        <v>2</v>
      </c>
    </row>
    <row r="728" spans="1:22">
      <c r="A728" s="278">
        <v>98</v>
      </c>
      <c r="B728" s="280" t="s">
        <v>125</v>
      </c>
      <c r="C728" s="278">
        <v>3448</v>
      </c>
      <c r="D728" s="259"/>
      <c r="F728" s="281">
        <v>44652</v>
      </c>
      <c r="G728" s="281">
        <v>44652</v>
      </c>
      <c r="I728" s="279">
        <v>31</v>
      </c>
      <c r="L728" s="279">
        <v>31</v>
      </c>
      <c r="M728" s="279">
        <v>25</v>
      </c>
      <c r="R728" s="279">
        <v>31</v>
      </c>
      <c r="S728" s="279">
        <v>753.91666666666652</v>
      </c>
      <c r="T728" s="279">
        <v>753.91666666666674</v>
      </c>
      <c r="U728" s="279">
        <v>673.91666666666674</v>
      </c>
      <c r="V728" s="279">
        <v>753.91666666666652</v>
      </c>
    </row>
    <row r="729" spans="1:22">
      <c r="E729" s="282">
        <v>0</v>
      </c>
      <c r="F729" s="282">
        <v>0</v>
      </c>
      <c r="G729" s="284">
        <v>0</v>
      </c>
      <c r="H729" s="284">
        <v>2</v>
      </c>
    </row>
    <row r="735" spans="1:22">
      <c r="A735" s="278">
        <v>99</v>
      </c>
      <c r="B735" s="280" t="s">
        <v>125</v>
      </c>
      <c r="C735" s="278">
        <v>3449</v>
      </c>
      <c r="D735" s="259"/>
      <c r="F735" s="281">
        <v>44652</v>
      </c>
      <c r="G735" s="281">
        <v>44652</v>
      </c>
      <c r="I735" s="279">
        <v>31</v>
      </c>
      <c r="J735" s="279">
        <v>1</v>
      </c>
      <c r="K735" s="279">
        <v>1</v>
      </c>
      <c r="L735" s="279">
        <v>30</v>
      </c>
      <c r="M735" s="279">
        <v>24</v>
      </c>
      <c r="R735" s="279">
        <v>30</v>
      </c>
      <c r="S735" s="279">
        <v>753.91666666666686</v>
      </c>
      <c r="T735" s="279">
        <v>752.24999999999955</v>
      </c>
      <c r="U735" s="279">
        <v>672.24999999999943</v>
      </c>
      <c r="V735" s="279">
        <v>752.24999999999955</v>
      </c>
    </row>
    <row r="736" spans="1:22">
      <c r="E736" s="282">
        <v>0</v>
      </c>
      <c r="F736" s="283">
        <v>1</v>
      </c>
      <c r="G736" s="284">
        <v>0</v>
      </c>
      <c r="H736" s="284">
        <v>2</v>
      </c>
    </row>
    <row r="742" spans="1:22">
      <c r="A742" s="278">
        <v>100</v>
      </c>
      <c r="B742" s="280" t="s">
        <v>125</v>
      </c>
      <c r="C742" s="278">
        <v>3450</v>
      </c>
      <c r="D742" s="259"/>
      <c r="F742" s="281">
        <v>44652</v>
      </c>
      <c r="G742" s="281">
        <v>44652</v>
      </c>
      <c r="I742" s="279">
        <v>31</v>
      </c>
      <c r="L742" s="279">
        <v>31</v>
      </c>
      <c r="M742" s="279">
        <v>25</v>
      </c>
      <c r="R742" s="279">
        <v>31</v>
      </c>
      <c r="S742" s="279">
        <v>1040.405</v>
      </c>
      <c r="T742" s="279">
        <v>1040.405</v>
      </c>
      <c r="U742" s="279">
        <v>930.005</v>
      </c>
      <c r="V742" s="279">
        <v>1040.4049999999997</v>
      </c>
    </row>
    <row r="743" spans="1:22">
      <c r="E743" s="282">
        <v>0</v>
      </c>
      <c r="F743" s="282">
        <v>0</v>
      </c>
      <c r="G743" s="284">
        <v>0</v>
      </c>
      <c r="H743" s="284">
        <v>2</v>
      </c>
    </row>
    <row r="749" spans="1:22">
      <c r="A749" s="278">
        <v>101</v>
      </c>
      <c r="B749" s="280" t="s">
        <v>125</v>
      </c>
      <c r="C749" s="278">
        <v>3453</v>
      </c>
      <c r="D749" s="259"/>
      <c r="F749" s="281">
        <v>44652</v>
      </c>
      <c r="G749" s="281">
        <v>44652</v>
      </c>
      <c r="I749" s="279">
        <v>78</v>
      </c>
      <c r="J749" s="279">
        <v>72</v>
      </c>
      <c r="K749" s="279">
        <v>33</v>
      </c>
      <c r="L749" s="279">
        <v>6</v>
      </c>
      <c r="M749" s="279">
        <v>4</v>
      </c>
      <c r="R749" s="279">
        <v>45</v>
      </c>
      <c r="S749" s="279">
        <v>798.66666666666595</v>
      </c>
      <c r="T749" s="279">
        <v>176.66666666666663</v>
      </c>
      <c r="U749" s="279">
        <v>155.83333333333334</v>
      </c>
      <c r="V749" s="279">
        <v>381.41666666666674</v>
      </c>
    </row>
    <row r="750" spans="1:22">
      <c r="E750" s="286">
        <v>1</v>
      </c>
      <c r="F750" s="283">
        <v>1</v>
      </c>
      <c r="G750" s="287">
        <v>1</v>
      </c>
      <c r="H750" s="284">
        <v>2</v>
      </c>
    </row>
    <row r="756" spans="1:22">
      <c r="A756" s="278">
        <v>102</v>
      </c>
      <c r="B756" s="280" t="s">
        <v>125</v>
      </c>
      <c r="C756" s="278">
        <v>3454</v>
      </c>
      <c r="D756" s="259"/>
      <c r="F756" s="281">
        <v>44652</v>
      </c>
      <c r="G756" s="281">
        <v>44652</v>
      </c>
      <c r="I756" s="279">
        <v>78</v>
      </c>
      <c r="J756" s="279">
        <v>72</v>
      </c>
      <c r="K756" s="279">
        <v>33</v>
      </c>
      <c r="L756" s="279">
        <v>6</v>
      </c>
      <c r="M756" s="279">
        <v>4</v>
      </c>
      <c r="R756" s="279">
        <v>45</v>
      </c>
      <c r="S756" s="279">
        <v>798.66666666666617</v>
      </c>
      <c r="T756" s="279">
        <v>176.66666666666663</v>
      </c>
      <c r="U756" s="279">
        <v>155.83333333333334</v>
      </c>
      <c r="V756" s="279">
        <v>381.41666666666674</v>
      </c>
    </row>
    <row r="757" spans="1:22">
      <c r="E757" s="286">
        <v>1</v>
      </c>
      <c r="F757" s="283">
        <v>1</v>
      </c>
      <c r="G757" s="287">
        <v>1</v>
      </c>
      <c r="H757" s="284">
        <v>2</v>
      </c>
    </row>
    <row r="763" spans="1:22">
      <c r="A763" s="278">
        <v>103</v>
      </c>
      <c r="B763" s="280" t="s">
        <v>125</v>
      </c>
      <c r="C763" s="278">
        <v>3455</v>
      </c>
      <c r="D763" s="259"/>
      <c r="F763" s="281">
        <v>44652</v>
      </c>
      <c r="G763" s="281">
        <v>44652</v>
      </c>
      <c r="I763" s="279">
        <v>79</v>
      </c>
      <c r="J763" s="279">
        <v>73</v>
      </c>
      <c r="K763" s="279">
        <v>32</v>
      </c>
      <c r="L763" s="279">
        <v>6</v>
      </c>
      <c r="M763" s="279">
        <v>4</v>
      </c>
      <c r="R763" s="279">
        <v>47</v>
      </c>
      <c r="S763" s="279">
        <v>1453.3983333333347</v>
      </c>
      <c r="T763" s="279">
        <v>243.8</v>
      </c>
      <c r="U763" s="279">
        <v>215.05</v>
      </c>
      <c r="V763" s="279">
        <v>526.35499999999979</v>
      </c>
    </row>
    <row r="764" spans="1:22">
      <c r="E764" s="286">
        <v>1</v>
      </c>
      <c r="F764" s="283">
        <v>1</v>
      </c>
      <c r="G764" s="287">
        <v>1</v>
      </c>
      <c r="H764" s="284">
        <v>2</v>
      </c>
    </row>
    <row r="770" spans="1:22">
      <c r="A770" s="278">
        <v>104</v>
      </c>
      <c r="B770" s="280" t="s">
        <v>125</v>
      </c>
      <c r="C770" s="278">
        <v>3456</v>
      </c>
      <c r="D770" s="259"/>
      <c r="F770" s="281">
        <v>44652</v>
      </c>
      <c r="G770" s="281">
        <v>44652</v>
      </c>
      <c r="I770" s="279">
        <v>49</v>
      </c>
      <c r="L770" s="279">
        <v>49</v>
      </c>
      <c r="M770" s="279">
        <v>46</v>
      </c>
      <c r="R770" s="279">
        <v>49</v>
      </c>
      <c r="S770" s="279">
        <v>1135.5583333333329</v>
      </c>
      <c r="T770" s="279">
        <v>1135.5583333333332</v>
      </c>
      <c r="U770" s="279">
        <v>1114.7249999999999</v>
      </c>
      <c r="V770" s="279">
        <v>1135.5583333333334</v>
      </c>
    </row>
    <row r="771" spans="1:22">
      <c r="E771" s="282">
        <v>0</v>
      </c>
      <c r="F771" s="282">
        <v>0</v>
      </c>
      <c r="G771" s="284">
        <v>0</v>
      </c>
      <c r="H771" s="284">
        <v>2</v>
      </c>
    </row>
    <row r="777" spans="1:22">
      <c r="A777" s="278">
        <v>105</v>
      </c>
      <c r="B777" s="280" t="s">
        <v>125</v>
      </c>
      <c r="C777" s="278">
        <v>3457</v>
      </c>
      <c r="D777" s="259"/>
      <c r="F777" s="281">
        <v>44652</v>
      </c>
      <c r="G777" s="281">
        <v>44652</v>
      </c>
      <c r="I777" s="279">
        <v>49</v>
      </c>
      <c r="L777" s="279">
        <v>49</v>
      </c>
      <c r="M777" s="279">
        <v>46</v>
      </c>
      <c r="R777" s="279">
        <v>49</v>
      </c>
      <c r="S777" s="279">
        <v>1135.5583333333332</v>
      </c>
      <c r="T777" s="279">
        <v>1135.5583333333334</v>
      </c>
      <c r="U777" s="279">
        <v>1114.7250000000004</v>
      </c>
      <c r="V777" s="279">
        <v>1135.5583333333336</v>
      </c>
    </row>
    <row r="778" spans="1:22">
      <c r="E778" s="282">
        <v>0</v>
      </c>
      <c r="F778" s="282">
        <v>0</v>
      </c>
      <c r="G778" s="284">
        <v>0</v>
      </c>
      <c r="H778" s="284">
        <v>2</v>
      </c>
    </row>
    <row r="784" spans="1:22">
      <c r="A784" s="278">
        <v>106</v>
      </c>
      <c r="B784" s="280" t="s">
        <v>125</v>
      </c>
      <c r="C784" s="278">
        <v>3458</v>
      </c>
      <c r="D784" s="259"/>
      <c r="F784" s="281">
        <v>44652</v>
      </c>
      <c r="G784" s="281">
        <v>44652</v>
      </c>
      <c r="I784" s="279">
        <v>49</v>
      </c>
      <c r="L784" s="279">
        <v>49</v>
      </c>
      <c r="M784" s="279">
        <v>46</v>
      </c>
      <c r="R784" s="279">
        <v>49</v>
      </c>
      <c r="S784" s="279">
        <v>1567.0704999999998</v>
      </c>
      <c r="T784" s="279">
        <v>1567.0705000000007</v>
      </c>
      <c r="U784" s="279">
        <v>1538.3205000000005</v>
      </c>
      <c r="V784" s="279">
        <v>1567.0704999999994</v>
      </c>
    </row>
    <row r="785" spans="1:23">
      <c r="E785" s="282">
        <v>0</v>
      </c>
      <c r="F785" s="282">
        <v>0</v>
      </c>
      <c r="G785" s="284">
        <v>0</v>
      </c>
      <c r="H785" s="284">
        <v>2</v>
      </c>
    </row>
    <row r="791" spans="1:23">
      <c r="A791" s="278">
        <v>107</v>
      </c>
      <c r="B791" s="280" t="s">
        <v>45</v>
      </c>
      <c r="C791" s="278">
        <v>3465</v>
      </c>
      <c r="D791" s="259"/>
      <c r="F791" s="281">
        <v>44652</v>
      </c>
      <c r="G791" s="281">
        <v>44652</v>
      </c>
      <c r="I791" s="279">
        <v>136</v>
      </c>
      <c r="L791" s="279">
        <v>136</v>
      </c>
      <c r="M791" s="279">
        <v>118</v>
      </c>
      <c r="R791" s="279">
        <v>136</v>
      </c>
      <c r="S791" s="279">
        <v>631.54966666666678</v>
      </c>
      <c r="T791" s="279">
        <v>631.54966666666644</v>
      </c>
      <c r="U791" s="279">
        <v>464.26299999999975</v>
      </c>
      <c r="V791" s="279">
        <v>631.5496666666661</v>
      </c>
      <c r="W791" s="285" t="s">
        <v>5422</v>
      </c>
    </row>
    <row r="792" spans="1:23">
      <c r="E792" s="282">
        <v>0</v>
      </c>
      <c r="F792" s="282">
        <v>0</v>
      </c>
      <c r="G792" s="284">
        <v>0</v>
      </c>
      <c r="H792" s="290">
        <v>1</v>
      </c>
    </row>
    <row r="798" spans="1:23">
      <c r="A798" s="278">
        <v>108</v>
      </c>
      <c r="B798" s="280" t="s">
        <v>44</v>
      </c>
      <c r="C798" s="278">
        <v>3474</v>
      </c>
      <c r="D798" s="259"/>
      <c r="F798" s="281">
        <v>44652</v>
      </c>
      <c r="G798" s="281">
        <v>44652</v>
      </c>
      <c r="I798" s="279">
        <v>28</v>
      </c>
      <c r="L798" s="279">
        <v>28</v>
      </c>
      <c r="M798" s="279">
        <v>28</v>
      </c>
      <c r="R798" s="279">
        <v>28</v>
      </c>
      <c r="S798" s="279">
        <v>1427.4000000000003</v>
      </c>
      <c r="T798" s="279">
        <v>1427.4000000000003</v>
      </c>
      <c r="U798" s="279">
        <v>1427.4</v>
      </c>
      <c r="V798" s="279">
        <v>1427.4000000000003</v>
      </c>
    </row>
    <row r="799" spans="1:23">
      <c r="E799" s="282">
        <v>0</v>
      </c>
      <c r="F799" s="282">
        <v>0</v>
      </c>
      <c r="G799" s="287">
        <v>1</v>
      </c>
      <c r="H799" s="284">
        <v>2</v>
      </c>
    </row>
    <row r="805" spans="1:22">
      <c r="A805" s="278">
        <v>109</v>
      </c>
      <c r="B805" s="280" t="s">
        <v>44</v>
      </c>
      <c r="C805" s="278">
        <v>3476</v>
      </c>
      <c r="D805" s="259"/>
      <c r="F805" s="281">
        <v>44652</v>
      </c>
      <c r="G805" s="281">
        <v>44652</v>
      </c>
      <c r="I805" s="279">
        <v>19</v>
      </c>
      <c r="J805" s="279">
        <v>1</v>
      </c>
      <c r="K805" s="279">
        <v>1</v>
      </c>
      <c r="L805" s="279">
        <v>18</v>
      </c>
      <c r="M805" s="279">
        <v>18</v>
      </c>
      <c r="R805" s="279">
        <v>18</v>
      </c>
      <c r="S805" s="279">
        <v>265.4466666666666</v>
      </c>
      <c r="T805" s="279">
        <v>175.84666666666669</v>
      </c>
      <c r="U805" s="279">
        <v>175.84666666666669</v>
      </c>
      <c r="V805" s="279">
        <v>175.84666666666672</v>
      </c>
    </row>
    <row r="806" spans="1:22">
      <c r="E806" s="282">
        <v>0</v>
      </c>
      <c r="F806" s="283">
        <v>1</v>
      </c>
      <c r="G806" s="284">
        <v>0</v>
      </c>
      <c r="H806" s="290">
        <v>1</v>
      </c>
    </row>
    <row r="812" spans="1:22">
      <c r="A812" s="278">
        <v>110</v>
      </c>
      <c r="B812" s="280" t="s">
        <v>44</v>
      </c>
      <c r="C812" s="278">
        <v>3477</v>
      </c>
      <c r="D812" s="259"/>
      <c r="F812" s="281">
        <v>44652</v>
      </c>
      <c r="G812" s="281">
        <v>44652</v>
      </c>
      <c r="I812" s="279">
        <v>25</v>
      </c>
      <c r="L812" s="279">
        <v>25</v>
      </c>
      <c r="M812" s="279">
        <v>25</v>
      </c>
      <c r="R812" s="279">
        <v>25</v>
      </c>
      <c r="S812" s="279">
        <v>1737.229</v>
      </c>
      <c r="T812" s="279">
        <v>1737.2289999999996</v>
      </c>
      <c r="U812" s="279">
        <v>1737.229</v>
      </c>
      <c r="V812" s="279">
        <v>1737.2289999999996</v>
      </c>
    </row>
    <row r="813" spans="1:22">
      <c r="E813" s="282">
        <v>0</v>
      </c>
      <c r="F813" s="282">
        <v>0</v>
      </c>
      <c r="G813" s="284">
        <v>0</v>
      </c>
      <c r="H813" s="290">
        <v>1</v>
      </c>
    </row>
    <row r="819" spans="1:22">
      <c r="A819" s="278">
        <v>111</v>
      </c>
      <c r="B819" s="280" t="s">
        <v>44</v>
      </c>
      <c r="C819" s="278">
        <v>3478</v>
      </c>
      <c r="D819" s="259"/>
      <c r="F819" s="281">
        <v>44652</v>
      </c>
      <c r="G819" s="281">
        <v>44652</v>
      </c>
      <c r="I819" s="279">
        <v>9</v>
      </c>
      <c r="L819" s="279">
        <v>9</v>
      </c>
      <c r="M819" s="279">
        <v>9</v>
      </c>
      <c r="R819" s="279">
        <v>9</v>
      </c>
      <c r="S819" s="279">
        <v>800.41766666666672</v>
      </c>
      <c r="T819" s="279">
        <v>800.41766666666672</v>
      </c>
      <c r="U819" s="279">
        <v>800.41766666666661</v>
      </c>
      <c r="V819" s="279">
        <v>800.41766666666672</v>
      </c>
    </row>
    <row r="820" spans="1:22">
      <c r="E820" s="282">
        <v>0</v>
      </c>
      <c r="F820" s="282">
        <v>0</v>
      </c>
      <c r="G820" s="284">
        <v>0</v>
      </c>
      <c r="H820" s="290">
        <v>1</v>
      </c>
    </row>
    <row r="826" spans="1:22">
      <c r="A826" s="278">
        <v>112</v>
      </c>
      <c r="B826" s="280" t="s">
        <v>44</v>
      </c>
      <c r="C826" s="278">
        <v>3479</v>
      </c>
      <c r="D826" s="259"/>
      <c r="F826" s="281">
        <v>44652</v>
      </c>
      <c r="G826" s="281">
        <v>44652</v>
      </c>
      <c r="I826" s="279">
        <v>27</v>
      </c>
      <c r="L826" s="279">
        <v>27</v>
      </c>
      <c r="M826" s="279">
        <v>21</v>
      </c>
      <c r="R826" s="279">
        <v>27</v>
      </c>
      <c r="S826" s="279">
        <v>1435.1580000000004</v>
      </c>
      <c r="T826" s="279">
        <v>1435.1580000000004</v>
      </c>
      <c r="U826" s="279">
        <v>1159.3080000000004</v>
      </c>
      <c r="V826" s="279">
        <v>1435.1580000000008</v>
      </c>
    </row>
    <row r="827" spans="1:22">
      <c r="E827" s="282">
        <v>0</v>
      </c>
      <c r="F827" s="282">
        <v>0</v>
      </c>
      <c r="G827" s="284">
        <v>0</v>
      </c>
      <c r="H827" s="290">
        <v>1</v>
      </c>
    </row>
    <row r="833" spans="1:22">
      <c r="A833" s="278">
        <v>113</v>
      </c>
      <c r="B833" s="280" t="s">
        <v>44</v>
      </c>
      <c r="C833" s="278">
        <v>3480</v>
      </c>
      <c r="D833" s="259"/>
      <c r="F833" s="281">
        <v>44652</v>
      </c>
      <c r="G833" s="281">
        <v>44652</v>
      </c>
      <c r="I833" s="279">
        <v>14</v>
      </c>
      <c r="L833" s="279">
        <v>14</v>
      </c>
      <c r="M833" s="279">
        <v>12</v>
      </c>
      <c r="R833" s="279">
        <v>14</v>
      </c>
      <c r="S833" s="279">
        <v>775.52999999999986</v>
      </c>
      <c r="T833" s="279">
        <v>775.53</v>
      </c>
      <c r="U833" s="279">
        <v>681.93</v>
      </c>
      <c r="V833" s="279">
        <v>775.53000000000031</v>
      </c>
    </row>
    <row r="834" spans="1:22">
      <c r="E834" s="282">
        <v>0</v>
      </c>
      <c r="F834" s="282">
        <v>0</v>
      </c>
      <c r="G834" s="284">
        <v>0</v>
      </c>
      <c r="H834" s="290">
        <v>1</v>
      </c>
    </row>
    <row r="840" spans="1:22">
      <c r="A840" s="278">
        <v>114</v>
      </c>
      <c r="B840" s="280" t="s">
        <v>44</v>
      </c>
      <c r="C840" s="278">
        <v>3481</v>
      </c>
      <c r="D840" s="259"/>
      <c r="F840" s="281">
        <v>44652</v>
      </c>
      <c r="G840" s="281">
        <v>44652</v>
      </c>
      <c r="I840" s="279">
        <v>33</v>
      </c>
      <c r="L840" s="279">
        <v>33</v>
      </c>
      <c r="M840" s="279">
        <v>29</v>
      </c>
      <c r="R840" s="279">
        <v>33</v>
      </c>
      <c r="S840" s="279">
        <v>849.24</v>
      </c>
      <c r="T840" s="279">
        <v>849.2399999999999</v>
      </c>
      <c r="U840" s="279">
        <v>841.43999999999983</v>
      </c>
      <c r="V840" s="279">
        <v>849.24000000000012</v>
      </c>
    </row>
    <row r="841" spans="1:22">
      <c r="E841" s="282">
        <v>0</v>
      </c>
      <c r="F841" s="282">
        <v>0</v>
      </c>
      <c r="G841" s="284">
        <v>0</v>
      </c>
      <c r="H841" s="290">
        <v>1</v>
      </c>
    </row>
    <row r="847" spans="1:22">
      <c r="A847" s="278">
        <v>115</v>
      </c>
      <c r="B847" s="280" t="s">
        <v>44</v>
      </c>
      <c r="C847" s="278">
        <v>3482</v>
      </c>
      <c r="D847" s="259"/>
      <c r="F847" s="281">
        <v>44652</v>
      </c>
      <c r="G847" s="281">
        <v>44652</v>
      </c>
      <c r="I847" s="279">
        <v>57</v>
      </c>
      <c r="L847" s="279">
        <v>57</v>
      </c>
      <c r="M847" s="279">
        <v>50</v>
      </c>
      <c r="R847" s="279">
        <v>57</v>
      </c>
      <c r="S847" s="279">
        <v>402.84399999999999</v>
      </c>
      <c r="T847" s="279">
        <v>402.84400000000011</v>
      </c>
      <c r="U847" s="279">
        <v>302.74400000000014</v>
      </c>
      <c r="V847" s="279">
        <v>402.84399999999994</v>
      </c>
    </row>
    <row r="848" spans="1:22">
      <c r="E848" s="282">
        <v>0</v>
      </c>
      <c r="F848" s="282">
        <v>0</v>
      </c>
      <c r="G848" s="284">
        <v>0</v>
      </c>
      <c r="H848" s="290">
        <v>1</v>
      </c>
    </row>
    <row r="854" spans="1:22">
      <c r="A854" s="278">
        <v>116</v>
      </c>
      <c r="B854" s="280" t="s">
        <v>44</v>
      </c>
      <c r="C854" s="278">
        <v>3483</v>
      </c>
      <c r="D854" s="259"/>
      <c r="F854" s="281">
        <v>44652</v>
      </c>
      <c r="G854" s="281">
        <v>44652</v>
      </c>
      <c r="I854" s="279">
        <v>126</v>
      </c>
      <c r="L854" s="279">
        <v>126</v>
      </c>
      <c r="M854" s="279">
        <v>109</v>
      </c>
      <c r="R854" s="279">
        <v>126</v>
      </c>
      <c r="S854" s="279">
        <v>870.13599999999906</v>
      </c>
      <c r="T854" s="279">
        <v>870.13599999999917</v>
      </c>
      <c r="U854" s="279">
        <v>769.38599999999917</v>
      </c>
      <c r="V854" s="279">
        <v>870.13599999999906</v>
      </c>
    </row>
    <row r="855" spans="1:22">
      <c r="E855" s="282">
        <v>0</v>
      </c>
      <c r="F855" s="282">
        <v>0</v>
      </c>
      <c r="G855" s="284">
        <v>0</v>
      </c>
      <c r="H855" s="290">
        <v>1</v>
      </c>
    </row>
    <row r="861" spans="1:22">
      <c r="A861" s="278">
        <v>117</v>
      </c>
      <c r="B861" s="280" t="s">
        <v>44</v>
      </c>
      <c r="C861" s="278">
        <v>3484</v>
      </c>
      <c r="D861" s="259"/>
      <c r="F861" s="281">
        <v>44652</v>
      </c>
      <c r="G861" s="281">
        <v>44652</v>
      </c>
      <c r="I861" s="279">
        <v>230</v>
      </c>
      <c r="L861" s="279">
        <v>230</v>
      </c>
      <c r="M861" s="279">
        <v>185</v>
      </c>
      <c r="R861" s="279">
        <v>230</v>
      </c>
      <c r="S861" s="279">
        <v>2532.6689999999999</v>
      </c>
      <c r="T861" s="279">
        <v>2532.6689999999981</v>
      </c>
      <c r="U861" s="279">
        <v>2096.0889999999981</v>
      </c>
      <c r="V861" s="279">
        <v>2532.668999999999</v>
      </c>
    </row>
    <row r="862" spans="1:22">
      <c r="E862" s="282">
        <v>0</v>
      </c>
      <c r="F862" s="282">
        <v>0</v>
      </c>
      <c r="G862" s="284">
        <v>0</v>
      </c>
      <c r="H862" s="290">
        <v>1</v>
      </c>
    </row>
    <row r="868" spans="1:22">
      <c r="A868" s="278">
        <v>118</v>
      </c>
      <c r="B868" s="280" t="s">
        <v>44</v>
      </c>
      <c r="C868" s="278">
        <v>3485</v>
      </c>
      <c r="D868" s="259"/>
      <c r="F868" s="281">
        <v>44652</v>
      </c>
      <c r="G868" s="281">
        <v>44652</v>
      </c>
      <c r="I868" s="279">
        <v>21</v>
      </c>
      <c r="L868" s="279">
        <v>21</v>
      </c>
      <c r="M868" s="279">
        <v>14</v>
      </c>
      <c r="R868" s="279">
        <v>21</v>
      </c>
      <c r="S868" s="279">
        <v>1552.875</v>
      </c>
      <c r="T868" s="279">
        <v>1552.8749999999998</v>
      </c>
      <c r="U868" s="279">
        <v>681.37499999999989</v>
      </c>
      <c r="V868" s="279">
        <v>1552.875</v>
      </c>
    </row>
    <row r="869" spans="1:22">
      <c r="E869" s="282">
        <v>0</v>
      </c>
      <c r="F869" s="282">
        <v>0</v>
      </c>
      <c r="G869" s="284">
        <v>0</v>
      </c>
      <c r="H869" s="290">
        <v>1</v>
      </c>
    </row>
    <row r="875" spans="1:22">
      <c r="A875" s="278">
        <v>119</v>
      </c>
      <c r="B875" s="280" t="s">
        <v>44</v>
      </c>
      <c r="C875" s="278">
        <v>3487</v>
      </c>
      <c r="D875" s="259"/>
      <c r="F875" s="281">
        <v>44652</v>
      </c>
      <c r="G875" s="281">
        <v>44652</v>
      </c>
      <c r="I875" s="279">
        <v>97</v>
      </c>
      <c r="L875" s="279">
        <v>97</v>
      </c>
      <c r="M875" s="279">
        <v>77</v>
      </c>
      <c r="R875" s="279">
        <v>97</v>
      </c>
      <c r="S875" s="279">
        <v>320.39416666666671</v>
      </c>
      <c r="T875" s="279">
        <v>320.39416666666648</v>
      </c>
      <c r="U875" s="279">
        <v>227.3608333333332</v>
      </c>
      <c r="V875" s="279">
        <v>320.39416666666665</v>
      </c>
    </row>
    <row r="876" spans="1:22">
      <c r="E876" s="282">
        <v>0</v>
      </c>
      <c r="F876" s="282">
        <v>0</v>
      </c>
      <c r="G876" s="284">
        <v>0</v>
      </c>
      <c r="H876" s="284">
        <v>2</v>
      </c>
    </row>
    <row r="882" spans="1:23">
      <c r="A882" s="278">
        <v>120</v>
      </c>
      <c r="B882" s="288" t="s">
        <v>34</v>
      </c>
      <c r="C882" s="278">
        <v>3489</v>
      </c>
      <c r="D882" s="259"/>
      <c r="F882" s="281">
        <v>44652</v>
      </c>
      <c r="G882" s="281">
        <v>44652</v>
      </c>
      <c r="I882" s="279">
        <v>8</v>
      </c>
      <c r="L882" s="279">
        <v>8</v>
      </c>
      <c r="M882" s="279">
        <v>8</v>
      </c>
      <c r="R882" s="279">
        <v>8</v>
      </c>
      <c r="S882" s="279">
        <v>1026.2416666666666</v>
      </c>
      <c r="T882" s="279">
        <v>1026.2416666666666</v>
      </c>
      <c r="U882" s="279">
        <v>1026.2416666666668</v>
      </c>
      <c r="V882" s="279">
        <v>1026.2416666666666</v>
      </c>
      <c r="W882" s="285" t="s">
        <v>5425</v>
      </c>
    </row>
    <row r="883" spans="1:23">
      <c r="E883" s="282">
        <v>0</v>
      </c>
      <c r="F883" s="282">
        <v>0</v>
      </c>
      <c r="G883" s="284">
        <v>0</v>
      </c>
      <c r="H883" s="284">
        <v>2</v>
      </c>
    </row>
    <row r="889" spans="1:23">
      <c r="A889" s="278">
        <v>121</v>
      </c>
      <c r="B889" s="288" t="s">
        <v>34</v>
      </c>
      <c r="C889" s="278">
        <v>3490</v>
      </c>
      <c r="D889" s="259"/>
      <c r="F889" s="281">
        <v>44652</v>
      </c>
      <c r="G889" s="281">
        <v>44652</v>
      </c>
      <c r="I889" s="279">
        <v>8</v>
      </c>
      <c r="L889" s="279">
        <v>8</v>
      </c>
      <c r="M889" s="279">
        <v>8</v>
      </c>
      <c r="R889" s="279">
        <v>8</v>
      </c>
      <c r="S889" s="279">
        <v>1026.2416666666666</v>
      </c>
      <c r="T889" s="279">
        <v>1026.2416666666666</v>
      </c>
      <c r="U889" s="279">
        <v>1026.2416666666668</v>
      </c>
      <c r="V889" s="279">
        <v>1026.2416666666668</v>
      </c>
      <c r="W889" s="285" t="s">
        <v>5425</v>
      </c>
    </row>
    <row r="890" spans="1:23">
      <c r="E890" s="282">
        <v>0</v>
      </c>
      <c r="F890" s="282">
        <v>0</v>
      </c>
      <c r="G890" s="284">
        <v>0</v>
      </c>
      <c r="H890" s="284">
        <v>2</v>
      </c>
    </row>
    <row r="896" spans="1:23">
      <c r="A896" s="278">
        <v>122</v>
      </c>
      <c r="B896" s="288" t="s">
        <v>34</v>
      </c>
      <c r="C896" s="278">
        <v>3491</v>
      </c>
      <c r="D896" s="259"/>
      <c r="F896" s="281">
        <v>44652</v>
      </c>
      <c r="G896" s="281">
        <v>44652</v>
      </c>
      <c r="I896" s="279">
        <v>8</v>
      </c>
      <c r="L896" s="279">
        <v>8</v>
      </c>
      <c r="M896" s="279">
        <v>8</v>
      </c>
      <c r="R896" s="279">
        <v>8</v>
      </c>
      <c r="S896" s="279">
        <v>1026.2416666666666</v>
      </c>
      <c r="T896" s="279">
        <v>1026.2416666666668</v>
      </c>
      <c r="U896" s="279">
        <v>1026.2416666666668</v>
      </c>
      <c r="V896" s="279">
        <v>1026.2416666666666</v>
      </c>
      <c r="W896" s="285" t="s">
        <v>5425</v>
      </c>
    </row>
    <row r="897" spans="1:23">
      <c r="E897" s="282">
        <v>0</v>
      </c>
      <c r="F897" s="282">
        <v>0</v>
      </c>
      <c r="G897" s="284">
        <v>0</v>
      </c>
      <c r="H897" s="284">
        <v>2</v>
      </c>
    </row>
    <row r="903" spans="1:23">
      <c r="A903" s="278">
        <v>123</v>
      </c>
      <c r="B903" s="288" t="s">
        <v>34</v>
      </c>
      <c r="C903" s="278">
        <v>3492</v>
      </c>
      <c r="D903" s="259"/>
      <c r="F903" s="281">
        <v>44652</v>
      </c>
      <c r="G903" s="281">
        <v>44652</v>
      </c>
      <c r="I903" s="279">
        <v>8</v>
      </c>
      <c r="L903" s="279">
        <v>8</v>
      </c>
      <c r="M903" s="279">
        <v>8</v>
      </c>
      <c r="R903" s="279">
        <v>8</v>
      </c>
      <c r="S903" s="279">
        <v>1051.1116666666667</v>
      </c>
      <c r="T903" s="279">
        <v>1051.1116666666667</v>
      </c>
      <c r="U903" s="279">
        <v>1051.1116666666667</v>
      </c>
      <c r="V903" s="279">
        <v>1051.1116666666665</v>
      </c>
      <c r="W903" s="285" t="s">
        <v>5440</v>
      </c>
    </row>
    <row r="904" spans="1:23">
      <c r="E904" s="282">
        <v>0</v>
      </c>
      <c r="F904" s="282">
        <v>0</v>
      </c>
      <c r="G904" s="284">
        <v>0</v>
      </c>
      <c r="H904" s="284">
        <v>2</v>
      </c>
    </row>
    <row r="910" spans="1:23">
      <c r="A910" s="278">
        <v>124</v>
      </c>
      <c r="B910" s="280" t="s">
        <v>147</v>
      </c>
      <c r="C910" s="278">
        <v>3493</v>
      </c>
      <c r="D910" s="259"/>
      <c r="F910" s="281">
        <v>44652</v>
      </c>
      <c r="G910" s="281">
        <v>44652</v>
      </c>
      <c r="I910" s="279">
        <v>48</v>
      </c>
      <c r="J910" s="279">
        <v>15</v>
      </c>
      <c r="K910" s="279">
        <v>3</v>
      </c>
      <c r="L910" s="279">
        <v>33</v>
      </c>
      <c r="M910" s="279">
        <v>27</v>
      </c>
      <c r="R910" s="279">
        <v>45</v>
      </c>
      <c r="S910" s="279">
        <v>89.815666666666672</v>
      </c>
      <c r="T910" s="279">
        <v>66.677666666666667</v>
      </c>
      <c r="U910" s="279">
        <v>48.377666666666663</v>
      </c>
      <c r="V910" s="279">
        <v>89.077666666666659</v>
      </c>
    </row>
    <row r="911" spans="1:23">
      <c r="E911" s="286">
        <v>1</v>
      </c>
      <c r="F911" s="283">
        <v>1</v>
      </c>
      <c r="G911" s="287">
        <v>1</v>
      </c>
      <c r="H911" s="284">
        <v>2</v>
      </c>
    </row>
    <row r="917" spans="1:22">
      <c r="A917" s="278">
        <v>125</v>
      </c>
      <c r="B917" s="280" t="s">
        <v>44</v>
      </c>
      <c r="C917" s="278">
        <v>3494</v>
      </c>
      <c r="D917" s="259"/>
      <c r="F917" s="281">
        <v>44652</v>
      </c>
      <c r="G917" s="281">
        <v>44652</v>
      </c>
      <c r="I917" s="279">
        <v>83</v>
      </c>
      <c r="L917" s="279">
        <v>83</v>
      </c>
      <c r="M917" s="279">
        <v>66</v>
      </c>
      <c r="R917" s="279">
        <v>83</v>
      </c>
      <c r="S917" s="279">
        <v>2350.791333333334</v>
      </c>
      <c r="T917" s="279">
        <v>2350.7913333333331</v>
      </c>
      <c r="U917" s="279">
        <v>1789.9246666666661</v>
      </c>
      <c r="V917" s="279">
        <v>2350.791333333334</v>
      </c>
    </row>
    <row r="918" spans="1:22">
      <c r="E918" s="282">
        <v>0</v>
      </c>
      <c r="F918" s="282">
        <v>0</v>
      </c>
      <c r="G918" s="284">
        <v>0</v>
      </c>
      <c r="H918" s="290">
        <v>1</v>
      </c>
    </row>
    <row r="924" spans="1:22">
      <c r="A924" s="278">
        <v>126</v>
      </c>
      <c r="B924" s="280" t="s">
        <v>44</v>
      </c>
      <c r="C924" s="278">
        <v>3495</v>
      </c>
      <c r="D924" s="259"/>
      <c r="F924" s="281">
        <v>44652</v>
      </c>
      <c r="G924" s="281">
        <v>44652</v>
      </c>
      <c r="I924" s="279">
        <v>3</v>
      </c>
      <c r="L924" s="279">
        <v>3</v>
      </c>
      <c r="M924" s="279">
        <v>2</v>
      </c>
      <c r="R924" s="279">
        <v>3</v>
      </c>
      <c r="S924" s="279">
        <v>1354.6666666666665</v>
      </c>
      <c r="T924" s="279">
        <v>1354.6666666666665</v>
      </c>
      <c r="U924" s="279">
        <v>1109.3333333333328</v>
      </c>
      <c r="V924" s="279">
        <v>1354.6666666666665</v>
      </c>
    </row>
    <row r="925" spans="1:22">
      <c r="E925" s="282">
        <v>0</v>
      </c>
      <c r="F925" s="282">
        <v>0</v>
      </c>
      <c r="G925" s="284">
        <v>0</v>
      </c>
      <c r="H925" s="290">
        <v>1</v>
      </c>
    </row>
    <row r="931" spans="1:22">
      <c r="A931" s="278">
        <v>127</v>
      </c>
      <c r="B931" s="280" t="s">
        <v>44</v>
      </c>
      <c r="C931" s="278">
        <v>3496</v>
      </c>
      <c r="D931" s="259"/>
      <c r="F931" s="281">
        <v>44652</v>
      </c>
      <c r="G931" s="281">
        <v>44652</v>
      </c>
      <c r="I931" s="279">
        <v>68</v>
      </c>
      <c r="L931" s="279">
        <v>68</v>
      </c>
      <c r="M931" s="279">
        <v>54</v>
      </c>
      <c r="R931" s="279">
        <v>68</v>
      </c>
      <c r="S931" s="279">
        <v>2067.0433333333331</v>
      </c>
      <c r="T931" s="279">
        <v>2067.0433333333331</v>
      </c>
      <c r="U931" s="279">
        <v>1802.0566666666668</v>
      </c>
      <c r="V931" s="279">
        <v>2067.0433333333326</v>
      </c>
    </row>
    <row r="932" spans="1:22">
      <c r="E932" s="282">
        <v>0</v>
      </c>
      <c r="F932" s="282">
        <v>0</v>
      </c>
      <c r="G932" s="284">
        <v>0</v>
      </c>
      <c r="H932" s="290">
        <v>1</v>
      </c>
    </row>
    <row r="938" spans="1:22">
      <c r="A938" s="278">
        <v>128</v>
      </c>
      <c r="B938" s="280" t="s">
        <v>44</v>
      </c>
      <c r="C938" s="278">
        <v>3497</v>
      </c>
      <c r="D938" s="259"/>
      <c r="F938" s="281">
        <v>44652</v>
      </c>
      <c r="G938" s="281">
        <v>44652</v>
      </c>
      <c r="I938" s="279">
        <v>132</v>
      </c>
      <c r="L938" s="279">
        <v>132</v>
      </c>
      <c r="M938" s="279">
        <v>107</v>
      </c>
      <c r="R938" s="279">
        <v>132</v>
      </c>
      <c r="S938" s="279">
        <v>1385.8533333333328</v>
      </c>
      <c r="T938" s="279">
        <v>1385.8533333333326</v>
      </c>
      <c r="U938" s="279">
        <v>785.1866666666657</v>
      </c>
      <c r="V938" s="279">
        <v>1385.8533333333326</v>
      </c>
    </row>
    <row r="939" spans="1:22">
      <c r="E939" s="282">
        <v>0</v>
      </c>
      <c r="F939" s="282">
        <v>0</v>
      </c>
      <c r="G939" s="284">
        <v>0</v>
      </c>
      <c r="H939" s="290">
        <v>1</v>
      </c>
    </row>
    <row r="945" spans="1:22">
      <c r="A945" s="278">
        <v>129</v>
      </c>
      <c r="B945" s="280" t="s">
        <v>44</v>
      </c>
      <c r="C945" s="278">
        <v>3498</v>
      </c>
      <c r="D945" s="259"/>
      <c r="F945" s="281">
        <v>44652</v>
      </c>
      <c r="G945" s="281">
        <v>44652</v>
      </c>
      <c r="I945" s="279">
        <v>61</v>
      </c>
      <c r="L945" s="279">
        <v>61</v>
      </c>
      <c r="M945" s="279">
        <v>44</v>
      </c>
      <c r="R945" s="279">
        <v>61</v>
      </c>
      <c r="S945" s="279">
        <v>496.77666666666642</v>
      </c>
      <c r="T945" s="279">
        <v>496.77666666666664</v>
      </c>
      <c r="U945" s="279">
        <v>162.30999999999977</v>
      </c>
      <c r="V945" s="279">
        <v>496.77666666666681</v>
      </c>
    </row>
    <row r="946" spans="1:22">
      <c r="E946" s="282">
        <v>0</v>
      </c>
      <c r="F946" s="282">
        <v>0</v>
      </c>
      <c r="G946" s="284">
        <v>0</v>
      </c>
      <c r="H946" s="290">
        <v>1</v>
      </c>
    </row>
    <row r="952" spans="1:22">
      <c r="A952" s="278">
        <v>130</v>
      </c>
      <c r="B952" s="288" t="s">
        <v>34</v>
      </c>
      <c r="C952" s="278">
        <v>3499</v>
      </c>
      <c r="D952" s="259"/>
      <c r="F952" s="281">
        <v>44652</v>
      </c>
      <c r="G952" s="281">
        <v>44652</v>
      </c>
      <c r="I952" s="279">
        <v>9</v>
      </c>
      <c r="L952" s="279">
        <v>9</v>
      </c>
      <c r="M952" s="279">
        <v>9</v>
      </c>
      <c r="R952" s="279">
        <v>9</v>
      </c>
      <c r="S952" s="279">
        <v>1710</v>
      </c>
      <c r="T952" s="279">
        <v>1710</v>
      </c>
      <c r="U952" s="279">
        <v>1710</v>
      </c>
      <c r="V952" s="279">
        <v>1710</v>
      </c>
    </row>
    <row r="953" spans="1:22">
      <c r="E953" s="282">
        <v>0</v>
      </c>
      <c r="F953" s="282">
        <v>0</v>
      </c>
      <c r="G953" s="284">
        <v>0</v>
      </c>
      <c r="H953" s="284">
        <v>0</v>
      </c>
    </row>
    <row r="959" spans="1:22">
      <c r="A959" s="278">
        <v>131</v>
      </c>
      <c r="B959" s="288" t="s">
        <v>34</v>
      </c>
      <c r="C959" s="278">
        <v>3500</v>
      </c>
      <c r="D959" s="259"/>
      <c r="F959" s="281">
        <v>44652</v>
      </c>
      <c r="G959" s="281">
        <v>44652</v>
      </c>
      <c r="I959" s="279">
        <v>53</v>
      </c>
      <c r="L959" s="279">
        <v>53</v>
      </c>
      <c r="M959" s="279">
        <v>49</v>
      </c>
      <c r="R959" s="279">
        <v>53</v>
      </c>
      <c r="S959" s="279">
        <v>1191.5000000000007</v>
      </c>
      <c r="T959" s="279">
        <v>1191.5000000000002</v>
      </c>
      <c r="U959" s="279">
        <v>1087.3333333333337</v>
      </c>
      <c r="V959" s="279">
        <v>1191.5000000000007</v>
      </c>
    </row>
    <row r="960" spans="1:22">
      <c r="E960" s="282">
        <v>0</v>
      </c>
      <c r="F960" s="282">
        <v>0</v>
      </c>
      <c r="G960" s="284">
        <v>0</v>
      </c>
      <c r="H960" s="284">
        <v>0</v>
      </c>
    </row>
    <row r="966" spans="1:22">
      <c r="A966" s="278">
        <v>132</v>
      </c>
      <c r="B966" s="288" t="s">
        <v>34</v>
      </c>
      <c r="C966" s="278">
        <v>3501</v>
      </c>
      <c r="D966" s="259"/>
      <c r="F966" s="281">
        <v>44652</v>
      </c>
      <c r="G966" s="281">
        <v>44652</v>
      </c>
      <c r="I966" s="279">
        <v>8</v>
      </c>
      <c r="L966" s="279">
        <v>8</v>
      </c>
      <c r="M966" s="279">
        <v>8</v>
      </c>
      <c r="R966" s="279">
        <v>8</v>
      </c>
      <c r="S966" s="279">
        <v>2098.0833333333335</v>
      </c>
      <c r="T966" s="279">
        <v>2098.0833333333335</v>
      </c>
      <c r="U966" s="279">
        <v>2098.0833333333335</v>
      </c>
      <c r="V966" s="279">
        <v>2098.083333333333</v>
      </c>
    </row>
    <row r="967" spans="1:22">
      <c r="E967" s="282">
        <v>0</v>
      </c>
      <c r="F967" s="282">
        <v>0</v>
      </c>
      <c r="G967" s="284">
        <v>0</v>
      </c>
      <c r="H967" s="284">
        <v>0</v>
      </c>
    </row>
    <row r="973" spans="1:22">
      <c r="A973" s="278">
        <v>133</v>
      </c>
      <c r="B973" s="288" t="s">
        <v>34</v>
      </c>
      <c r="C973" s="278">
        <v>3502</v>
      </c>
      <c r="D973" s="259"/>
      <c r="F973" s="281">
        <v>44652</v>
      </c>
      <c r="G973" s="281">
        <v>44652</v>
      </c>
      <c r="I973" s="279">
        <v>42</v>
      </c>
      <c r="L973" s="279">
        <v>42</v>
      </c>
      <c r="M973" s="279">
        <v>35</v>
      </c>
      <c r="R973" s="279">
        <v>42</v>
      </c>
      <c r="S973" s="279">
        <v>937.66666666666674</v>
      </c>
      <c r="T973" s="279">
        <v>937.6666666666664</v>
      </c>
      <c r="U973" s="279">
        <v>779.33333333333303</v>
      </c>
      <c r="V973" s="279">
        <v>937.66666666666652</v>
      </c>
    </row>
    <row r="974" spans="1:22">
      <c r="E974" s="282">
        <v>0</v>
      </c>
      <c r="F974" s="282">
        <v>0</v>
      </c>
      <c r="G974" s="284">
        <v>0</v>
      </c>
      <c r="H974" s="284">
        <v>0</v>
      </c>
    </row>
    <row r="980" spans="1:22">
      <c r="A980" s="278">
        <v>134</v>
      </c>
      <c r="B980" s="280" t="s">
        <v>125</v>
      </c>
      <c r="C980" s="278">
        <v>3504</v>
      </c>
      <c r="D980" s="259"/>
      <c r="F980" s="281">
        <v>44652</v>
      </c>
      <c r="G980" s="281">
        <v>44652</v>
      </c>
      <c r="I980" s="279">
        <v>282</v>
      </c>
      <c r="J980" s="279">
        <v>24</v>
      </c>
      <c r="K980" s="279">
        <v>2</v>
      </c>
      <c r="L980" s="279">
        <v>258</v>
      </c>
      <c r="M980" s="279">
        <v>232</v>
      </c>
      <c r="R980" s="279">
        <v>280</v>
      </c>
      <c r="S980" s="279">
        <v>318.81433333333359</v>
      </c>
      <c r="T980" s="279">
        <v>278.27016666666691</v>
      </c>
      <c r="U980" s="279">
        <v>260.98683333333361</v>
      </c>
      <c r="V980" s="279">
        <v>297.8651666666666</v>
      </c>
    </row>
    <row r="981" spans="1:22">
      <c r="E981" s="282">
        <v>0</v>
      </c>
      <c r="F981" s="283">
        <v>1</v>
      </c>
      <c r="G981" s="284">
        <v>0</v>
      </c>
      <c r="H981" s="284">
        <v>2</v>
      </c>
    </row>
    <row r="987" spans="1:22">
      <c r="A987" s="278">
        <v>135</v>
      </c>
      <c r="B987" s="280" t="s">
        <v>44</v>
      </c>
      <c r="C987" s="278">
        <v>3514</v>
      </c>
      <c r="D987" s="259"/>
      <c r="F987" s="281">
        <v>44652</v>
      </c>
      <c r="G987" s="281">
        <v>44652</v>
      </c>
      <c r="I987" s="279">
        <v>83</v>
      </c>
      <c r="L987" s="279">
        <v>83</v>
      </c>
      <c r="M987" s="279">
        <v>66</v>
      </c>
      <c r="R987" s="279">
        <v>83</v>
      </c>
      <c r="S987" s="279">
        <v>2350.791333333334</v>
      </c>
      <c r="T987" s="279">
        <v>2350.7913333333327</v>
      </c>
      <c r="U987" s="279">
        <v>1789.9246666666659</v>
      </c>
      <c r="V987" s="279">
        <v>2350.7913333333345</v>
      </c>
    </row>
    <row r="988" spans="1:22">
      <c r="E988" s="282">
        <v>0</v>
      </c>
      <c r="F988" s="282">
        <v>0</v>
      </c>
      <c r="G988" s="284">
        <v>0</v>
      </c>
      <c r="H988" s="290">
        <v>1</v>
      </c>
    </row>
    <row r="994" spans="1:22">
      <c r="A994" s="278">
        <v>136</v>
      </c>
      <c r="B994" s="280" t="s">
        <v>44</v>
      </c>
      <c r="C994" s="278">
        <v>3515</v>
      </c>
      <c r="D994" s="259"/>
      <c r="F994" s="281">
        <v>44652</v>
      </c>
      <c r="G994" s="281">
        <v>44652</v>
      </c>
      <c r="I994" s="279">
        <v>83</v>
      </c>
      <c r="L994" s="279">
        <v>83</v>
      </c>
      <c r="M994" s="279">
        <v>66</v>
      </c>
      <c r="R994" s="279">
        <v>83</v>
      </c>
      <c r="S994" s="279">
        <v>2350.7913333333345</v>
      </c>
      <c r="T994" s="279">
        <v>2350.791333333334</v>
      </c>
      <c r="U994" s="279">
        <v>1789.9246666666672</v>
      </c>
      <c r="V994" s="279">
        <v>2350.7913333333336</v>
      </c>
    </row>
    <row r="995" spans="1:22">
      <c r="E995" s="282">
        <v>0</v>
      </c>
      <c r="F995" s="282">
        <v>0</v>
      </c>
      <c r="G995" s="284">
        <v>0</v>
      </c>
      <c r="H995" s="290">
        <v>1</v>
      </c>
    </row>
    <row r="1001" spans="1:22">
      <c r="A1001" s="278">
        <v>137</v>
      </c>
      <c r="B1001" s="280" t="s">
        <v>44</v>
      </c>
      <c r="C1001" s="278">
        <v>3516</v>
      </c>
      <c r="D1001" s="259"/>
      <c r="F1001" s="281">
        <v>44652</v>
      </c>
      <c r="G1001" s="281">
        <v>44652</v>
      </c>
      <c r="I1001" s="279">
        <v>83</v>
      </c>
      <c r="L1001" s="279">
        <v>83</v>
      </c>
      <c r="M1001" s="279">
        <v>66</v>
      </c>
      <c r="R1001" s="279">
        <v>83</v>
      </c>
      <c r="S1001" s="279">
        <v>2350.7913333333354</v>
      </c>
      <c r="T1001" s="279">
        <v>2350.7913333333349</v>
      </c>
      <c r="U1001" s="279">
        <v>1789.9246666666681</v>
      </c>
      <c r="V1001" s="279">
        <v>2350.791333333334</v>
      </c>
    </row>
    <row r="1002" spans="1:22">
      <c r="E1002" s="282">
        <v>0</v>
      </c>
      <c r="F1002" s="282">
        <v>0</v>
      </c>
      <c r="G1002" s="284">
        <v>0</v>
      </c>
      <c r="H1002" s="290">
        <v>1</v>
      </c>
    </row>
    <row r="1008" spans="1:22">
      <c r="A1008" s="278">
        <v>138</v>
      </c>
      <c r="B1008" s="280" t="s">
        <v>44</v>
      </c>
      <c r="C1008" s="278">
        <v>3517</v>
      </c>
      <c r="D1008" s="259"/>
      <c r="F1008" s="281">
        <v>44652</v>
      </c>
      <c r="G1008" s="281">
        <v>44652</v>
      </c>
      <c r="I1008" s="279">
        <v>83</v>
      </c>
      <c r="L1008" s="279">
        <v>83</v>
      </c>
      <c r="M1008" s="279">
        <v>66</v>
      </c>
      <c r="R1008" s="279">
        <v>83</v>
      </c>
      <c r="S1008" s="279">
        <v>2350.7913333333331</v>
      </c>
      <c r="T1008" s="279">
        <v>2350.7913333333327</v>
      </c>
      <c r="U1008" s="279">
        <v>1789.9246666666661</v>
      </c>
      <c r="V1008" s="279">
        <v>2350.7913333333331</v>
      </c>
    </row>
    <row r="1009" spans="1:22">
      <c r="E1009" s="282">
        <v>0</v>
      </c>
      <c r="F1009" s="282">
        <v>0</v>
      </c>
      <c r="G1009" s="284">
        <v>0</v>
      </c>
      <c r="H1009" s="284">
        <v>0</v>
      </c>
    </row>
    <row r="1015" spans="1:22">
      <c r="A1015" s="278">
        <v>139</v>
      </c>
      <c r="B1015" s="280" t="s">
        <v>44</v>
      </c>
      <c r="C1015" s="278">
        <v>3518</v>
      </c>
      <c r="D1015" s="259"/>
      <c r="F1015" s="281">
        <v>44652</v>
      </c>
      <c r="G1015" s="281">
        <v>44652</v>
      </c>
      <c r="I1015" s="279">
        <v>83</v>
      </c>
      <c r="L1015" s="279">
        <v>83</v>
      </c>
      <c r="M1015" s="279">
        <v>66</v>
      </c>
      <c r="R1015" s="279">
        <v>83</v>
      </c>
      <c r="S1015" s="279">
        <v>2350.7913333333345</v>
      </c>
      <c r="T1015" s="279">
        <v>2350.791333333334</v>
      </c>
      <c r="U1015" s="279">
        <v>1789.9246666666672</v>
      </c>
      <c r="V1015" s="279">
        <v>2350.7913333333349</v>
      </c>
    </row>
    <row r="1016" spans="1:22">
      <c r="E1016" s="282">
        <v>0</v>
      </c>
      <c r="F1016" s="282">
        <v>0</v>
      </c>
      <c r="G1016" s="284">
        <v>0</v>
      </c>
      <c r="H1016" s="284">
        <v>0</v>
      </c>
    </row>
    <row r="1022" spans="1:22">
      <c r="A1022" s="278">
        <v>140</v>
      </c>
      <c r="B1022" s="280" t="s">
        <v>44</v>
      </c>
      <c r="C1022" s="278">
        <v>3519</v>
      </c>
      <c r="D1022" s="259"/>
      <c r="F1022" s="281">
        <v>44652</v>
      </c>
      <c r="G1022" s="281">
        <v>44652</v>
      </c>
      <c r="I1022" s="279">
        <v>83</v>
      </c>
      <c r="L1022" s="279">
        <v>83</v>
      </c>
      <c r="M1022" s="279">
        <v>66</v>
      </c>
      <c r="R1022" s="279">
        <v>83</v>
      </c>
      <c r="S1022" s="279">
        <v>2350.7913333333358</v>
      </c>
      <c r="T1022" s="279">
        <v>2350.7913333333354</v>
      </c>
      <c r="U1022" s="279">
        <v>1789.9246666666688</v>
      </c>
      <c r="V1022" s="279">
        <v>2350.7913333333349</v>
      </c>
    </row>
    <row r="1023" spans="1:22">
      <c r="E1023" s="282">
        <v>0</v>
      </c>
      <c r="F1023" s="282">
        <v>0</v>
      </c>
      <c r="G1023" s="284">
        <v>0</v>
      </c>
      <c r="H1023" s="284">
        <v>0</v>
      </c>
    </row>
    <row r="1029" spans="1:22">
      <c r="A1029" s="278">
        <v>141</v>
      </c>
      <c r="B1029" s="280" t="s">
        <v>44</v>
      </c>
      <c r="C1029" s="278">
        <v>3520</v>
      </c>
      <c r="D1029" s="259"/>
      <c r="F1029" s="281">
        <v>44652</v>
      </c>
      <c r="G1029" s="281">
        <v>44652</v>
      </c>
      <c r="I1029" s="279">
        <v>83</v>
      </c>
      <c r="L1029" s="279">
        <v>83</v>
      </c>
      <c r="M1029" s="279">
        <v>66</v>
      </c>
      <c r="R1029" s="279">
        <v>83</v>
      </c>
      <c r="S1029" s="279">
        <v>2350.7913333333331</v>
      </c>
      <c r="T1029" s="279">
        <v>2350.7913333333327</v>
      </c>
      <c r="U1029" s="279">
        <v>1789.9246666666661</v>
      </c>
      <c r="V1029" s="279">
        <v>2350.7913333333336</v>
      </c>
    </row>
    <row r="1030" spans="1:22">
      <c r="E1030" s="282">
        <v>0</v>
      </c>
      <c r="F1030" s="282">
        <v>0</v>
      </c>
      <c r="G1030" s="284">
        <v>0</v>
      </c>
      <c r="H1030" s="284">
        <v>0</v>
      </c>
    </row>
    <row r="1036" spans="1:22">
      <c r="A1036" s="278">
        <v>142</v>
      </c>
      <c r="B1036" s="280" t="s">
        <v>44</v>
      </c>
      <c r="C1036" s="278">
        <v>3521</v>
      </c>
      <c r="D1036" s="259"/>
      <c r="F1036" s="281">
        <v>44652</v>
      </c>
      <c r="G1036" s="281">
        <v>44652</v>
      </c>
      <c r="I1036" s="279">
        <v>83</v>
      </c>
      <c r="L1036" s="279">
        <v>83</v>
      </c>
      <c r="M1036" s="279">
        <v>66</v>
      </c>
      <c r="R1036" s="279">
        <v>83</v>
      </c>
      <c r="S1036" s="279">
        <v>2350.7913333333349</v>
      </c>
      <c r="T1036" s="279">
        <v>2350.7913333333345</v>
      </c>
      <c r="U1036" s="279">
        <v>1789.9246666666677</v>
      </c>
      <c r="V1036" s="279">
        <v>2350.7913333333349</v>
      </c>
    </row>
    <row r="1037" spans="1:22">
      <c r="E1037" s="282">
        <v>0</v>
      </c>
      <c r="F1037" s="282">
        <v>0</v>
      </c>
      <c r="G1037" s="284">
        <v>0</v>
      </c>
      <c r="H1037" s="284">
        <v>0</v>
      </c>
    </row>
    <row r="1043" spans="1:22">
      <c r="A1043" s="278">
        <v>143</v>
      </c>
      <c r="B1043" s="280" t="s">
        <v>44</v>
      </c>
      <c r="C1043" s="278">
        <v>3522</v>
      </c>
      <c r="D1043" s="259"/>
      <c r="F1043" s="281">
        <v>44652</v>
      </c>
      <c r="G1043" s="281">
        <v>44652</v>
      </c>
      <c r="I1043" s="279">
        <v>83</v>
      </c>
      <c r="L1043" s="279">
        <v>83</v>
      </c>
      <c r="M1043" s="279">
        <v>66</v>
      </c>
      <c r="R1043" s="279">
        <v>83</v>
      </c>
      <c r="S1043" s="279">
        <v>2350.7913333333336</v>
      </c>
      <c r="T1043" s="279">
        <v>2350.7913333333349</v>
      </c>
      <c r="U1043" s="279">
        <v>1789.9246666666686</v>
      </c>
      <c r="V1043" s="279">
        <v>2350.7913333333327</v>
      </c>
    </row>
    <row r="1044" spans="1:22">
      <c r="E1044" s="282">
        <v>0</v>
      </c>
      <c r="F1044" s="282">
        <v>0</v>
      </c>
      <c r="G1044" s="284">
        <v>0</v>
      </c>
      <c r="H1044" s="284">
        <v>0</v>
      </c>
    </row>
    <row r="1050" spans="1:22">
      <c r="A1050" s="278">
        <v>144</v>
      </c>
      <c r="B1050" s="280" t="s">
        <v>44</v>
      </c>
      <c r="C1050" s="278">
        <v>3523</v>
      </c>
      <c r="D1050" s="259"/>
      <c r="F1050" s="281">
        <v>44652</v>
      </c>
      <c r="G1050" s="281">
        <v>44652</v>
      </c>
      <c r="I1050" s="279">
        <v>68</v>
      </c>
      <c r="L1050" s="279">
        <v>68</v>
      </c>
      <c r="M1050" s="279">
        <v>54</v>
      </c>
      <c r="R1050" s="279">
        <v>68</v>
      </c>
      <c r="S1050" s="279">
        <v>1991.809999999999</v>
      </c>
      <c r="T1050" s="279">
        <v>1991.8100000000004</v>
      </c>
      <c r="U1050" s="279">
        <v>1726.8233333333335</v>
      </c>
      <c r="V1050" s="279">
        <v>1991.8099999999997</v>
      </c>
    </row>
    <row r="1051" spans="1:22">
      <c r="E1051" s="282">
        <v>0</v>
      </c>
      <c r="F1051" s="282">
        <v>0</v>
      </c>
      <c r="G1051" s="284">
        <v>0</v>
      </c>
      <c r="H1051" s="290">
        <v>1</v>
      </c>
    </row>
    <row r="1057" spans="1:22">
      <c r="A1057" s="278">
        <v>145</v>
      </c>
      <c r="B1057" s="280" t="s">
        <v>44</v>
      </c>
      <c r="C1057" s="278">
        <v>3524</v>
      </c>
      <c r="D1057" s="259"/>
      <c r="F1057" s="281">
        <v>44652</v>
      </c>
      <c r="G1057" s="281">
        <v>44652</v>
      </c>
      <c r="I1057" s="279">
        <v>68</v>
      </c>
      <c r="L1057" s="279">
        <v>68</v>
      </c>
      <c r="M1057" s="279">
        <v>54</v>
      </c>
      <c r="R1057" s="279">
        <v>68</v>
      </c>
      <c r="S1057" s="279">
        <v>1991.809999999999</v>
      </c>
      <c r="T1057" s="279">
        <v>1991.8099999999995</v>
      </c>
      <c r="U1057" s="279">
        <v>1726.823333333333</v>
      </c>
      <c r="V1057" s="279">
        <v>1991.8100000000004</v>
      </c>
    </row>
    <row r="1058" spans="1:22">
      <c r="E1058" s="282">
        <v>0</v>
      </c>
      <c r="F1058" s="282">
        <v>0</v>
      </c>
      <c r="G1058" s="284">
        <v>0</v>
      </c>
      <c r="H1058" s="290">
        <v>1</v>
      </c>
    </row>
    <row r="1064" spans="1:22">
      <c r="A1064" s="278">
        <v>146</v>
      </c>
      <c r="B1064" s="280" t="s">
        <v>44</v>
      </c>
      <c r="C1064" s="278">
        <v>3525</v>
      </c>
      <c r="D1064" s="259"/>
      <c r="F1064" s="281">
        <v>44652</v>
      </c>
      <c r="G1064" s="281">
        <v>44652</v>
      </c>
      <c r="I1064" s="279">
        <v>68</v>
      </c>
      <c r="L1064" s="279">
        <v>68</v>
      </c>
      <c r="M1064" s="279">
        <v>54</v>
      </c>
      <c r="R1064" s="279">
        <v>68</v>
      </c>
      <c r="S1064" s="279">
        <v>1991.809999999999</v>
      </c>
      <c r="T1064" s="279">
        <v>1991.809999999999</v>
      </c>
      <c r="U1064" s="279">
        <v>1726.8233333333324</v>
      </c>
      <c r="V1064" s="279">
        <v>1991.8099999999984</v>
      </c>
    </row>
    <row r="1065" spans="1:22">
      <c r="E1065" s="282">
        <v>0</v>
      </c>
      <c r="F1065" s="282">
        <v>0</v>
      </c>
      <c r="G1065" s="284">
        <v>0</v>
      </c>
      <c r="H1065" s="290">
        <v>1</v>
      </c>
    </row>
    <row r="1071" spans="1:22">
      <c r="A1071" s="278">
        <v>147</v>
      </c>
      <c r="B1071" s="280" t="s">
        <v>44</v>
      </c>
      <c r="C1071" s="278">
        <v>3526</v>
      </c>
      <c r="D1071" s="259"/>
      <c r="F1071" s="281">
        <v>44652</v>
      </c>
      <c r="G1071" s="281">
        <v>44652</v>
      </c>
      <c r="I1071" s="279">
        <v>68</v>
      </c>
      <c r="L1071" s="279">
        <v>68</v>
      </c>
      <c r="M1071" s="279">
        <v>54</v>
      </c>
      <c r="R1071" s="279">
        <v>68</v>
      </c>
      <c r="S1071" s="279">
        <v>1991.8099999999988</v>
      </c>
      <c r="T1071" s="279">
        <v>1991.8099999999988</v>
      </c>
      <c r="U1071" s="279">
        <v>1726.8233333333324</v>
      </c>
      <c r="V1071" s="279">
        <v>1991.809999999999</v>
      </c>
    </row>
    <row r="1072" spans="1:22">
      <c r="E1072" s="282">
        <v>0</v>
      </c>
      <c r="F1072" s="282">
        <v>0</v>
      </c>
      <c r="G1072" s="284">
        <v>0</v>
      </c>
      <c r="H1072" s="284">
        <v>0</v>
      </c>
    </row>
    <row r="1078" spans="1:22">
      <c r="A1078" s="278">
        <v>148</v>
      </c>
      <c r="B1078" s="280" t="s">
        <v>44</v>
      </c>
      <c r="C1078" s="278">
        <v>3527</v>
      </c>
      <c r="D1078" s="259"/>
      <c r="F1078" s="281">
        <v>44652</v>
      </c>
      <c r="G1078" s="281">
        <v>44652</v>
      </c>
      <c r="I1078" s="279">
        <v>68</v>
      </c>
      <c r="L1078" s="279">
        <v>68</v>
      </c>
      <c r="M1078" s="279">
        <v>54</v>
      </c>
      <c r="R1078" s="279">
        <v>68</v>
      </c>
      <c r="S1078" s="279">
        <v>1991.8099999999979</v>
      </c>
      <c r="T1078" s="279">
        <v>1991.81</v>
      </c>
      <c r="U1078" s="279">
        <v>1726.8233333333335</v>
      </c>
      <c r="V1078" s="279">
        <v>1991.8100000000004</v>
      </c>
    </row>
    <row r="1079" spans="1:22">
      <c r="E1079" s="282">
        <v>0</v>
      </c>
      <c r="F1079" s="282">
        <v>0</v>
      </c>
      <c r="G1079" s="284">
        <v>0</v>
      </c>
      <c r="H1079" s="284">
        <v>0</v>
      </c>
    </row>
    <row r="1085" spans="1:22">
      <c r="A1085" s="278">
        <v>149</v>
      </c>
      <c r="B1085" s="280" t="s">
        <v>44</v>
      </c>
      <c r="C1085" s="278">
        <v>3528</v>
      </c>
      <c r="D1085" s="259"/>
      <c r="F1085" s="281">
        <v>44652</v>
      </c>
      <c r="G1085" s="281">
        <v>44652</v>
      </c>
      <c r="I1085" s="279">
        <v>68</v>
      </c>
      <c r="L1085" s="279">
        <v>68</v>
      </c>
      <c r="M1085" s="279">
        <v>54</v>
      </c>
      <c r="R1085" s="279">
        <v>68</v>
      </c>
      <c r="S1085" s="279">
        <v>1991.8099999999984</v>
      </c>
      <c r="T1085" s="279">
        <v>1991.8099999999997</v>
      </c>
      <c r="U1085" s="279">
        <v>1726.823333333333</v>
      </c>
      <c r="V1085" s="279">
        <v>1991.8099999999988</v>
      </c>
    </row>
    <row r="1086" spans="1:22">
      <c r="E1086" s="282">
        <v>0</v>
      </c>
      <c r="F1086" s="282">
        <v>0</v>
      </c>
      <c r="G1086" s="284">
        <v>0</v>
      </c>
      <c r="H1086" s="284">
        <v>0</v>
      </c>
    </row>
    <row r="1092" spans="1:22">
      <c r="A1092" s="278">
        <v>150</v>
      </c>
      <c r="B1092" s="280" t="s">
        <v>44</v>
      </c>
      <c r="C1092" s="278">
        <v>3529</v>
      </c>
      <c r="D1092" s="259"/>
      <c r="F1092" s="281">
        <v>44652</v>
      </c>
      <c r="G1092" s="281">
        <v>44652</v>
      </c>
      <c r="I1092" s="279">
        <v>68</v>
      </c>
      <c r="L1092" s="279">
        <v>68</v>
      </c>
      <c r="M1092" s="279">
        <v>54</v>
      </c>
      <c r="R1092" s="279">
        <v>68</v>
      </c>
      <c r="S1092" s="279">
        <v>1991.8100000000006</v>
      </c>
      <c r="T1092" s="279">
        <v>1991.8099999999995</v>
      </c>
      <c r="U1092" s="279">
        <v>1726.823333333333</v>
      </c>
      <c r="V1092" s="279">
        <v>1991.809999999999</v>
      </c>
    </row>
    <row r="1093" spans="1:22">
      <c r="E1093" s="282">
        <v>0</v>
      </c>
      <c r="F1093" s="282">
        <v>0</v>
      </c>
      <c r="G1093" s="284">
        <v>0</v>
      </c>
      <c r="H1093" s="284">
        <v>0</v>
      </c>
    </row>
    <row r="1099" spans="1:22">
      <c r="A1099" s="278">
        <v>151</v>
      </c>
      <c r="B1099" s="280" t="s">
        <v>44</v>
      </c>
      <c r="C1099" s="278">
        <v>3530</v>
      </c>
      <c r="D1099" s="259"/>
      <c r="F1099" s="281">
        <v>44652</v>
      </c>
      <c r="G1099" s="281">
        <v>44652</v>
      </c>
      <c r="I1099" s="279">
        <v>68</v>
      </c>
      <c r="L1099" s="279">
        <v>68</v>
      </c>
      <c r="M1099" s="279">
        <v>54</v>
      </c>
      <c r="R1099" s="279">
        <v>68</v>
      </c>
      <c r="S1099" s="279">
        <v>1991.8099999999995</v>
      </c>
      <c r="T1099" s="279">
        <v>1991.8099999999986</v>
      </c>
      <c r="U1099" s="279">
        <v>1726.8233333333319</v>
      </c>
      <c r="V1099" s="279">
        <v>1991.809999999999</v>
      </c>
    </row>
    <row r="1100" spans="1:22">
      <c r="E1100" s="282">
        <v>0</v>
      </c>
      <c r="F1100" s="282">
        <v>0</v>
      </c>
      <c r="G1100" s="284">
        <v>0</v>
      </c>
      <c r="H1100" s="284">
        <v>0</v>
      </c>
    </row>
    <row r="1106" spans="1:22">
      <c r="A1106" s="278">
        <v>152</v>
      </c>
      <c r="B1106" s="280" t="s">
        <v>44</v>
      </c>
      <c r="C1106" s="278">
        <v>3531</v>
      </c>
      <c r="D1106" s="259"/>
      <c r="F1106" s="281">
        <v>44652</v>
      </c>
      <c r="G1106" s="281">
        <v>44652</v>
      </c>
      <c r="I1106" s="279">
        <v>68</v>
      </c>
      <c r="L1106" s="279">
        <v>68</v>
      </c>
      <c r="M1106" s="279">
        <v>54</v>
      </c>
      <c r="R1106" s="279">
        <v>68</v>
      </c>
      <c r="S1106" s="279">
        <v>1991.8099999999988</v>
      </c>
      <c r="T1106" s="279">
        <v>1991.8099999999995</v>
      </c>
      <c r="U1106" s="279">
        <v>1726.823333333333</v>
      </c>
      <c r="V1106" s="279">
        <v>1991.8099999999986</v>
      </c>
    </row>
    <row r="1107" spans="1:22">
      <c r="E1107" s="282">
        <v>0</v>
      </c>
      <c r="F1107" s="282">
        <v>0</v>
      </c>
      <c r="G1107" s="284">
        <v>0</v>
      </c>
      <c r="H1107" s="284">
        <v>0</v>
      </c>
    </row>
    <row r="1113" spans="1:22">
      <c r="A1113" s="278">
        <v>153</v>
      </c>
      <c r="B1113" s="280" t="s">
        <v>44</v>
      </c>
      <c r="C1113" s="278">
        <v>3532</v>
      </c>
      <c r="D1113" s="259"/>
      <c r="F1113" s="281">
        <v>44652</v>
      </c>
      <c r="G1113" s="281">
        <v>44652</v>
      </c>
      <c r="I1113" s="279">
        <v>61</v>
      </c>
      <c r="L1113" s="279">
        <v>61</v>
      </c>
      <c r="M1113" s="279">
        <v>44</v>
      </c>
      <c r="R1113" s="279">
        <v>61</v>
      </c>
      <c r="S1113" s="279">
        <v>496.77666666666664</v>
      </c>
      <c r="T1113" s="279">
        <v>496.77666666666647</v>
      </c>
      <c r="U1113" s="279">
        <v>162.30999999999972</v>
      </c>
      <c r="V1113" s="279">
        <v>496.77666666666664</v>
      </c>
    </row>
    <row r="1114" spans="1:22">
      <c r="E1114" s="282">
        <v>0</v>
      </c>
      <c r="F1114" s="282">
        <v>0</v>
      </c>
      <c r="G1114" s="284">
        <v>0</v>
      </c>
      <c r="H1114" s="290">
        <v>1</v>
      </c>
    </row>
    <row r="1120" spans="1:22">
      <c r="A1120" s="278">
        <v>154</v>
      </c>
      <c r="B1120" s="280" t="s">
        <v>44</v>
      </c>
      <c r="C1120" s="278">
        <v>3533</v>
      </c>
      <c r="D1120" s="259"/>
      <c r="F1120" s="281">
        <v>44652</v>
      </c>
      <c r="G1120" s="281">
        <v>44652</v>
      </c>
      <c r="I1120" s="279">
        <v>61</v>
      </c>
      <c r="L1120" s="279">
        <v>61</v>
      </c>
      <c r="M1120" s="279">
        <v>44</v>
      </c>
      <c r="R1120" s="279">
        <v>61</v>
      </c>
      <c r="S1120" s="279">
        <v>496.77666666666659</v>
      </c>
      <c r="T1120" s="279">
        <v>496.77666666666681</v>
      </c>
      <c r="U1120" s="279">
        <v>162.31</v>
      </c>
      <c r="V1120" s="279">
        <v>496.77666666666681</v>
      </c>
    </row>
    <row r="1121" spans="1:22">
      <c r="E1121" s="282">
        <v>0</v>
      </c>
      <c r="F1121" s="282">
        <v>0</v>
      </c>
      <c r="G1121" s="284">
        <v>0</v>
      </c>
      <c r="H1121" s="290">
        <v>1</v>
      </c>
    </row>
    <row r="1127" spans="1:22">
      <c r="A1127" s="278">
        <v>155</v>
      </c>
      <c r="B1127" s="280" t="s">
        <v>44</v>
      </c>
      <c r="C1127" s="278">
        <v>3534</v>
      </c>
      <c r="D1127" s="259"/>
      <c r="F1127" s="281">
        <v>44652</v>
      </c>
      <c r="G1127" s="281">
        <v>44652</v>
      </c>
      <c r="I1127" s="279">
        <v>61</v>
      </c>
      <c r="L1127" s="279">
        <v>61</v>
      </c>
      <c r="M1127" s="279">
        <v>44</v>
      </c>
      <c r="R1127" s="279">
        <v>61</v>
      </c>
      <c r="S1127" s="279">
        <v>496.7766666666667</v>
      </c>
      <c r="T1127" s="279">
        <v>496.77666666666681</v>
      </c>
      <c r="U1127" s="279">
        <v>162.31</v>
      </c>
      <c r="V1127" s="279">
        <v>496.7766666666667</v>
      </c>
    </row>
    <row r="1128" spans="1:22">
      <c r="E1128" s="282">
        <v>0</v>
      </c>
      <c r="F1128" s="282">
        <v>0</v>
      </c>
      <c r="G1128" s="284">
        <v>0</v>
      </c>
      <c r="H1128" s="290">
        <v>1</v>
      </c>
    </row>
    <row r="1134" spans="1:22">
      <c r="A1134" s="278">
        <v>156</v>
      </c>
      <c r="B1134" s="280" t="s">
        <v>44</v>
      </c>
      <c r="C1134" s="278">
        <v>3535</v>
      </c>
      <c r="D1134" s="259"/>
      <c r="F1134" s="281">
        <v>44652</v>
      </c>
      <c r="G1134" s="281">
        <v>44652</v>
      </c>
      <c r="I1134" s="279">
        <v>61</v>
      </c>
      <c r="L1134" s="279">
        <v>61</v>
      </c>
      <c r="M1134" s="279">
        <v>44</v>
      </c>
      <c r="R1134" s="279">
        <v>61</v>
      </c>
      <c r="S1134" s="279">
        <v>496.77666666666687</v>
      </c>
      <c r="T1134" s="279">
        <v>496.77666666666687</v>
      </c>
      <c r="U1134" s="279">
        <v>162.31000000000006</v>
      </c>
      <c r="V1134" s="279">
        <v>496.77666666666681</v>
      </c>
    </row>
    <row r="1135" spans="1:22">
      <c r="E1135" s="282">
        <v>0</v>
      </c>
      <c r="F1135" s="282">
        <v>0</v>
      </c>
      <c r="G1135" s="284">
        <v>0</v>
      </c>
      <c r="H1135" s="284">
        <v>0</v>
      </c>
    </row>
    <row r="1141" spans="1:22">
      <c r="A1141" s="278">
        <v>157</v>
      </c>
      <c r="B1141" s="280" t="s">
        <v>44</v>
      </c>
      <c r="C1141" s="278">
        <v>3536</v>
      </c>
      <c r="D1141" s="259"/>
      <c r="F1141" s="281">
        <v>44652</v>
      </c>
      <c r="G1141" s="281">
        <v>44652</v>
      </c>
      <c r="I1141" s="279">
        <v>61</v>
      </c>
      <c r="L1141" s="279">
        <v>61</v>
      </c>
      <c r="M1141" s="279">
        <v>44</v>
      </c>
      <c r="R1141" s="279">
        <v>61</v>
      </c>
      <c r="S1141" s="279">
        <v>496.7766666666667</v>
      </c>
      <c r="T1141" s="279">
        <v>496.77666666666664</v>
      </c>
      <c r="U1141" s="279">
        <v>162.30999999999977</v>
      </c>
      <c r="V1141" s="279">
        <v>496.7766666666667</v>
      </c>
    </row>
    <row r="1142" spans="1:22">
      <c r="E1142" s="282">
        <v>0</v>
      </c>
      <c r="F1142" s="282">
        <v>0</v>
      </c>
      <c r="G1142" s="284">
        <v>0</v>
      </c>
      <c r="H1142" s="284">
        <v>0</v>
      </c>
    </row>
    <row r="1148" spans="1:22">
      <c r="A1148" s="278">
        <v>158</v>
      </c>
      <c r="B1148" s="280" t="s">
        <v>44</v>
      </c>
      <c r="C1148" s="278">
        <v>3537</v>
      </c>
      <c r="D1148" s="259"/>
      <c r="F1148" s="281">
        <v>44652</v>
      </c>
      <c r="G1148" s="281">
        <v>44652</v>
      </c>
      <c r="I1148" s="279">
        <v>61</v>
      </c>
      <c r="L1148" s="279">
        <v>61</v>
      </c>
      <c r="M1148" s="279">
        <v>44</v>
      </c>
      <c r="R1148" s="279">
        <v>61</v>
      </c>
      <c r="S1148" s="279">
        <v>496.77666666666681</v>
      </c>
      <c r="T1148" s="279">
        <v>496.77666666666681</v>
      </c>
      <c r="U1148" s="279">
        <v>162.31</v>
      </c>
      <c r="V1148" s="279">
        <v>496.77666666666681</v>
      </c>
    </row>
    <row r="1149" spans="1:22">
      <c r="E1149" s="282">
        <v>0</v>
      </c>
      <c r="F1149" s="282">
        <v>0</v>
      </c>
      <c r="G1149" s="284">
        <v>0</v>
      </c>
      <c r="H1149" s="284">
        <v>0</v>
      </c>
    </row>
    <row r="1155" spans="1:22">
      <c r="A1155" s="278">
        <v>159</v>
      </c>
      <c r="B1155" s="280" t="s">
        <v>44</v>
      </c>
      <c r="C1155" s="278">
        <v>3538</v>
      </c>
      <c r="D1155" s="259"/>
      <c r="F1155" s="281">
        <v>44652</v>
      </c>
      <c r="G1155" s="281">
        <v>44652</v>
      </c>
      <c r="I1155" s="279">
        <v>61</v>
      </c>
      <c r="L1155" s="279">
        <v>61</v>
      </c>
      <c r="M1155" s="279">
        <v>44</v>
      </c>
      <c r="R1155" s="279">
        <v>61</v>
      </c>
      <c r="S1155" s="279">
        <v>496.77666666666647</v>
      </c>
      <c r="T1155" s="279">
        <v>496.77666666666681</v>
      </c>
      <c r="U1155" s="279">
        <v>162.31000000000023</v>
      </c>
      <c r="V1155" s="279">
        <v>496.77666666666687</v>
      </c>
    </row>
    <row r="1156" spans="1:22">
      <c r="E1156" s="282">
        <v>0</v>
      </c>
      <c r="F1156" s="282">
        <v>0</v>
      </c>
      <c r="G1156" s="284">
        <v>0</v>
      </c>
      <c r="H1156" s="284">
        <v>0</v>
      </c>
    </row>
    <row r="1162" spans="1:22">
      <c r="A1162" s="278">
        <v>160</v>
      </c>
      <c r="B1162" s="280" t="s">
        <v>44</v>
      </c>
      <c r="C1162" s="278">
        <v>3539</v>
      </c>
      <c r="D1162" s="259"/>
      <c r="F1162" s="281">
        <v>44652</v>
      </c>
      <c r="G1162" s="281">
        <v>44652</v>
      </c>
      <c r="I1162" s="279">
        <v>61</v>
      </c>
      <c r="L1162" s="279">
        <v>61</v>
      </c>
      <c r="M1162" s="279">
        <v>44</v>
      </c>
      <c r="R1162" s="279">
        <v>61</v>
      </c>
      <c r="S1162" s="279">
        <v>496.77666666666681</v>
      </c>
      <c r="T1162" s="279">
        <v>496.77666666666681</v>
      </c>
      <c r="U1162" s="279">
        <v>162.31</v>
      </c>
      <c r="V1162" s="279">
        <v>496.77666666666681</v>
      </c>
    </row>
    <row r="1163" spans="1:22">
      <c r="E1163" s="282">
        <v>0</v>
      </c>
      <c r="F1163" s="282">
        <v>0</v>
      </c>
      <c r="G1163" s="284">
        <v>0</v>
      </c>
      <c r="H1163" s="284">
        <v>0</v>
      </c>
    </row>
    <row r="1169" spans="1:22">
      <c r="A1169" s="278">
        <v>161</v>
      </c>
      <c r="B1169" s="280" t="s">
        <v>44</v>
      </c>
      <c r="C1169" s="278">
        <v>3540</v>
      </c>
      <c r="D1169" s="259"/>
      <c r="F1169" s="281">
        <v>44652</v>
      </c>
      <c r="G1169" s="281">
        <v>44652</v>
      </c>
      <c r="I1169" s="279">
        <v>61</v>
      </c>
      <c r="L1169" s="279">
        <v>61</v>
      </c>
      <c r="M1169" s="279">
        <v>44</v>
      </c>
      <c r="R1169" s="279">
        <v>61</v>
      </c>
      <c r="S1169" s="279">
        <v>496.77666666666681</v>
      </c>
      <c r="T1169" s="279">
        <v>496.77666666666681</v>
      </c>
      <c r="U1169" s="279">
        <v>162.31</v>
      </c>
      <c r="V1169" s="279">
        <v>496.77666666666681</v>
      </c>
    </row>
    <row r="1170" spans="1:22">
      <c r="E1170" s="282">
        <v>0</v>
      </c>
      <c r="F1170" s="282">
        <v>0</v>
      </c>
      <c r="G1170" s="284">
        <v>0</v>
      </c>
      <c r="H1170" s="284">
        <v>0</v>
      </c>
    </row>
    <row r="1176" spans="1:22">
      <c r="A1176" s="278">
        <v>162</v>
      </c>
      <c r="B1176" s="280" t="s">
        <v>44</v>
      </c>
      <c r="C1176" s="278">
        <v>3541</v>
      </c>
      <c r="D1176" s="259"/>
      <c r="F1176" s="281">
        <v>44652</v>
      </c>
      <c r="G1176" s="281">
        <v>44652</v>
      </c>
      <c r="I1176" s="279">
        <v>212</v>
      </c>
      <c r="L1176" s="279">
        <v>212</v>
      </c>
      <c r="M1176" s="279">
        <v>169</v>
      </c>
      <c r="R1176" s="279">
        <v>212</v>
      </c>
      <c r="S1176" s="279">
        <v>7771.9266666666626</v>
      </c>
      <c r="T1176" s="279">
        <v>7771.9266666666817</v>
      </c>
      <c r="U1176" s="279">
        <v>5320.338000000017</v>
      </c>
      <c r="V1176" s="279">
        <v>7771.9266666666817</v>
      </c>
    </row>
    <row r="1177" spans="1:22">
      <c r="E1177" s="282">
        <v>0</v>
      </c>
      <c r="F1177" s="282">
        <v>0</v>
      </c>
      <c r="G1177" s="284">
        <v>0</v>
      </c>
      <c r="H1177" s="290">
        <v>1</v>
      </c>
    </row>
    <row r="1183" spans="1:22">
      <c r="A1183" s="278">
        <v>163</v>
      </c>
      <c r="B1183" s="280" t="s">
        <v>44</v>
      </c>
      <c r="C1183" s="278">
        <v>3542</v>
      </c>
      <c r="D1183" s="259"/>
      <c r="F1183" s="281">
        <v>44652</v>
      </c>
      <c r="G1183" s="281">
        <v>44652</v>
      </c>
      <c r="I1183" s="279">
        <v>71</v>
      </c>
      <c r="L1183" s="279">
        <v>71</v>
      </c>
      <c r="M1183" s="279">
        <v>62</v>
      </c>
      <c r="R1183" s="279">
        <v>71</v>
      </c>
      <c r="S1183" s="279">
        <v>295.14500000000015</v>
      </c>
      <c r="T1183" s="279">
        <v>295.14499999999998</v>
      </c>
      <c r="U1183" s="279">
        <v>193.035</v>
      </c>
      <c r="V1183" s="279">
        <v>295.14499999999992</v>
      </c>
    </row>
    <row r="1184" spans="1:22">
      <c r="E1184" s="282">
        <v>0</v>
      </c>
      <c r="F1184" s="282">
        <v>0</v>
      </c>
      <c r="G1184" s="284">
        <v>0</v>
      </c>
      <c r="H1184" s="290">
        <v>1</v>
      </c>
    </row>
    <row r="1190" spans="1:23">
      <c r="A1190" s="278">
        <v>164</v>
      </c>
      <c r="B1190" s="280" t="s">
        <v>147</v>
      </c>
      <c r="C1190" s="278">
        <v>3577</v>
      </c>
      <c r="D1190" s="259"/>
      <c r="F1190" s="281">
        <v>44652</v>
      </c>
      <c r="G1190" s="281">
        <v>44652</v>
      </c>
      <c r="I1190" s="279">
        <v>91</v>
      </c>
      <c r="J1190" s="279">
        <v>32</v>
      </c>
      <c r="K1190" s="279">
        <v>2</v>
      </c>
      <c r="L1190" s="279">
        <v>59</v>
      </c>
      <c r="M1190" s="279">
        <v>52</v>
      </c>
      <c r="R1190" s="279">
        <v>89</v>
      </c>
      <c r="S1190" s="279">
        <v>4118.9333333333325</v>
      </c>
      <c r="T1190" s="279">
        <v>2371.4999999999986</v>
      </c>
      <c r="U1190" s="279">
        <v>2000.3333333333319</v>
      </c>
      <c r="V1190" s="279">
        <v>4025.4333333333302</v>
      </c>
      <c r="W1190" s="285" t="s">
        <v>5824</v>
      </c>
    </row>
    <row r="1191" spans="1:23">
      <c r="E1191" s="286">
        <v>1</v>
      </c>
      <c r="F1191" s="283">
        <v>1</v>
      </c>
      <c r="G1191" s="287">
        <v>1</v>
      </c>
      <c r="H1191" s="284">
        <v>2</v>
      </c>
    </row>
    <row r="1197" spans="1:23">
      <c r="A1197" s="278">
        <v>165</v>
      </c>
      <c r="B1197" s="280" t="s">
        <v>39</v>
      </c>
      <c r="C1197" s="278">
        <v>3579</v>
      </c>
      <c r="D1197" s="259"/>
      <c r="F1197" s="281">
        <v>44652</v>
      </c>
      <c r="G1197" s="281">
        <v>44652</v>
      </c>
      <c r="I1197" s="279">
        <v>31</v>
      </c>
      <c r="L1197" s="279">
        <v>31</v>
      </c>
      <c r="M1197" s="279">
        <v>31</v>
      </c>
      <c r="R1197" s="279">
        <v>31</v>
      </c>
      <c r="S1197" s="279">
        <v>206.56666666666661</v>
      </c>
      <c r="T1197" s="279">
        <v>206.56666666666669</v>
      </c>
      <c r="U1197" s="279">
        <v>206.56666666666669</v>
      </c>
      <c r="V1197" s="279">
        <v>206.56666666666652</v>
      </c>
    </row>
    <row r="1198" spans="1:23">
      <c r="E1198" s="282">
        <v>0</v>
      </c>
      <c r="F1198" s="282">
        <v>0</v>
      </c>
      <c r="G1198" s="284">
        <v>0</v>
      </c>
      <c r="H1198" s="290">
        <v>1</v>
      </c>
    </row>
    <row r="1204" spans="1:22">
      <c r="A1204" s="278">
        <v>166</v>
      </c>
      <c r="B1204" s="280" t="s">
        <v>147</v>
      </c>
      <c r="C1204" s="278">
        <v>3580</v>
      </c>
      <c r="D1204" s="259"/>
      <c r="F1204" s="281">
        <v>44652</v>
      </c>
      <c r="G1204" s="281">
        <v>44652</v>
      </c>
      <c r="I1204" s="279">
        <v>31</v>
      </c>
      <c r="L1204" s="279">
        <v>31</v>
      </c>
      <c r="M1204" s="279">
        <v>31</v>
      </c>
      <c r="R1204" s="279">
        <v>31</v>
      </c>
      <c r="S1204" s="279">
        <v>206.56666666666669</v>
      </c>
      <c r="T1204" s="279">
        <v>206.56666666666669</v>
      </c>
      <c r="U1204" s="279">
        <v>206.56666666666669</v>
      </c>
      <c r="V1204" s="279">
        <v>206.56666666666675</v>
      </c>
    </row>
    <row r="1205" spans="1:22">
      <c r="E1205" s="282">
        <v>0</v>
      </c>
      <c r="F1205" s="282">
        <v>0</v>
      </c>
      <c r="G1205" s="284">
        <v>0</v>
      </c>
      <c r="H1205" s="290">
        <v>1</v>
      </c>
    </row>
    <row r="1211" spans="1:22">
      <c r="A1211" s="278">
        <v>167</v>
      </c>
      <c r="B1211" s="280" t="s">
        <v>44</v>
      </c>
      <c r="C1211" s="278">
        <v>3581</v>
      </c>
      <c r="D1211" s="259"/>
      <c r="F1211" s="281">
        <v>44652</v>
      </c>
      <c r="G1211" s="281">
        <v>44652</v>
      </c>
      <c r="I1211" s="279">
        <v>24</v>
      </c>
      <c r="L1211" s="279">
        <v>24</v>
      </c>
      <c r="M1211" s="279">
        <v>24</v>
      </c>
      <c r="R1211" s="279">
        <v>24</v>
      </c>
      <c r="S1211" s="279">
        <v>1734.0290000000005</v>
      </c>
      <c r="T1211" s="279">
        <v>1734.0290000000002</v>
      </c>
      <c r="U1211" s="279">
        <v>1734.0290000000002</v>
      </c>
      <c r="V1211" s="279">
        <v>1734.0289999999995</v>
      </c>
    </row>
    <row r="1212" spans="1:22">
      <c r="E1212" s="282">
        <v>0</v>
      </c>
      <c r="F1212" s="282">
        <v>0</v>
      </c>
      <c r="G1212" s="284">
        <v>0</v>
      </c>
      <c r="H1212" s="284">
        <v>0</v>
      </c>
    </row>
    <row r="1218" spans="1:22">
      <c r="A1218" s="278">
        <v>168</v>
      </c>
      <c r="B1218" s="288" t="s">
        <v>34</v>
      </c>
      <c r="C1218" s="278">
        <v>3582</v>
      </c>
      <c r="D1218" s="259"/>
      <c r="F1218" s="281">
        <v>44652</v>
      </c>
      <c r="G1218" s="281">
        <v>44652</v>
      </c>
      <c r="I1218" s="279">
        <v>26</v>
      </c>
      <c r="L1218" s="279">
        <v>26</v>
      </c>
      <c r="M1218" s="279">
        <v>26</v>
      </c>
      <c r="R1218" s="279">
        <v>26</v>
      </c>
      <c r="S1218" s="279">
        <v>1281.3600000000001</v>
      </c>
      <c r="T1218" s="279">
        <v>1281.3600000000001</v>
      </c>
      <c r="U1218" s="279">
        <v>1281.3599999999999</v>
      </c>
      <c r="V1218" s="279">
        <v>1281.3599999999997</v>
      </c>
    </row>
    <row r="1219" spans="1:22">
      <c r="E1219" s="282">
        <v>0</v>
      </c>
      <c r="F1219" s="282">
        <v>0</v>
      </c>
      <c r="G1219" s="284">
        <v>0</v>
      </c>
      <c r="H1219" s="290">
        <v>1</v>
      </c>
    </row>
    <row r="1225" spans="1:22">
      <c r="A1225" s="278">
        <v>169</v>
      </c>
      <c r="B1225" s="280" t="s">
        <v>39</v>
      </c>
      <c r="C1225" s="278">
        <v>3360</v>
      </c>
      <c r="D1225" s="259"/>
      <c r="F1225" s="281">
        <v>44655</v>
      </c>
      <c r="G1225" s="281">
        <v>44655</v>
      </c>
      <c r="I1225" s="279">
        <v>39</v>
      </c>
      <c r="L1225" s="279">
        <v>39</v>
      </c>
      <c r="M1225" s="279">
        <v>33</v>
      </c>
      <c r="R1225" s="279">
        <v>39</v>
      </c>
      <c r="S1225" s="279">
        <v>270.92299999999994</v>
      </c>
      <c r="T1225" s="279">
        <v>270.923</v>
      </c>
      <c r="U1225" s="279">
        <v>206.83966666666666</v>
      </c>
      <c r="V1225" s="279">
        <v>270.92299999999994</v>
      </c>
    </row>
    <row r="1226" spans="1:22">
      <c r="E1226" s="282">
        <v>0</v>
      </c>
      <c r="F1226" s="282">
        <v>0</v>
      </c>
      <c r="G1226" s="284">
        <v>0</v>
      </c>
      <c r="H1226" s="284">
        <v>0</v>
      </c>
    </row>
    <row r="1232" spans="1:22">
      <c r="A1232" s="278">
        <v>170</v>
      </c>
      <c r="B1232" s="280" t="s">
        <v>39</v>
      </c>
      <c r="C1232" s="278">
        <v>3507</v>
      </c>
      <c r="D1232" s="259"/>
      <c r="F1232" s="281">
        <v>44655</v>
      </c>
      <c r="G1232" s="281">
        <v>44659</v>
      </c>
      <c r="I1232" s="279">
        <v>605</v>
      </c>
      <c r="L1232" s="279">
        <v>605</v>
      </c>
      <c r="M1232" s="279">
        <v>478</v>
      </c>
      <c r="R1232" s="279">
        <v>605</v>
      </c>
      <c r="S1232" s="279">
        <v>1439.7349999999965</v>
      </c>
      <c r="T1232" s="279">
        <v>1439.7349999999999</v>
      </c>
      <c r="U1232" s="279">
        <v>886.15499999999997</v>
      </c>
      <c r="V1232" s="279">
        <v>1439.7349999999951</v>
      </c>
    </row>
    <row r="1233" spans="1:22">
      <c r="E1233" s="282">
        <v>0</v>
      </c>
      <c r="F1233" s="282">
        <v>0</v>
      </c>
      <c r="G1233" s="284">
        <v>0</v>
      </c>
      <c r="H1233" s="290">
        <v>1</v>
      </c>
    </row>
    <row r="1239" spans="1:22">
      <c r="A1239" s="278">
        <v>171</v>
      </c>
      <c r="B1239" s="280" t="s">
        <v>39</v>
      </c>
      <c r="C1239" s="278">
        <v>3361</v>
      </c>
      <c r="D1239" s="259"/>
      <c r="F1239" s="281">
        <v>44656</v>
      </c>
      <c r="G1239" s="281">
        <v>44656</v>
      </c>
      <c r="I1239" s="279">
        <v>21</v>
      </c>
      <c r="L1239" s="279">
        <v>21</v>
      </c>
      <c r="M1239" s="279">
        <v>17</v>
      </c>
      <c r="R1239" s="279">
        <v>21</v>
      </c>
      <c r="S1239" s="279">
        <v>46.683000000000014</v>
      </c>
      <c r="T1239" s="279">
        <v>46.683</v>
      </c>
      <c r="U1239" s="279">
        <v>27.332999999999991</v>
      </c>
      <c r="V1239" s="279">
        <v>46.683000000000021</v>
      </c>
    </row>
    <row r="1240" spans="1:22">
      <c r="E1240" s="282">
        <v>0</v>
      </c>
      <c r="F1240" s="282">
        <v>0</v>
      </c>
      <c r="G1240" s="284">
        <v>0</v>
      </c>
      <c r="H1240" s="284">
        <v>0</v>
      </c>
    </row>
    <row r="1246" spans="1:22">
      <c r="A1246" s="278">
        <v>172</v>
      </c>
      <c r="B1246" s="280" t="s">
        <v>39</v>
      </c>
      <c r="C1246" s="278">
        <v>3362</v>
      </c>
      <c r="D1246" s="259"/>
      <c r="F1246" s="281">
        <v>44657</v>
      </c>
      <c r="G1246" s="281">
        <v>44657</v>
      </c>
      <c r="I1246" s="279">
        <v>128</v>
      </c>
      <c r="L1246" s="279">
        <v>128</v>
      </c>
      <c r="M1246" s="279">
        <v>118</v>
      </c>
      <c r="R1246" s="279">
        <v>128</v>
      </c>
      <c r="S1246" s="279">
        <v>274.04533333333319</v>
      </c>
      <c r="T1246" s="279">
        <v>274.04533333333336</v>
      </c>
      <c r="U1246" s="279">
        <v>258.31200000000007</v>
      </c>
      <c r="V1246" s="279">
        <v>274.04533333333319</v>
      </c>
    </row>
    <row r="1247" spans="1:22">
      <c r="E1247" s="282">
        <v>0</v>
      </c>
      <c r="F1247" s="282">
        <v>0</v>
      </c>
      <c r="G1247" s="284">
        <v>0</v>
      </c>
      <c r="H1247" s="284">
        <v>0</v>
      </c>
    </row>
    <row r="1253" spans="1:22">
      <c r="A1253" s="278">
        <v>173</v>
      </c>
      <c r="B1253" s="280" t="s">
        <v>39</v>
      </c>
      <c r="C1253" s="278">
        <v>3363</v>
      </c>
      <c r="D1253" s="259"/>
      <c r="F1253" s="281">
        <v>44658</v>
      </c>
      <c r="G1253" s="281">
        <v>44658</v>
      </c>
      <c r="I1253" s="279">
        <v>31</v>
      </c>
      <c r="L1253" s="279">
        <v>31</v>
      </c>
      <c r="M1253" s="279">
        <v>23</v>
      </c>
      <c r="R1253" s="279">
        <v>31</v>
      </c>
      <c r="S1253" s="279">
        <v>62.4866666666667</v>
      </c>
      <c r="T1253" s="279">
        <v>62.486666666666686</v>
      </c>
      <c r="U1253" s="279">
        <v>32.686666666666682</v>
      </c>
      <c r="V1253" s="279">
        <v>62.486666666666686</v>
      </c>
    </row>
    <row r="1254" spans="1:22">
      <c r="E1254" s="282">
        <v>0</v>
      </c>
      <c r="F1254" s="282">
        <v>0</v>
      </c>
      <c r="G1254" s="284">
        <v>0</v>
      </c>
      <c r="H1254" s="284">
        <v>0</v>
      </c>
    </row>
    <row r="1260" spans="1:22">
      <c r="A1260" s="278">
        <v>174</v>
      </c>
      <c r="B1260" s="280" t="s">
        <v>39</v>
      </c>
      <c r="C1260" s="278">
        <v>3364</v>
      </c>
      <c r="D1260" s="259"/>
      <c r="F1260" s="281">
        <v>44659</v>
      </c>
      <c r="G1260" s="281">
        <v>44659</v>
      </c>
      <c r="I1260" s="279">
        <v>9</v>
      </c>
      <c r="L1260" s="279">
        <v>9</v>
      </c>
      <c r="M1260" s="279">
        <v>5</v>
      </c>
      <c r="R1260" s="279">
        <v>9</v>
      </c>
      <c r="S1260" s="279">
        <v>24.731333333333328</v>
      </c>
      <c r="T1260" s="279">
        <v>24.731333333333325</v>
      </c>
      <c r="U1260" s="279">
        <v>19.264666666666663</v>
      </c>
      <c r="V1260" s="279">
        <v>24.731333333333328</v>
      </c>
    </row>
    <row r="1261" spans="1:22">
      <c r="E1261" s="282">
        <v>0</v>
      </c>
      <c r="F1261" s="282">
        <v>0</v>
      </c>
      <c r="G1261" s="284">
        <v>0</v>
      </c>
      <c r="H1261" s="284">
        <v>0</v>
      </c>
    </row>
    <row r="1267" spans="1:22">
      <c r="A1267" s="278">
        <v>175</v>
      </c>
      <c r="B1267" s="280" t="s">
        <v>39</v>
      </c>
      <c r="C1267" s="278">
        <v>3366</v>
      </c>
      <c r="D1267" s="259"/>
      <c r="F1267" s="281">
        <v>44662</v>
      </c>
      <c r="G1267" s="281">
        <v>44841</v>
      </c>
      <c r="I1267" s="279">
        <v>9</v>
      </c>
      <c r="L1267" s="279">
        <v>9</v>
      </c>
      <c r="M1267" s="279">
        <v>9</v>
      </c>
      <c r="R1267" s="279">
        <v>9</v>
      </c>
      <c r="S1267" s="279">
        <v>12.382333333333339</v>
      </c>
      <c r="T1267" s="279">
        <v>12.382333333333339</v>
      </c>
      <c r="U1267" s="279">
        <v>12.382333333333335</v>
      </c>
      <c r="V1267" s="279">
        <v>12.382333333333332</v>
      </c>
    </row>
    <row r="1268" spans="1:22">
      <c r="E1268" s="282">
        <v>0</v>
      </c>
      <c r="F1268" s="282">
        <v>0</v>
      </c>
      <c r="G1268" s="284">
        <v>0</v>
      </c>
      <c r="H1268" s="284">
        <v>0</v>
      </c>
    </row>
    <row r="1274" spans="1:22">
      <c r="A1274" s="278">
        <v>176</v>
      </c>
      <c r="B1274" s="280" t="s">
        <v>39</v>
      </c>
      <c r="C1274" s="278">
        <v>3367</v>
      </c>
      <c r="D1274" s="259"/>
      <c r="F1274" s="281">
        <v>44662</v>
      </c>
      <c r="G1274" s="281">
        <v>44662</v>
      </c>
      <c r="I1274" s="279">
        <v>37</v>
      </c>
      <c r="L1274" s="279">
        <v>37</v>
      </c>
      <c r="M1274" s="279">
        <v>31</v>
      </c>
      <c r="R1274" s="279">
        <v>37</v>
      </c>
      <c r="S1274" s="279">
        <v>64.140000000000015</v>
      </c>
      <c r="T1274" s="279">
        <v>64.140000000000015</v>
      </c>
      <c r="U1274" s="279">
        <v>36.406666666666695</v>
      </c>
      <c r="V1274" s="279">
        <v>64.14</v>
      </c>
    </row>
    <row r="1275" spans="1:22">
      <c r="E1275" s="282">
        <v>0</v>
      </c>
      <c r="F1275" s="282">
        <v>0</v>
      </c>
      <c r="G1275" s="284">
        <v>0</v>
      </c>
      <c r="H1275" s="284">
        <v>0</v>
      </c>
    </row>
    <row r="1281" spans="1:23">
      <c r="A1281" s="278">
        <v>177</v>
      </c>
      <c r="B1281" s="280" t="s">
        <v>45</v>
      </c>
      <c r="C1281" s="278">
        <v>3553</v>
      </c>
      <c r="D1281" s="259"/>
      <c r="F1281" s="281">
        <v>44682</v>
      </c>
      <c r="G1281" s="281">
        <v>44697</v>
      </c>
      <c r="I1281" s="279">
        <v>43</v>
      </c>
      <c r="L1281" s="279">
        <v>43</v>
      </c>
      <c r="M1281" s="279">
        <v>36</v>
      </c>
      <c r="R1281" s="279">
        <v>43</v>
      </c>
      <c r="S1281" s="279">
        <v>52.865000000000009</v>
      </c>
      <c r="T1281" s="279">
        <v>52.864999999999988</v>
      </c>
      <c r="U1281" s="279">
        <v>36.564999999999991</v>
      </c>
      <c r="V1281" s="279">
        <v>52.864999999999988</v>
      </c>
      <c r="W1281" s="285" t="s">
        <v>5474</v>
      </c>
    </row>
    <row r="1282" spans="1:23">
      <c r="E1282" s="282">
        <v>0</v>
      </c>
      <c r="F1282" s="282">
        <v>0</v>
      </c>
      <c r="G1282" s="284">
        <v>0</v>
      </c>
      <c r="H1282" s="284">
        <v>0</v>
      </c>
    </row>
    <row r="1288" spans="1:23">
      <c r="A1288" s="278">
        <v>178</v>
      </c>
      <c r="B1288" s="289" t="s">
        <v>4558</v>
      </c>
      <c r="C1288" s="278">
        <v>3460</v>
      </c>
      <c r="D1288" s="259"/>
      <c r="F1288" s="281">
        <v>44685</v>
      </c>
      <c r="G1288" s="281">
        <v>44694</v>
      </c>
      <c r="I1288" s="279">
        <v>93</v>
      </c>
      <c r="L1288" s="279">
        <v>93</v>
      </c>
      <c r="M1288" s="279">
        <v>74</v>
      </c>
      <c r="R1288" s="279">
        <v>93</v>
      </c>
      <c r="S1288" s="279">
        <v>724.20466666666664</v>
      </c>
      <c r="T1288" s="279">
        <v>724.20466666666675</v>
      </c>
      <c r="U1288" s="279">
        <v>335.67133333333339</v>
      </c>
      <c r="V1288" s="279">
        <v>724.20466666666641</v>
      </c>
    </row>
    <row r="1289" spans="1:23">
      <c r="E1289" s="282">
        <v>0</v>
      </c>
      <c r="F1289" s="282">
        <v>0</v>
      </c>
      <c r="G1289" s="284">
        <v>0</v>
      </c>
      <c r="H1289" s="290">
        <v>1</v>
      </c>
    </row>
    <row r="1295" spans="1:23">
      <c r="A1295" s="278">
        <v>179</v>
      </c>
      <c r="B1295" s="289" t="s">
        <v>4558</v>
      </c>
      <c r="C1295" s="278">
        <v>3466</v>
      </c>
      <c r="D1295" s="259"/>
      <c r="F1295" s="281">
        <v>44685</v>
      </c>
      <c r="G1295" s="281">
        <v>44712</v>
      </c>
      <c r="I1295" s="279">
        <v>146</v>
      </c>
      <c r="L1295" s="279">
        <v>146</v>
      </c>
      <c r="M1295" s="279">
        <v>118</v>
      </c>
      <c r="R1295" s="279">
        <v>146</v>
      </c>
      <c r="S1295" s="279">
        <v>1242.0957333333329</v>
      </c>
      <c r="T1295" s="279">
        <v>1242.0957333333336</v>
      </c>
      <c r="U1295" s="279">
        <v>968.80906666666692</v>
      </c>
      <c r="V1295" s="279">
        <v>1242.0957333333324</v>
      </c>
    </row>
    <row r="1296" spans="1:23">
      <c r="E1296" s="282">
        <v>0</v>
      </c>
      <c r="F1296" s="282">
        <v>0</v>
      </c>
      <c r="G1296" s="284">
        <v>0</v>
      </c>
      <c r="H1296" s="290">
        <v>1</v>
      </c>
    </row>
    <row r="1302" spans="1:22">
      <c r="A1302" s="278">
        <v>180</v>
      </c>
      <c r="B1302" s="289" t="s">
        <v>4558</v>
      </c>
      <c r="C1302" s="278">
        <v>3467</v>
      </c>
      <c r="D1302" s="259"/>
      <c r="F1302" s="281">
        <v>44685</v>
      </c>
      <c r="G1302" s="281">
        <v>44712</v>
      </c>
      <c r="I1302" s="279">
        <v>476</v>
      </c>
      <c r="L1302" s="279">
        <v>476</v>
      </c>
      <c r="M1302" s="279">
        <v>384</v>
      </c>
      <c r="R1302" s="279">
        <v>476</v>
      </c>
      <c r="S1302" s="279">
        <v>2400.2846666666701</v>
      </c>
      <c r="T1302" s="279">
        <v>2400.2846666666705</v>
      </c>
      <c r="U1302" s="279">
        <v>1102.4513333333373</v>
      </c>
      <c r="V1302" s="279">
        <v>2400.2846666666683</v>
      </c>
    </row>
    <row r="1303" spans="1:22">
      <c r="E1303" s="282">
        <v>0</v>
      </c>
      <c r="F1303" s="282">
        <v>0</v>
      </c>
      <c r="G1303" s="284">
        <v>0</v>
      </c>
      <c r="H1303" s="290">
        <v>1</v>
      </c>
    </row>
    <row r="1309" spans="1:22">
      <c r="A1309" s="278">
        <v>181</v>
      </c>
      <c r="B1309" s="289" t="s">
        <v>4558</v>
      </c>
      <c r="C1309" s="278">
        <v>3468</v>
      </c>
      <c r="D1309" s="259"/>
      <c r="F1309" s="281">
        <v>44685</v>
      </c>
      <c r="G1309" s="281">
        <v>44712</v>
      </c>
      <c r="I1309" s="279">
        <v>460</v>
      </c>
      <c r="L1309" s="279">
        <v>460</v>
      </c>
      <c r="M1309" s="279">
        <v>379</v>
      </c>
      <c r="R1309" s="279">
        <v>460</v>
      </c>
      <c r="S1309" s="279">
        <v>2231.473333333337</v>
      </c>
      <c r="T1309" s="279">
        <v>2231.4733333333384</v>
      </c>
      <c r="U1309" s="279">
        <v>1584.8866666666715</v>
      </c>
      <c r="V1309" s="279">
        <v>2231.4733333333379</v>
      </c>
    </row>
    <row r="1310" spans="1:22">
      <c r="E1310" s="282">
        <v>0</v>
      </c>
      <c r="F1310" s="282">
        <v>0</v>
      </c>
      <c r="G1310" s="284">
        <v>0</v>
      </c>
      <c r="H1310" s="290">
        <v>1</v>
      </c>
    </row>
    <row r="1316" spans="1:22">
      <c r="A1316" s="278">
        <v>182</v>
      </c>
      <c r="B1316" s="289" t="s">
        <v>4558</v>
      </c>
      <c r="C1316" s="278">
        <v>3469</v>
      </c>
      <c r="D1316" s="259"/>
      <c r="F1316" s="281">
        <v>44685</v>
      </c>
      <c r="G1316" s="281">
        <v>44712</v>
      </c>
      <c r="I1316" s="279">
        <v>166</v>
      </c>
      <c r="L1316" s="279">
        <v>166</v>
      </c>
      <c r="M1316" s="279">
        <v>133</v>
      </c>
      <c r="R1316" s="279">
        <v>166</v>
      </c>
      <c r="S1316" s="279">
        <v>1935.9160000000015</v>
      </c>
      <c r="T1316" s="279">
        <v>1935.9160000000002</v>
      </c>
      <c r="U1316" s="279">
        <v>1328.3826666666664</v>
      </c>
      <c r="V1316" s="279">
        <v>1935.9160000000006</v>
      </c>
    </row>
    <row r="1317" spans="1:22">
      <c r="E1317" s="282">
        <v>0</v>
      </c>
      <c r="F1317" s="282">
        <v>0</v>
      </c>
      <c r="G1317" s="284">
        <v>0</v>
      </c>
      <c r="H1317" s="290">
        <v>1</v>
      </c>
    </row>
    <row r="1323" spans="1:22">
      <c r="A1323" s="278">
        <v>183</v>
      </c>
      <c r="B1323" s="280" t="s">
        <v>40</v>
      </c>
      <c r="C1323" s="278">
        <v>3558</v>
      </c>
      <c r="D1323" s="259"/>
      <c r="F1323" s="281">
        <v>44685</v>
      </c>
      <c r="G1323" s="281">
        <v>44699</v>
      </c>
      <c r="I1323" s="279">
        <v>171</v>
      </c>
      <c r="L1323" s="279">
        <v>171</v>
      </c>
      <c r="M1323" s="279">
        <v>142</v>
      </c>
      <c r="R1323" s="279">
        <v>171</v>
      </c>
      <c r="S1323" s="279">
        <v>577.28216666666697</v>
      </c>
      <c r="T1323" s="279">
        <v>577.28216666666697</v>
      </c>
      <c r="U1323" s="279">
        <v>380.84883333333374</v>
      </c>
      <c r="V1323" s="279">
        <v>577.28216666666674</v>
      </c>
    </row>
    <row r="1324" spans="1:22">
      <c r="E1324" s="282">
        <v>0</v>
      </c>
      <c r="F1324" s="282">
        <v>0</v>
      </c>
      <c r="G1324" s="284">
        <v>0</v>
      </c>
      <c r="H1324" s="290">
        <v>1</v>
      </c>
    </row>
    <row r="1330" spans="1:23">
      <c r="A1330" s="278">
        <v>184</v>
      </c>
      <c r="B1330" s="280" t="s">
        <v>40</v>
      </c>
      <c r="C1330" s="278">
        <v>3578</v>
      </c>
      <c r="D1330" s="259"/>
      <c r="F1330" s="281">
        <v>44685</v>
      </c>
      <c r="G1330" s="281">
        <v>44699</v>
      </c>
      <c r="I1330" s="279">
        <v>102</v>
      </c>
      <c r="L1330" s="279">
        <v>102</v>
      </c>
      <c r="M1330" s="279">
        <v>88</v>
      </c>
      <c r="R1330" s="279">
        <v>102</v>
      </c>
      <c r="S1330" s="279">
        <v>198.50986666666657</v>
      </c>
      <c r="T1330" s="279">
        <v>198.50986666666648</v>
      </c>
      <c r="U1330" s="279">
        <v>150.57653333333317</v>
      </c>
      <c r="V1330" s="279">
        <v>198.50986666666643</v>
      </c>
    </row>
    <row r="1331" spans="1:23">
      <c r="E1331" s="282">
        <v>0</v>
      </c>
      <c r="F1331" s="282">
        <v>0</v>
      </c>
      <c r="G1331" s="284">
        <v>0</v>
      </c>
      <c r="H1331" s="290">
        <v>1</v>
      </c>
    </row>
    <row r="1337" spans="1:23">
      <c r="A1337" s="278">
        <v>185</v>
      </c>
      <c r="B1337" s="280" t="s">
        <v>39</v>
      </c>
      <c r="C1337" s="278">
        <v>3470</v>
      </c>
      <c r="D1337" s="259"/>
      <c r="F1337" s="281">
        <v>44691</v>
      </c>
      <c r="G1337" s="281">
        <v>44694</v>
      </c>
      <c r="I1337" s="279">
        <v>64</v>
      </c>
      <c r="L1337" s="279">
        <v>64</v>
      </c>
      <c r="M1337" s="279">
        <v>63</v>
      </c>
      <c r="R1337" s="279">
        <v>64</v>
      </c>
      <c r="S1337" s="279">
        <v>228.82833333333335</v>
      </c>
      <c r="T1337" s="279">
        <v>228.82833333333321</v>
      </c>
      <c r="U1337" s="279">
        <v>228.46166666666656</v>
      </c>
      <c r="V1337" s="279">
        <v>228.82833333333326</v>
      </c>
      <c r="W1337" s="285" t="s">
        <v>5290</v>
      </c>
    </row>
    <row r="1338" spans="1:23">
      <c r="E1338" s="282">
        <v>0</v>
      </c>
      <c r="F1338" s="282">
        <v>0</v>
      </c>
      <c r="G1338" s="284">
        <v>0</v>
      </c>
      <c r="H1338" s="290">
        <v>1</v>
      </c>
    </row>
    <row r="1344" spans="1:23">
      <c r="A1344" s="278">
        <v>186</v>
      </c>
      <c r="B1344" s="280" t="s">
        <v>96</v>
      </c>
      <c r="C1344" s="278">
        <v>3420</v>
      </c>
      <c r="D1344" s="259"/>
      <c r="F1344" s="281">
        <v>44713</v>
      </c>
      <c r="G1344" s="281">
        <v>44713</v>
      </c>
      <c r="I1344" s="279">
        <v>23</v>
      </c>
      <c r="L1344" s="279">
        <v>23</v>
      </c>
      <c r="M1344" s="279">
        <v>17</v>
      </c>
      <c r="R1344" s="279">
        <v>23</v>
      </c>
      <c r="S1344" s="279">
        <v>301.54116666666664</v>
      </c>
      <c r="T1344" s="279">
        <v>301.54116666666658</v>
      </c>
      <c r="U1344" s="279">
        <v>137.27449999999982</v>
      </c>
      <c r="V1344" s="279">
        <v>301.54116666666675</v>
      </c>
    </row>
    <row r="1345" spans="1:23">
      <c r="E1345" s="282">
        <v>0</v>
      </c>
      <c r="F1345" s="282">
        <v>0</v>
      </c>
      <c r="G1345" s="284">
        <v>0</v>
      </c>
      <c r="H1345" s="284">
        <v>0</v>
      </c>
    </row>
    <row r="1351" spans="1:23">
      <c r="A1351" s="278">
        <v>187</v>
      </c>
      <c r="B1351" s="280" t="s">
        <v>142</v>
      </c>
      <c r="C1351" s="278">
        <v>3442</v>
      </c>
      <c r="D1351" s="259"/>
      <c r="F1351" s="281">
        <v>44713</v>
      </c>
      <c r="G1351" s="281">
        <v>44720</v>
      </c>
      <c r="I1351" s="279">
        <v>73</v>
      </c>
      <c r="L1351" s="279">
        <v>73</v>
      </c>
      <c r="M1351" s="279">
        <v>72</v>
      </c>
      <c r="R1351" s="279">
        <v>73</v>
      </c>
      <c r="S1351" s="279">
        <v>2340.9108333333343</v>
      </c>
      <c r="T1351" s="279">
        <v>2340.9108333333343</v>
      </c>
      <c r="U1351" s="279">
        <v>2337.4275000000011</v>
      </c>
      <c r="V1351" s="279">
        <v>2340.9108333333334</v>
      </c>
    </row>
    <row r="1352" spans="1:23">
      <c r="E1352" s="282">
        <v>0</v>
      </c>
      <c r="F1352" s="282">
        <v>0</v>
      </c>
      <c r="G1352" s="284">
        <v>0</v>
      </c>
      <c r="H1352" s="290">
        <v>1</v>
      </c>
    </row>
    <row r="1358" spans="1:23">
      <c r="A1358" s="278">
        <v>188</v>
      </c>
      <c r="B1358" s="280" t="s">
        <v>142</v>
      </c>
      <c r="C1358" s="278">
        <v>3506</v>
      </c>
      <c r="D1358" s="259"/>
      <c r="F1358" s="281">
        <v>44713</v>
      </c>
      <c r="G1358" s="281">
        <v>44720</v>
      </c>
      <c r="I1358" s="279">
        <v>63</v>
      </c>
      <c r="L1358" s="279">
        <v>63</v>
      </c>
      <c r="M1358" s="279">
        <v>62</v>
      </c>
      <c r="R1358" s="279">
        <v>63</v>
      </c>
      <c r="S1358" s="279">
        <v>442.52333333333308</v>
      </c>
      <c r="T1358" s="279">
        <v>442.52333333333291</v>
      </c>
      <c r="U1358" s="279">
        <v>441.78999999999951</v>
      </c>
      <c r="V1358" s="279">
        <v>442.52333333333331</v>
      </c>
      <c r="W1358" s="285" t="s">
        <v>5420</v>
      </c>
    </row>
    <row r="1359" spans="1:23">
      <c r="E1359" s="282">
        <v>0</v>
      </c>
      <c r="F1359" s="282">
        <v>0</v>
      </c>
      <c r="G1359" s="284">
        <v>0</v>
      </c>
      <c r="H1359" s="290">
        <v>1</v>
      </c>
    </row>
    <row r="1365" spans="1:22">
      <c r="A1365" s="278">
        <v>189</v>
      </c>
      <c r="B1365" s="288" t="s">
        <v>34</v>
      </c>
      <c r="C1365" s="278">
        <v>3512</v>
      </c>
      <c r="D1365" s="259"/>
      <c r="F1365" s="281">
        <v>44713</v>
      </c>
      <c r="G1365" s="281">
        <v>44727</v>
      </c>
      <c r="I1365" s="279">
        <v>26</v>
      </c>
      <c r="L1365" s="279">
        <v>26</v>
      </c>
      <c r="M1365" s="279">
        <v>22</v>
      </c>
      <c r="R1365" s="279">
        <v>26</v>
      </c>
      <c r="S1365" s="279">
        <v>37.054333333333346</v>
      </c>
      <c r="T1365" s="279">
        <v>37.054333333333368</v>
      </c>
      <c r="U1365" s="279">
        <v>22.321000000000023</v>
      </c>
      <c r="V1365" s="279">
        <v>37.054333333333346</v>
      </c>
    </row>
    <row r="1366" spans="1:22">
      <c r="E1366" s="282">
        <v>0</v>
      </c>
      <c r="F1366" s="282">
        <v>0</v>
      </c>
      <c r="G1366" s="284">
        <v>0</v>
      </c>
      <c r="H1366" s="290">
        <v>1</v>
      </c>
    </row>
    <row r="1372" spans="1:22">
      <c r="A1372" s="278">
        <v>190</v>
      </c>
      <c r="B1372" s="288" t="s">
        <v>34</v>
      </c>
      <c r="C1372" s="278">
        <v>3513</v>
      </c>
      <c r="D1372" s="259"/>
      <c r="F1372" s="281">
        <v>44713</v>
      </c>
      <c r="G1372" s="281">
        <v>44727</v>
      </c>
      <c r="I1372" s="279">
        <v>26</v>
      </c>
      <c r="L1372" s="279">
        <v>26</v>
      </c>
      <c r="M1372" s="279">
        <v>22</v>
      </c>
      <c r="R1372" s="279">
        <v>26</v>
      </c>
      <c r="S1372" s="279">
        <v>37.054333333333325</v>
      </c>
      <c r="T1372" s="279">
        <v>37.054333333333325</v>
      </c>
      <c r="U1372" s="279">
        <v>22.320999999999984</v>
      </c>
      <c r="V1372" s="279">
        <v>37.054333333333325</v>
      </c>
    </row>
    <row r="1373" spans="1:22">
      <c r="E1373" s="282">
        <v>0</v>
      </c>
      <c r="F1373" s="282">
        <v>0</v>
      </c>
      <c r="G1373" s="284">
        <v>0</v>
      </c>
      <c r="H1373" s="290">
        <v>1</v>
      </c>
    </row>
    <row r="1379" spans="1:22">
      <c r="A1379" s="278">
        <v>191</v>
      </c>
      <c r="B1379" s="280" t="s">
        <v>38</v>
      </c>
      <c r="C1379" s="278">
        <v>3561</v>
      </c>
      <c r="D1379" s="259"/>
      <c r="F1379" s="281">
        <v>44713</v>
      </c>
      <c r="G1379" s="281">
        <v>44727</v>
      </c>
      <c r="I1379" s="279">
        <v>9</v>
      </c>
      <c r="L1379" s="279">
        <v>9</v>
      </c>
      <c r="M1379" s="279">
        <v>8</v>
      </c>
      <c r="R1379" s="279">
        <v>9</v>
      </c>
      <c r="S1379" s="279">
        <v>5.4041666666666677</v>
      </c>
      <c r="T1379" s="279">
        <v>5.4041666666666659</v>
      </c>
      <c r="U1379" s="279">
        <v>3.3874999999999988</v>
      </c>
      <c r="V1379" s="279">
        <v>5.4041666666666659</v>
      </c>
    </row>
    <row r="1380" spans="1:22">
      <c r="E1380" s="282">
        <v>0</v>
      </c>
      <c r="F1380" s="282">
        <v>0</v>
      </c>
      <c r="G1380" s="284">
        <v>0</v>
      </c>
      <c r="H1380" s="284">
        <v>0</v>
      </c>
    </row>
    <row r="1386" spans="1:22">
      <c r="A1386" s="278">
        <v>192</v>
      </c>
      <c r="B1386" s="280" t="s">
        <v>46</v>
      </c>
      <c r="C1386" s="278">
        <v>3568</v>
      </c>
      <c r="D1386" s="259"/>
      <c r="F1386" s="281">
        <v>44713</v>
      </c>
      <c r="G1386" s="281">
        <v>44727</v>
      </c>
      <c r="I1386" s="279">
        <v>14</v>
      </c>
      <c r="L1386" s="279">
        <v>14</v>
      </c>
      <c r="M1386" s="279">
        <v>13</v>
      </c>
      <c r="R1386" s="279">
        <v>14</v>
      </c>
      <c r="S1386" s="279">
        <v>85.308999999999997</v>
      </c>
      <c r="T1386" s="279">
        <v>85.309000000000012</v>
      </c>
      <c r="U1386" s="279">
        <v>84.442333333333352</v>
      </c>
      <c r="V1386" s="279">
        <v>85.309000000000012</v>
      </c>
    </row>
    <row r="1387" spans="1:22">
      <c r="E1387" s="282">
        <v>0</v>
      </c>
      <c r="F1387" s="282">
        <v>0</v>
      </c>
      <c r="G1387" s="284">
        <v>0</v>
      </c>
      <c r="H1387" s="284">
        <v>0</v>
      </c>
    </row>
    <row r="1393" spans="1:22">
      <c r="A1393" s="278">
        <v>193</v>
      </c>
      <c r="B1393" s="280" t="s">
        <v>96</v>
      </c>
      <c r="C1393" s="278">
        <v>3421</v>
      </c>
      <c r="D1393" s="259"/>
      <c r="F1393" s="281">
        <v>44714</v>
      </c>
      <c r="G1393" s="281">
        <v>44714</v>
      </c>
      <c r="I1393" s="279">
        <v>44</v>
      </c>
      <c r="L1393" s="279">
        <v>44</v>
      </c>
      <c r="M1393" s="279">
        <v>37</v>
      </c>
      <c r="R1393" s="279">
        <v>44</v>
      </c>
      <c r="S1393" s="279">
        <v>362.55383333333344</v>
      </c>
      <c r="T1393" s="279">
        <v>362.55383333333322</v>
      </c>
      <c r="U1393" s="279">
        <v>182.20383333333328</v>
      </c>
      <c r="V1393" s="279">
        <v>362.55383333333356</v>
      </c>
    </row>
    <row r="1394" spans="1:22">
      <c r="E1394" s="282">
        <v>0</v>
      </c>
      <c r="F1394" s="282">
        <v>0</v>
      </c>
      <c r="G1394" s="284">
        <v>0</v>
      </c>
      <c r="H1394" s="284">
        <v>0</v>
      </c>
    </row>
    <row r="1400" spans="1:22">
      <c r="A1400" s="278">
        <v>194</v>
      </c>
      <c r="B1400" s="280" t="s">
        <v>46</v>
      </c>
      <c r="C1400" s="278">
        <v>3566</v>
      </c>
      <c r="D1400" s="259"/>
      <c r="F1400" s="281">
        <v>44714</v>
      </c>
      <c r="G1400" s="281">
        <v>44728</v>
      </c>
      <c r="I1400" s="279">
        <v>129</v>
      </c>
      <c r="L1400" s="279">
        <v>129</v>
      </c>
      <c r="M1400" s="279">
        <v>110</v>
      </c>
      <c r="R1400" s="279">
        <v>129</v>
      </c>
      <c r="S1400" s="279">
        <v>387.76299999999998</v>
      </c>
      <c r="T1400" s="279">
        <v>387.76300000000009</v>
      </c>
      <c r="U1400" s="279">
        <v>304.12966666666676</v>
      </c>
      <c r="V1400" s="279">
        <v>387.76299999999998</v>
      </c>
    </row>
    <row r="1401" spans="1:22">
      <c r="E1401" s="282">
        <v>0</v>
      </c>
      <c r="F1401" s="282">
        <v>0</v>
      </c>
      <c r="G1401" s="284">
        <v>0</v>
      </c>
      <c r="H1401" s="284">
        <v>0</v>
      </c>
    </row>
    <row r="1407" spans="1:22">
      <c r="A1407" s="278">
        <v>195</v>
      </c>
      <c r="B1407" s="280" t="s">
        <v>96</v>
      </c>
      <c r="C1407" s="278">
        <v>3422</v>
      </c>
      <c r="D1407" s="259"/>
      <c r="F1407" s="281">
        <v>44715</v>
      </c>
      <c r="G1407" s="281">
        <v>44715</v>
      </c>
      <c r="I1407" s="279">
        <v>19</v>
      </c>
      <c r="L1407" s="279">
        <v>19</v>
      </c>
      <c r="M1407" s="279">
        <v>16</v>
      </c>
      <c r="R1407" s="279">
        <v>19</v>
      </c>
      <c r="S1407" s="279">
        <v>145.37049999999999</v>
      </c>
      <c r="T1407" s="279">
        <v>145.37050000000002</v>
      </c>
      <c r="U1407" s="279">
        <v>65.803833333333358</v>
      </c>
      <c r="V1407" s="279">
        <v>145.37049999999996</v>
      </c>
    </row>
    <row r="1408" spans="1:22">
      <c r="E1408" s="282">
        <v>0</v>
      </c>
      <c r="F1408" s="282">
        <v>0</v>
      </c>
      <c r="G1408" s="284">
        <v>0</v>
      </c>
      <c r="H1408" s="284">
        <v>0</v>
      </c>
    </row>
    <row r="1414" spans="1:22">
      <c r="A1414" s="278">
        <v>196</v>
      </c>
      <c r="B1414" s="280" t="s">
        <v>46</v>
      </c>
      <c r="C1414" s="278">
        <v>3567</v>
      </c>
      <c r="D1414" s="259"/>
      <c r="F1414" s="281">
        <v>44715</v>
      </c>
      <c r="G1414" s="281">
        <v>44729</v>
      </c>
      <c r="I1414" s="279">
        <v>66</v>
      </c>
      <c r="L1414" s="279">
        <v>66</v>
      </c>
      <c r="M1414" s="279">
        <v>58</v>
      </c>
      <c r="R1414" s="279">
        <v>66</v>
      </c>
      <c r="S1414" s="279">
        <v>209.91</v>
      </c>
      <c r="T1414" s="279">
        <v>209.90999999999988</v>
      </c>
      <c r="U1414" s="279">
        <v>168.04099999999983</v>
      </c>
      <c r="V1414" s="279">
        <v>209.90999999999994</v>
      </c>
    </row>
    <row r="1415" spans="1:22">
      <c r="E1415" s="282">
        <v>0</v>
      </c>
      <c r="F1415" s="282">
        <v>0</v>
      </c>
      <c r="G1415" s="284">
        <v>0</v>
      </c>
      <c r="H1415" s="284">
        <v>0</v>
      </c>
    </row>
    <row r="1421" spans="1:22">
      <c r="A1421" s="278">
        <v>197</v>
      </c>
      <c r="B1421" s="280" t="s">
        <v>79</v>
      </c>
      <c r="C1421" s="278">
        <v>3564</v>
      </c>
      <c r="D1421" s="259"/>
      <c r="F1421" s="281">
        <v>44718</v>
      </c>
      <c r="G1421" s="281">
        <v>44718</v>
      </c>
      <c r="I1421" s="279">
        <v>104</v>
      </c>
      <c r="L1421" s="279">
        <v>104</v>
      </c>
      <c r="M1421" s="279">
        <v>85</v>
      </c>
      <c r="R1421" s="279">
        <v>104</v>
      </c>
      <c r="S1421" s="279">
        <v>1220.8818333333338</v>
      </c>
      <c r="T1421" s="279">
        <v>1220.8818333333327</v>
      </c>
      <c r="U1421" s="279">
        <v>955.08183333333261</v>
      </c>
      <c r="V1421" s="279">
        <v>1220.8818333333336</v>
      </c>
    </row>
    <row r="1422" spans="1:22">
      <c r="E1422" s="282">
        <v>0</v>
      </c>
      <c r="F1422" s="282">
        <v>0</v>
      </c>
      <c r="G1422" s="284">
        <v>0</v>
      </c>
      <c r="H1422" s="284">
        <v>0</v>
      </c>
    </row>
    <row r="1428" spans="1:22">
      <c r="A1428" s="278">
        <v>198</v>
      </c>
      <c r="B1428" s="280" t="s">
        <v>79</v>
      </c>
      <c r="C1428" s="278">
        <v>3565</v>
      </c>
      <c r="D1428" s="259"/>
      <c r="F1428" s="281">
        <v>44719</v>
      </c>
      <c r="G1428" s="281">
        <v>44719</v>
      </c>
      <c r="I1428" s="279">
        <v>69</v>
      </c>
      <c r="L1428" s="279">
        <v>69</v>
      </c>
      <c r="M1428" s="279">
        <v>54</v>
      </c>
      <c r="R1428" s="279">
        <v>69</v>
      </c>
      <c r="S1428" s="279">
        <v>92.339499999999973</v>
      </c>
      <c r="T1428" s="279">
        <v>92.339500000000001</v>
      </c>
      <c r="U1428" s="279">
        <v>60.197833333333364</v>
      </c>
      <c r="V1428" s="279">
        <v>92.339499999999987</v>
      </c>
    </row>
    <row r="1429" spans="1:22">
      <c r="E1429" s="282">
        <v>0</v>
      </c>
      <c r="F1429" s="282">
        <v>0</v>
      </c>
      <c r="G1429" s="284">
        <v>0</v>
      </c>
      <c r="H1429" s="284">
        <v>0</v>
      </c>
    </row>
    <row r="1435" spans="1:22">
      <c r="A1435" s="278">
        <v>199</v>
      </c>
      <c r="B1435" s="280" t="s">
        <v>5106</v>
      </c>
      <c r="C1435" s="278">
        <v>3437</v>
      </c>
      <c r="D1435" s="259"/>
      <c r="F1435" s="281">
        <v>44743</v>
      </c>
      <c r="G1435" s="281">
        <v>44762</v>
      </c>
      <c r="I1435" s="279">
        <v>466</v>
      </c>
      <c r="L1435" s="279">
        <v>466</v>
      </c>
      <c r="M1435" s="279">
        <v>422</v>
      </c>
      <c r="R1435" s="279">
        <v>466</v>
      </c>
      <c r="S1435" s="279">
        <v>2630.0586666666627</v>
      </c>
      <c r="T1435" s="279">
        <v>2630.0586666666627</v>
      </c>
      <c r="U1435" s="279">
        <v>2454.0853333333289</v>
      </c>
      <c r="V1435" s="279">
        <v>2630.0586666666641</v>
      </c>
    </row>
    <row r="1436" spans="1:22">
      <c r="E1436" s="282">
        <v>0</v>
      </c>
      <c r="F1436" s="282">
        <v>0</v>
      </c>
      <c r="G1436" s="284">
        <v>0</v>
      </c>
      <c r="H1436" s="290">
        <v>1</v>
      </c>
    </row>
    <row r="1442" spans="1:22">
      <c r="A1442" s="278">
        <v>200</v>
      </c>
      <c r="B1442" s="280" t="s">
        <v>39</v>
      </c>
      <c r="C1442" s="278">
        <v>3552</v>
      </c>
      <c r="D1442" s="259"/>
      <c r="F1442" s="281">
        <v>44743</v>
      </c>
      <c r="G1442" s="281">
        <v>44757</v>
      </c>
      <c r="I1442" s="279">
        <v>147</v>
      </c>
      <c r="L1442" s="279">
        <v>147</v>
      </c>
      <c r="M1442" s="279">
        <v>116</v>
      </c>
      <c r="R1442" s="279">
        <v>147</v>
      </c>
      <c r="S1442" s="279">
        <v>284.94366666666645</v>
      </c>
      <c r="T1442" s="279">
        <v>284.94366666666662</v>
      </c>
      <c r="U1442" s="279">
        <v>185.95366666666666</v>
      </c>
      <c r="V1442" s="279">
        <v>284.94366666666701</v>
      </c>
    </row>
    <row r="1443" spans="1:22">
      <c r="E1443" s="282">
        <v>0</v>
      </c>
      <c r="F1443" s="282">
        <v>0</v>
      </c>
      <c r="G1443" s="284">
        <v>0</v>
      </c>
      <c r="H1443" s="290">
        <v>1</v>
      </c>
    </row>
    <row r="1449" spans="1:22">
      <c r="A1449" s="278">
        <v>201</v>
      </c>
      <c r="B1449" s="288" t="s">
        <v>34</v>
      </c>
      <c r="C1449" s="278">
        <v>3556</v>
      </c>
      <c r="D1449" s="259"/>
      <c r="F1449" s="281">
        <v>44743</v>
      </c>
      <c r="G1449" s="281">
        <v>44743</v>
      </c>
      <c r="I1449" s="279">
        <v>31</v>
      </c>
      <c r="L1449" s="279">
        <v>31</v>
      </c>
      <c r="M1449" s="279">
        <v>31</v>
      </c>
      <c r="R1449" s="279">
        <v>31</v>
      </c>
      <c r="S1449" s="279">
        <v>826.26666666666631</v>
      </c>
      <c r="T1449" s="279">
        <v>826.26666666666654</v>
      </c>
      <c r="U1449" s="279">
        <v>826.26666666666677</v>
      </c>
      <c r="V1449" s="279">
        <v>826.26666666666677</v>
      </c>
    </row>
    <row r="1450" spans="1:22">
      <c r="E1450" s="282">
        <v>0</v>
      </c>
      <c r="F1450" s="282">
        <v>0</v>
      </c>
      <c r="G1450" s="284">
        <v>0</v>
      </c>
      <c r="H1450" s="290">
        <v>1</v>
      </c>
    </row>
    <row r="1456" spans="1:22">
      <c r="A1456" s="278">
        <v>202</v>
      </c>
      <c r="B1456" s="280" t="s">
        <v>5106</v>
      </c>
      <c r="C1456" s="278">
        <v>3557</v>
      </c>
      <c r="D1456" s="259"/>
      <c r="F1456" s="281">
        <v>44743</v>
      </c>
      <c r="G1456" s="281">
        <v>44743</v>
      </c>
      <c r="I1456" s="279">
        <v>466</v>
      </c>
      <c r="L1456" s="279">
        <v>466</v>
      </c>
      <c r="M1456" s="279">
        <v>422</v>
      </c>
      <c r="R1456" s="279">
        <v>466</v>
      </c>
      <c r="S1456" s="279">
        <v>2630.0586666666677</v>
      </c>
      <c r="T1456" s="279">
        <v>2630.0586666666677</v>
      </c>
      <c r="U1456" s="279">
        <v>2454.0853333333334</v>
      </c>
      <c r="V1456" s="279">
        <v>2630.0586666666641</v>
      </c>
    </row>
    <row r="1457" spans="1:22">
      <c r="E1457" s="282">
        <v>0</v>
      </c>
      <c r="F1457" s="282">
        <v>0</v>
      </c>
      <c r="G1457" s="284">
        <v>0</v>
      </c>
      <c r="H1457" s="290">
        <v>1</v>
      </c>
    </row>
    <row r="1463" spans="1:22">
      <c r="A1463" s="278">
        <v>203</v>
      </c>
      <c r="B1463" s="280" t="s">
        <v>45</v>
      </c>
      <c r="C1463" s="278">
        <v>3560</v>
      </c>
      <c r="D1463" s="259"/>
      <c r="F1463" s="281">
        <v>44743</v>
      </c>
      <c r="G1463" s="281">
        <v>44757</v>
      </c>
      <c r="I1463" s="279">
        <v>43</v>
      </c>
      <c r="L1463" s="279">
        <v>43</v>
      </c>
      <c r="M1463" s="279">
        <v>36</v>
      </c>
      <c r="R1463" s="279">
        <v>43</v>
      </c>
      <c r="S1463" s="279">
        <v>257.02183333333335</v>
      </c>
      <c r="T1463" s="279">
        <v>257.02183333333329</v>
      </c>
      <c r="U1463" s="279">
        <v>176.43849999999995</v>
      </c>
      <c r="V1463" s="279">
        <v>257.02183333333329</v>
      </c>
    </row>
    <row r="1464" spans="1:22">
      <c r="E1464" s="282">
        <v>0</v>
      </c>
      <c r="F1464" s="282">
        <v>0</v>
      </c>
      <c r="G1464" s="284">
        <v>0</v>
      </c>
      <c r="H1464" s="284">
        <v>0</v>
      </c>
    </row>
    <row r="1470" spans="1:22">
      <c r="A1470" s="278">
        <v>204</v>
      </c>
      <c r="B1470" s="280" t="s">
        <v>79</v>
      </c>
      <c r="C1470" s="278">
        <v>3423</v>
      </c>
      <c r="D1470" s="259"/>
      <c r="F1470" s="281">
        <v>44747</v>
      </c>
      <c r="G1470" s="281">
        <v>44748</v>
      </c>
      <c r="I1470" s="279">
        <v>128</v>
      </c>
      <c r="L1470" s="279">
        <v>128</v>
      </c>
      <c r="M1470" s="279">
        <v>96</v>
      </c>
      <c r="R1470" s="279">
        <v>128</v>
      </c>
      <c r="S1470" s="279">
        <v>8914.6653333333288</v>
      </c>
      <c r="T1470" s="279">
        <v>8914.6653333333361</v>
      </c>
      <c r="U1470" s="279">
        <v>7044.4320000000016</v>
      </c>
      <c r="V1470" s="279">
        <v>8914.6653333333252</v>
      </c>
    </row>
    <row r="1471" spans="1:22">
      <c r="E1471" s="282">
        <v>0</v>
      </c>
      <c r="F1471" s="282">
        <v>0</v>
      </c>
      <c r="G1471" s="284">
        <v>0</v>
      </c>
      <c r="H1471" s="284">
        <v>0</v>
      </c>
    </row>
    <row r="1477" spans="1:22">
      <c r="A1477" s="278">
        <v>205</v>
      </c>
      <c r="B1477" s="280" t="s">
        <v>79</v>
      </c>
      <c r="C1477" s="278">
        <v>3424</v>
      </c>
      <c r="D1477" s="259"/>
      <c r="F1477" s="281">
        <v>44747</v>
      </c>
      <c r="G1477" s="281">
        <v>44747</v>
      </c>
      <c r="I1477" s="279">
        <v>103</v>
      </c>
      <c r="L1477" s="279">
        <v>103</v>
      </c>
      <c r="M1477" s="279">
        <v>79</v>
      </c>
      <c r="R1477" s="279">
        <v>103</v>
      </c>
      <c r="S1477" s="279">
        <v>541.7553333333334</v>
      </c>
      <c r="T1477" s="279">
        <v>541.75533333333283</v>
      </c>
      <c r="U1477" s="279">
        <v>358.08866666666626</v>
      </c>
      <c r="V1477" s="279">
        <v>541.75533333333317</v>
      </c>
    </row>
    <row r="1478" spans="1:22">
      <c r="E1478" s="282">
        <v>0</v>
      </c>
      <c r="F1478" s="282">
        <v>0</v>
      </c>
      <c r="G1478" s="284">
        <v>0</v>
      </c>
      <c r="H1478" s="284">
        <v>0</v>
      </c>
    </row>
    <row r="1484" spans="1:22">
      <c r="A1484" s="278">
        <v>206</v>
      </c>
      <c r="B1484" s="280" t="s">
        <v>79</v>
      </c>
      <c r="C1484" s="278">
        <v>3425</v>
      </c>
      <c r="D1484" s="259"/>
      <c r="F1484" s="281">
        <v>44748</v>
      </c>
      <c r="G1484" s="281">
        <v>44748</v>
      </c>
      <c r="I1484" s="279">
        <v>80</v>
      </c>
      <c r="L1484" s="279">
        <v>80</v>
      </c>
      <c r="M1484" s="279">
        <v>78</v>
      </c>
      <c r="R1484" s="279">
        <v>80</v>
      </c>
      <c r="S1484" s="279">
        <v>333.32966666666658</v>
      </c>
      <c r="T1484" s="279">
        <v>333.3296666666667</v>
      </c>
      <c r="U1484" s="279">
        <v>284.09633333333335</v>
      </c>
      <c r="V1484" s="279">
        <v>333.3296666666667</v>
      </c>
    </row>
    <row r="1485" spans="1:22">
      <c r="E1485" s="282">
        <v>0</v>
      </c>
      <c r="F1485" s="282">
        <v>0</v>
      </c>
      <c r="G1485" s="284">
        <v>0</v>
      </c>
      <c r="H1485" s="284">
        <v>0</v>
      </c>
    </row>
    <row r="1491" spans="1:22">
      <c r="A1491" s="278">
        <v>207</v>
      </c>
      <c r="B1491" s="280" t="s">
        <v>46</v>
      </c>
      <c r="C1491" s="278">
        <v>3428</v>
      </c>
      <c r="D1491" s="259"/>
      <c r="F1491" s="281">
        <v>44748</v>
      </c>
      <c r="G1491" s="281">
        <v>44748</v>
      </c>
      <c r="I1491" s="279">
        <v>14</v>
      </c>
      <c r="L1491" s="279">
        <v>14</v>
      </c>
      <c r="M1491" s="279">
        <v>13</v>
      </c>
      <c r="R1491" s="279">
        <v>14</v>
      </c>
      <c r="S1491" s="279">
        <v>341.2360000000001</v>
      </c>
      <c r="T1491" s="279">
        <v>341.23600000000005</v>
      </c>
      <c r="U1491" s="279">
        <v>337.76933333333341</v>
      </c>
      <c r="V1491" s="279">
        <v>341.2360000000001</v>
      </c>
    </row>
    <row r="1492" spans="1:22">
      <c r="E1492" s="282">
        <v>0</v>
      </c>
      <c r="F1492" s="282">
        <v>0</v>
      </c>
      <c r="G1492" s="284">
        <v>0</v>
      </c>
      <c r="H1492" s="284">
        <v>0</v>
      </c>
    </row>
    <row r="1498" spans="1:22">
      <c r="A1498" s="278">
        <v>208</v>
      </c>
      <c r="B1498" s="280" t="s">
        <v>46</v>
      </c>
      <c r="C1498" s="278">
        <v>3426</v>
      </c>
      <c r="D1498" s="259"/>
      <c r="F1498" s="281">
        <v>44749</v>
      </c>
      <c r="G1498" s="281">
        <v>44749</v>
      </c>
      <c r="I1498" s="279">
        <v>130</v>
      </c>
      <c r="L1498" s="279">
        <v>130</v>
      </c>
      <c r="M1498" s="279">
        <v>111</v>
      </c>
      <c r="R1498" s="279">
        <v>130</v>
      </c>
      <c r="S1498" s="279">
        <v>1613.3133333333349</v>
      </c>
      <c r="T1498" s="279">
        <v>1613.3133333333344</v>
      </c>
      <c r="U1498" s="279">
        <v>1280.1133333333346</v>
      </c>
      <c r="V1498" s="279">
        <v>1613.3133333333344</v>
      </c>
    </row>
    <row r="1499" spans="1:22">
      <c r="E1499" s="282">
        <v>0</v>
      </c>
      <c r="F1499" s="282">
        <v>0</v>
      </c>
      <c r="G1499" s="284">
        <v>0</v>
      </c>
      <c r="H1499" s="284">
        <v>0</v>
      </c>
    </row>
    <row r="1505" spans="1:22">
      <c r="A1505" s="278">
        <v>209</v>
      </c>
      <c r="B1505" s="280" t="s">
        <v>46</v>
      </c>
      <c r="C1505" s="278">
        <v>3427</v>
      </c>
      <c r="D1505" s="259"/>
      <c r="F1505" s="281">
        <v>44750</v>
      </c>
      <c r="G1505" s="281">
        <v>44750</v>
      </c>
      <c r="I1505" s="279">
        <v>66</v>
      </c>
      <c r="L1505" s="279">
        <v>66</v>
      </c>
      <c r="M1505" s="279">
        <v>58</v>
      </c>
      <c r="R1505" s="279">
        <v>66</v>
      </c>
      <c r="S1505" s="279">
        <v>839.64000000000033</v>
      </c>
      <c r="T1505" s="279">
        <v>839.63999999999987</v>
      </c>
      <c r="U1505" s="279">
        <v>672.16399999999976</v>
      </c>
      <c r="V1505" s="279">
        <v>839.64000000000055</v>
      </c>
    </row>
    <row r="1506" spans="1:22">
      <c r="E1506" s="282">
        <v>0</v>
      </c>
      <c r="F1506" s="282">
        <v>0</v>
      </c>
      <c r="G1506" s="284">
        <v>0</v>
      </c>
      <c r="H1506" s="284">
        <v>0</v>
      </c>
    </row>
    <row r="1512" spans="1:22">
      <c r="A1512" s="278">
        <v>210</v>
      </c>
      <c r="B1512" s="280" t="s">
        <v>46</v>
      </c>
      <c r="C1512" s="278">
        <v>3436</v>
      </c>
      <c r="D1512" s="259"/>
      <c r="F1512" s="281">
        <v>44753</v>
      </c>
      <c r="G1512" s="281">
        <v>44753</v>
      </c>
      <c r="I1512" s="279">
        <v>33</v>
      </c>
      <c r="L1512" s="279">
        <v>33</v>
      </c>
      <c r="M1512" s="279">
        <v>29</v>
      </c>
      <c r="R1512" s="279">
        <v>33</v>
      </c>
      <c r="S1512" s="279">
        <v>395.05599999999998</v>
      </c>
      <c r="T1512" s="279">
        <v>395.05599999999981</v>
      </c>
      <c r="U1512" s="279">
        <v>293.12266666666642</v>
      </c>
      <c r="V1512" s="279">
        <v>395.05599999999976</v>
      </c>
    </row>
    <row r="1513" spans="1:22">
      <c r="E1513" s="282">
        <v>0</v>
      </c>
      <c r="F1513" s="282">
        <v>0</v>
      </c>
      <c r="G1513" s="284">
        <v>0</v>
      </c>
      <c r="H1513" s="284">
        <v>0</v>
      </c>
    </row>
    <row r="1519" spans="1:22">
      <c r="A1519" s="278">
        <v>211</v>
      </c>
      <c r="B1519" s="280" t="s">
        <v>46</v>
      </c>
      <c r="C1519" s="278">
        <v>3429</v>
      </c>
      <c r="D1519" s="259"/>
      <c r="F1519" s="281">
        <v>44754</v>
      </c>
      <c r="G1519" s="281">
        <v>44754</v>
      </c>
      <c r="I1519" s="279">
        <v>38</v>
      </c>
      <c r="L1519" s="279">
        <v>38</v>
      </c>
      <c r="M1519" s="279">
        <v>32</v>
      </c>
      <c r="R1519" s="279">
        <v>38</v>
      </c>
      <c r="S1519" s="279">
        <v>1071.692</v>
      </c>
      <c r="T1519" s="279">
        <v>1071.692</v>
      </c>
      <c r="U1519" s="279">
        <v>815.35866666666664</v>
      </c>
      <c r="V1519" s="279">
        <v>1071.6919999999998</v>
      </c>
    </row>
    <row r="1520" spans="1:22">
      <c r="E1520" s="282">
        <v>0</v>
      </c>
      <c r="F1520" s="282">
        <v>0</v>
      </c>
      <c r="G1520" s="284">
        <v>0</v>
      </c>
      <c r="H1520" s="284">
        <v>0</v>
      </c>
    </row>
    <row r="1526" spans="1:22">
      <c r="A1526" s="278">
        <v>212</v>
      </c>
      <c r="B1526" s="280" t="s">
        <v>46</v>
      </c>
      <c r="C1526" s="278">
        <v>3430</v>
      </c>
      <c r="D1526" s="259"/>
      <c r="F1526" s="281">
        <v>44755</v>
      </c>
      <c r="G1526" s="281">
        <v>44755</v>
      </c>
      <c r="I1526" s="279">
        <v>22</v>
      </c>
      <c r="L1526" s="279">
        <v>22</v>
      </c>
      <c r="M1526" s="279">
        <v>18</v>
      </c>
      <c r="R1526" s="279">
        <v>22</v>
      </c>
      <c r="S1526" s="279">
        <v>198.73200000000006</v>
      </c>
      <c r="T1526" s="279">
        <v>198.73199999999997</v>
      </c>
      <c r="U1526" s="279">
        <v>121.33199999999997</v>
      </c>
      <c r="V1526" s="279">
        <v>198.732</v>
      </c>
    </row>
    <row r="1527" spans="1:22">
      <c r="E1527" s="282">
        <v>0</v>
      </c>
      <c r="F1527" s="282">
        <v>0</v>
      </c>
      <c r="G1527" s="284">
        <v>0</v>
      </c>
      <c r="H1527" s="284">
        <v>0</v>
      </c>
    </row>
    <row r="1533" spans="1:22">
      <c r="A1533" s="278">
        <v>213</v>
      </c>
      <c r="B1533" s="280" t="s">
        <v>46</v>
      </c>
      <c r="C1533" s="278">
        <v>3431</v>
      </c>
      <c r="D1533" s="259"/>
      <c r="F1533" s="281">
        <v>44756</v>
      </c>
      <c r="G1533" s="281">
        <v>44756</v>
      </c>
      <c r="I1533" s="279">
        <v>129</v>
      </c>
      <c r="L1533" s="279">
        <v>129</v>
      </c>
      <c r="M1533" s="279">
        <v>119</v>
      </c>
      <c r="R1533" s="279">
        <v>129</v>
      </c>
      <c r="S1533" s="279">
        <v>1098.6613333333328</v>
      </c>
      <c r="T1533" s="279">
        <v>1098.6613333333337</v>
      </c>
      <c r="U1533" s="279">
        <v>1035.7280000000003</v>
      </c>
      <c r="V1533" s="279">
        <v>1098.6613333333325</v>
      </c>
    </row>
    <row r="1534" spans="1:22">
      <c r="E1534" s="282">
        <v>0</v>
      </c>
      <c r="F1534" s="282">
        <v>0</v>
      </c>
      <c r="G1534" s="284">
        <v>0</v>
      </c>
      <c r="H1534" s="284">
        <v>0</v>
      </c>
    </row>
    <row r="1540" spans="1:22">
      <c r="A1540" s="278">
        <v>214</v>
      </c>
      <c r="B1540" s="280" t="s">
        <v>46</v>
      </c>
      <c r="C1540" s="278">
        <v>3432</v>
      </c>
      <c r="D1540" s="259"/>
      <c r="F1540" s="281">
        <v>44757</v>
      </c>
      <c r="G1540" s="281">
        <v>44757</v>
      </c>
      <c r="I1540" s="279">
        <v>31</v>
      </c>
      <c r="L1540" s="279">
        <v>31</v>
      </c>
      <c r="M1540" s="279">
        <v>23</v>
      </c>
      <c r="R1540" s="279">
        <v>31</v>
      </c>
      <c r="S1540" s="279">
        <v>250.12266666666676</v>
      </c>
      <c r="T1540" s="279">
        <v>250.12266666666673</v>
      </c>
      <c r="U1540" s="279">
        <v>130.92266666666674</v>
      </c>
      <c r="V1540" s="279">
        <v>250.12266666666693</v>
      </c>
    </row>
    <row r="1541" spans="1:22">
      <c r="E1541" s="282">
        <v>0</v>
      </c>
      <c r="F1541" s="282">
        <v>0</v>
      </c>
      <c r="G1541" s="284">
        <v>0</v>
      </c>
      <c r="H1541" s="284">
        <v>0</v>
      </c>
    </row>
    <row r="1547" spans="1:22">
      <c r="A1547" s="278">
        <v>215</v>
      </c>
      <c r="B1547" s="280" t="s">
        <v>46</v>
      </c>
      <c r="C1547" s="278">
        <v>3433</v>
      </c>
      <c r="D1547" s="259"/>
      <c r="F1547" s="281">
        <v>44760</v>
      </c>
      <c r="G1547" s="281">
        <v>44760</v>
      </c>
      <c r="I1547" s="279">
        <v>9</v>
      </c>
      <c r="L1547" s="279">
        <v>9</v>
      </c>
      <c r="M1547" s="279">
        <v>5</v>
      </c>
      <c r="R1547" s="279">
        <v>9</v>
      </c>
      <c r="S1547" s="279">
        <v>98.925333333333327</v>
      </c>
      <c r="T1547" s="279">
        <v>98.925333333333299</v>
      </c>
      <c r="U1547" s="279">
        <v>77.058666666666653</v>
      </c>
      <c r="V1547" s="279">
        <v>98.925333333333313</v>
      </c>
    </row>
    <row r="1548" spans="1:22">
      <c r="E1548" s="282">
        <v>0</v>
      </c>
      <c r="F1548" s="282">
        <v>0</v>
      </c>
      <c r="G1548" s="284">
        <v>0</v>
      </c>
      <c r="H1548" s="284">
        <v>0</v>
      </c>
    </row>
    <row r="1554" spans="1:22">
      <c r="A1554" s="278">
        <v>216</v>
      </c>
      <c r="B1554" s="280" t="s">
        <v>46</v>
      </c>
      <c r="C1554" s="278">
        <v>3434</v>
      </c>
      <c r="D1554" s="259"/>
      <c r="F1554" s="281">
        <v>44760</v>
      </c>
      <c r="G1554" s="281">
        <v>44760</v>
      </c>
      <c r="I1554" s="279">
        <v>9</v>
      </c>
      <c r="L1554" s="279">
        <v>9</v>
      </c>
      <c r="M1554" s="279">
        <v>9</v>
      </c>
      <c r="R1554" s="279">
        <v>9</v>
      </c>
      <c r="S1554" s="279">
        <v>49.529333333333334</v>
      </c>
      <c r="T1554" s="279">
        <v>49.529333333333334</v>
      </c>
      <c r="U1554" s="279">
        <v>49.529333333333334</v>
      </c>
      <c r="V1554" s="279">
        <v>49.529333333333341</v>
      </c>
    </row>
    <row r="1555" spans="1:22">
      <c r="E1555" s="282">
        <v>0</v>
      </c>
      <c r="F1555" s="282">
        <v>0</v>
      </c>
      <c r="G1555" s="284">
        <v>0</v>
      </c>
      <c r="H1555" s="284">
        <v>0</v>
      </c>
    </row>
    <row r="1561" spans="1:22">
      <c r="A1561" s="278">
        <v>217</v>
      </c>
      <c r="B1561" s="280" t="s">
        <v>46</v>
      </c>
      <c r="C1561" s="278">
        <v>3435</v>
      </c>
      <c r="D1561" s="259"/>
      <c r="F1561" s="281">
        <v>44760</v>
      </c>
      <c r="G1561" s="281">
        <v>44760</v>
      </c>
      <c r="I1561" s="279">
        <v>50</v>
      </c>
      <c r="L1561" s="279">
        <v>50</v>
      </c>
      <c r="M1561" s="279">
        <v>40</v>
      </c>
      <c r="R1561" s="279">
        <v>50</v>
      </c>
      <c r="S1561" s="279">
        <v>564.56000000000017</v>
      </c>
      <c r="T1561" s="279">
        <v>564.55999999999983</v>
      </c>
      <c r="U1561" s="279">
        <v>426.09333333333331</v>
      </c>
      <c r="V1561" s="279">
        <v>564.55999999999995</v>
      </c>
    </row>
    <row r="1562" spans="1:22">
      <c r="E1562" s="282">
        <v>0</v>
      </c>
      <c r="F1562" s="282">
        <v>0</v>
      </c>
      <c r="G1562" s="284">
        <v>0</v>
      </c>
      <c r="H1562" s="284">
        <v>0</v>
      </c>
    </row>
    <row r="1568" spans="1:22">
      <c r="A1568" s="278">
        <v>218</v>
      </c>
      <c r="B1568" s="280" t="s">
        <v>45</v>
      </c>
      <c r="C1568" s="278">
        <v>3418</v>
      </c>
      <c r="D1568" s="259"/>
      <c r="F1568" s="281">
        <v>44774</v>
      </c>
      <c r="G1568" s="281">
        <v>44778</v>
      </c>
      <c r="I1568" s="279">
        <v>269</v>
      </c>
      <c r="L1568" s="279">
        <v>269</v>
      </c>
      <c r="M1568" s="279">
        <v>230</v>
      </c>
      <c r="R1568" s="279">
        <v>269</v>
      </c>
      <c r="S1568" s="279">
        <v>3499.377333333332</v>
      </c>
      <c r="T1568" s="279">
        <v>3499.3773333333284</v>
      </c>
      <c r="U1568" s="279">
        <v>2953.3666666666618</v>
      </c>
      <c r="V1568" s="279">
        <v>3499.3773333333329</v>
      </c>
    </row>
    <row r="1569" spans="1:23">
      <c r="E1569" s="282">
        <v>0</v>
      </c>
      <c r="F1569" s="282">
        <v>0</v>
      </c>
      <c r="G1569" s="284">
        <v>0</v>
      </c>
      <c r="H1569" s="284">
        <v>0</v>
      </c>
    </row>
    <row r="1575" spans="1:23">
      <c r="A1575" s="278">
        <v>219</v>
      </c>
      <c r="B1575" s="280" t="s">
        <v>41</v>
      </c>
      <c r="C1575" s="278">
        <v>3510</v>
      </c>
      <c r="D1575" s="259"/>
      <c r="F1575" s="281">
        <v>44774</v>
      </c>
      <c r="G1575" s="281">
        <v>44799</v>
      </c>
      <c r="I1575" s="279">
        <v>109</v>
      </c>
      <c r="L1575" s="279">
        <v>109</v>
      </c>
      <c r="M1575" s="279">
        <v>87</v>
      </c>
      <c r="R1575" s="279">
        <v>109</v>
      </c>
      <c r="S1575" s="279">
        <v>85.325333333333148</v>
      </c>
      <c r="T1575" s="279">
        <v>85.325333333333205</v>
      </c>
      <c r="U1575" s="279">
        <v>58.428999999999853</v>
      </c>
      <c r="V1575" s="279">
        <v>85.325333333333177</v>
      </c>
      <c r="W1575" s="285" t="s">
        <v>5783</v>
      </c>
    </row>
    <row r="1576" spans="1:23">
      <c r="E1576" s="282">
        <v>0</v>
      </c>
      <c r="F1576" s="282">
        <v>0</v>
      </c>
      <c r="G1576" s="284">
        <v>0</v>
      </c>
      <c r="H1576" s="290">
        <v>1</v>
      </c>
    </row>
    <row r="1582" spans="1:23">
      <c r="A1582" s="278">
        <v>220</v>
      </c>
      <c r="B1582" s="280" t="s">
        <v>44</v>
      </c>
      <c r="C1582" s="278">
        <v>3543</v>
      </c>
      <c r="D1582" s="259"/>
      <c r="F1582" s="281">
        <v>44774</v>
      </c>
      <c r="G1582" s="281">
        <v>44774</v>
      </c>
      <c r="I1582" s="279">
        <v>9</v>
      </c>
      <c r="L1582" s="279">
        <v>9</v>
      </c>
      <c r="M1582" s="279">
        <v>9</v>
      </c>
      <c r="R1582" s="279">
        <v>9</v>
      </c>
      <c r="S1582" s="279">
        <v>837.15100000000007</v>
      </c>
      <c r="T1582" s="279">
        <v>837.15099999999995</v>
      </c>
      <c r="U1582" s="279">
        <v>837.15099999999973</v>
      </c>
      <c r="V1582" s="279">
        <v>837.15099999999995</v>
      </c>
    </row>
    <row r="1583" spans="1:23">
      <c r="E1583" s="282">
        <v>0</v>
      </c>
      <c r="F1583" s="282">
        <v>0</v>
      </c>
      <c r="G1583" s="284">
        <v>0</v>
      </c>
      <c r="H1583" s="284">
        <v>0</v>
      </c>
    </row>
    <row r="1589" spans="1:22">
      <c r="A1589" s="278">
        <v>221</v>
      </c>
      <c r="B1589" s="280" t="s">
        <v>44</v>
      </c>
      <c r="C1589" s="278">
        <v>3544</v>
      </c>
      <c r="D1589" s="259"/>
      <c r="F1589" s="281">
        <v>44774</v>
      </c>
      <c r="G1589" s="281">
        <v>44774</v>
      </c>
      <c r="I1589" s="279">
        <v>33</v>
      </c>
      <c r="L1589" s="279">
        <v>33</v>
      </c>
      <c r="M1589" s="279">
        <v>29</v>
      </c>
      <c r="R1589" s="279">
        <v>33</v>
      </c>
      <c r="S1589" s="279">
        <v>849.24000000000012</v>
      </c>
      <c r="T1589" s="279">
        <v>849.2399999999999</v>
      </c>
      <c r="U1589" s="279">
        <v>841.43999999999983</v>
      </c>
      <c r="V1589" s="279">
        <v>849.24000000000024</v>
      </c>
    </row>
    <row r="1590" spans="1:22">
      <c r="E1590" s="282">
        <v>0</v>
      </c>
      <c r="F1590" s="282">
        <v>0</v>
      </c>
      <c r="G1590" s="284">
        <v>0</v>
      </c>
      <c r="H1590" s="284">
        <v>0</v>
      </c>
    </row>
    <row r="1596" spans="1:22">
      <c r="A1596" s="278">
        <v>222</v>
      </c>
      <c r="B1596" s="280" t="s">
        <v>44</v>
      </c>
      <c r="C1596" s="278">
        <v>3545</v>
      </c>
      <c r="D1596" s="259"/>
      <c r="F1596" s="281">
        <v>44774</v>
      </c>
      <c r="G1596" s="281">
        <v>44774</v>
      </c>
      <c r="I1596" s="279">
        <v>28</v>
      </c>
      <c r="L1596" s="279">
        <v>28</v>
      </c>
      <c r="M1596" s="279">
        <v>22</v>
      </c>
      <c r="R1596" s="279">
        <v>28</v>
      </c>
      <c r="S1596" s="279">
        <v>1442.4480000000001</v>
      </c>
      <c r="T1596" s="279">
        <v>1442.4480000000005</v>
      </c>
      <c r="U1596" s="279">
        <v>1166.5980000000004</v>
      </c>
      <c r="V1596" s="279">
        <v>1442.4480000000005</v>
      </c>
    </row>
    <row r="1597" spans="1:22">
      <c r="E1597" s="282">
        <v>0</v>
      </c>
      <c r="F1597" s="282">
        <v>0</v>
      </c>
      <c r="G1597" s="284">
        <v>0</v>
      </c>
      <c r="H1597" s="284">
        <v>0</v>
      </c>
    </row>
    <row r="1603" spans="1:22">
      <c r="A1603" s="278">
        <v>223</v>
      </c>
      <c r="B1603" s="280" t="s">
        <v>44</v>
      </c>
      <c r="C1603" s="278">
        <v>3546</v>
      </c>
      <c r="D1603" s="259"/>
      <c r="F1603" s="281">
        <v>44774</v>
      </c>
      <c r="G1603" s="281">
        <v>44774</v>
      </c>
      <c r="I1603" s="279">
        <v>14</v>
      </c>
      <c r="L1603" s="279">
        <v>14</v>
      </c>
      <c r="M1603" s="279">
        <v>12</v>
      </c>
      <c r="R1603" s="279">
        <v>14</v>
      </c>
      <c r="S1603" s="279">
        <v>780.0300000000002</v>
      </c>
      <c r="T1603" s="279">
        <v>780.02999999999986</v>
      </c>
      <c r="U1603" s="279">
        <v>686.42999999999984</v>
      </c>
      <c r="V1603" s="279">
        <v>780.0300000000002</v>
      </c>
    </row>
    <row r="1604" spans="1:22">
      <c r="E1604" s="282">
        <v>0</v>
      </c>
      <c r="F1604" s="282">
        <v>0</v>
      </c>
      <c r="G1604" s="284">
        <v>0</v>
      </c>
      <c r="H1604" s="284">
        <v>0</v>
      </c>
    </row>
    <row r="1610" spans="1:22">
      <c r="A1610" s="278">
        <v>224</v>
      </c>
      <c r="B1610" s="280" t="s">
        <v>44</v>
      </c>
      <c r="C1610" s="278">
        <v>3547</v>
      </c>
      <c r="D1610" s="259"/>
      <c r="F1610" s="281">
        <v>44774</v>
      </c>
      <c r="G1610" s="281">
        <v>44774</v>
      </c>
      <c r="I1610" s="279">
        <v>57</v>
      </c>
      <c r="L1610" s="279">
        <v>57</v>
      </c>
      <c r="M1610" s="279">
        <v>50</v>
      </c>
      <c r="R1610" s="279">
        <v>57</v>
      </c>
      <c r="S1610" s="279">
        <v>402.84400000000011</v>
      </c>
      <c r="T1610" s="279">
        <v>402.84399999999999</v>
      </c>
      <c r="U1610" s="279">
        <v>302.74399999999991</v>
      </c>
      <c r="V1610" s="279">
        <v>402.84399999999994</v>
      </c>
    </row>
    <row r="1611" spans="1:22">
      <c r="E1611" s="282">
        <v>0</v>
      </c>
      <c r="F1611" s="282">
        <v>0</v>
      </c>
      <c r="G1611" s="284">
        <v>0</v>
      </c>
      <c r="H1611" s="284">
        <v>0</v>
      </c>
    </row>
    <row r="1617" spans="1:22">
      <c r="A1617" s="278">
        <v>225</v>
      </c>
      <c r="B1617" s="280" t="s">
        <v>44</v>
      </c>
      <c r="C1617" s="278">
        <v>3548</v>
      </c>
      <c r="D1617" s="259"/>
      <c r="F1617" s="281">
        <v>44774</v>
      </c>
      <c r="G1617" s="281">
        <v>44774</v>
      </c>
      <c r="I1617" s="279">
        <v>127</v>
      </c>
      <c r="L1617" s="279">
        <v>127</v>
      </c>
      <c r="M1617" s="279">
        <v>110</v>
      </c>
      <c r="R1617" s="279">
        <v>127</v>
      </c>
      <c r="S1617" s="279">
        <v>876.34600000000069</v>
      </c>
      <c r="T1617" s="279">
        <v>876.3460000000008</v>
      </c>
      <c r="U1617" s="279">
        <v>775.5960000000008</v>
      </c>
      <c r="V1617" s="279">
        <v>876.34600000000091</v>
      </c>
    </row>
    <row r="1618" spans="1:22">
      <c r="E1618" s="282">
        <v>0</v>
      </c>
      <c r="F1618" s="282">
        <v>0</v>
      </c>
      <c r="G1618" s="284">
        <v>0</v>
      </c>
      <c r="H1618" s="284">
        <v>0</v>
      </c>
    </row>
    <row r="1624" spans="1:22">
      <c r="A1624" s="278">
        <v>226</v>
      </c>
      <c r="B1624" s="280" t="s">
        <v>44</v>
      </c>
      <c r="C1624" s="278">
        <v>3549</v>
      </c>
      <c r="D1624" s="259"/>
      <c r="F1624" s="281">
        <v>44774</v>
      </c>
      <c r="G1624" s="281">
        <v>44774</v>
      </c>
      <c r="I1624" s="279">
        <v>231</v>
      </c>
      <c r="L1624" s="279">
        <v>231</v>
      </c>
      <c r="M1624" s="279">
        <v>186</v>
      </c>
      <c r="R1624" s="279">
        <v>231</v>
      </c>
      <c r="S1624" s="279">
        <v>2532.898999999994</v>
      </c>
      <c r="T1624" s="279">
        <v>2532.8989999999994</v>
      </c>
      <c r="U1624" s="279">
        <v>2096.3189999999991</v>
      </c>
      <c r="V1624" s="279">
        <v>2532.8989999999962</v>
      </c>
    </row>
    <row r="1625" spans="1:22">
      <c r="E1625" s="282">
        <v>0</v>
      </c>
      <c r="F1625" s="282">
        <v>0</v>
      </c>
      <c r="G1625" s="284">
        <v>0</v>
      </c>
      <c r="H1625" s="284">
        <v>0</v>
      </c>
    </row>
    <row r="1631" spans="1:22">
      <c r="A1631" s="278">
        <v>227</v>
      </c>
      <c r="B1631" s="280" t="s">
        <v>44</v>
      </c>
      <c r="C1631" s="278">
        <v>3550</v>
      </c>
      <c r="D1631" s="259"/>
      <c r="F1631" s="281">
        <v>44774</v>
      </c>
      <c r="G1631" s="281">
        <v>44774</v>
      </c>
      <c r="I1631" s="279">
        <v>78</v>
      </c>
      <c r="L1631" s="279">
        <v>78</v>
      </c>
      <c r="M1631" s="279">
        <v>62</v>
      </c>
      <c r="R1631" s="279">
        <v>78</v>
      </c>
      <c r="S1631" s="279">
        <v>10405.849999999995</v>
      </c>
      <c r="T1631" s="279">
        <v>10405.849999999991</v>
      </c>
      <c r="U1631" s="279">
        <v>7287.5299999999879</v>
      </c>
      <c r="V1631" s="279">
        <v>10405.849999999997</v>
      </c>
    </row>
    <row r="1632" spans="1:22">
      <c r="E1632" s="282">
        <v>0</v>
      </c>
      <c r="F1632" s="282">
        <v>0</v>
      </c>
      <c r="G1632" s="284">
        <v>0</v>
      </c>
      <c r="H1632" s="284">
        <v>0</v>
      </c>
    </row>
    <row r="1638" spans="1:23">
      <c r="A1638" s="278">
        <v>228</v>
      </c>
      <c r="B1638" s="280" t="s">
        <v>44</v>
      </c>
      <c r="C1638" s="278">
        <v>3551</v>
      </c>
      <c r="D1638" s="259"/>
      <c r="F1638" s="281">
        <v>44774</v>
      </c>
      <c r="G1638" s="281">
        <v>44774</v>
      </c>
      <c r="I1638" s="279">
        <v>63</v>
      </c>
      <c r="L1638" s="279">
        <v>63</v>
      </c>
      <c r="M1638" s="279">
        <v>54</v>
      </c>
      <c r="R1638" s="279">
        <v>63</v>
      </c>
      <c r="S1638" s="279">
        <v>294.21833333333325</v>
      </c>
      <c r="T1638" s="279">
        <v>294.21833333333336</v>
      </c>
      <c r="U1638" s="279">
        <v>192.10833333333341</v>
      </c>
      <c r="V1638" s="279">
        <v>294.21833333333331</v>
      </c>
    </row>
    <row r="1639" spans="1:23">
      <c r="E1639" s="282">
        <v>0</v>
      </c>
      <c r="F1639" s="282">
        <v>0</v>
      </c>
      <c r="G1639" s="284">
        <v>0</v>
      </c>
      <c r="H1639" s="284">
        <v>0</v>
      </c>
    </row>
    <row r="1645" spans="1:23">
      <c r="A1645" s="278">
        <v>229</v>
      </c>
      <c r="B1645" s="280" t="s">
        <v>142</v>
      </c>
      <c r="C1645" s="278">
        <v>3555</v>
      </c>
      <c r="D1645" s="259"/>
      <c r="F1645" s="281">
        <v>44774</v>
      </c>
      <c r="G1645" s="281">
        <v>44774</v>
      </c>
      <c r="I1645" s="279">
        <v>63</v>
      </c>
      <c r="L1645" s="279">
        <v>63</v>
      </c>
      <c r="M1645" s="279">
        <v>62</v>
      </c>
      <c r="R1645" s="279">
        <v>63</v>
      </c>
      <c r="S1645" s="279">
        <v>331.8925000000001</v>
      </c>
      <c r="T1645" s="279">
        <v>331.89250000000021</v>
      </c>
      <c r="U1645" s="279">
        <v>331.3425000000002</v>
      </c>
      <c r="V1645" s="279">
        <v>331.89249999999998</v>
      </c>
      <c r="W1645" s="285" t="s">
        <v>5420</v>
      </c>
    </row>
    <row r="1646" spans="1:23">
      <c r="E1646" s="282">
        <v>0</v>
      </c>
      <c r="F1646" s="282">
        <v>0</v>
      </c>
      <c r="G1646" s="284">
        <v>0</v>
      </c>
      <c r="H1646" s="284">
        <v>0</v>
      </c>
    </row>
    <row r="1652" spans="1:22">
      <c r="A1652" s="278">
        <v>230</v>
      </c>
      <c r="B1652" s="280" t="s">
        <v>38</v>
      </c>
      <c r="C1652" s="278">
        <v>3419</v>
      </c>
      <c r="D1652" s="259"/>
      <c r="F1652" s="281">
        <v>44775</v>
      </c>
      <c r="G1652" s="281">
        <v>44775</v>
      </c>
      <c r="I1652" s="279">
        <v>137</v>
      </c>
      <c r="L1652" s="279">
        <v>137</v>
      </c>
      <c r="M1652" s="279">
        <v>116</v>
      </c>
      <c r="R1652" s="279">
        <v>137</v>
      </c>
      <c r="S1652" s="279">
        <v>352.30799999999982</v>
      </c>
      <c r="T1652" s="279">
        <v>352.30800000000005</v>
      </c>
      <c r="U1652" s="279">
        <v>233.60200000000003</v>
      </c>
      <c r="V1652" s="279">
        <v>352.30799999999994</v>
      </c>
    </row>
    <row r="1653" spans="1:22">
      <c r="E1653" s="282">
        <v>0</v>
      </c>
      <c r="F1653" s="282">
        <v>0</v>
      </c>
      <c r="G1653" s="284">
        <v>0</v>
      </c>
      <c r="H1653" s="284">
        <v>0</v>
      </c>
    </row>
    <row r="1659" spans="1:22">
      <c r="A1659" s="278">
        <v>231</v>
      </c>
      <c r="B1659" s="288" t="s">
        <v>34</v>
      </c>
      <c r="C1659" s="278">
        <v>3511</v>
      </c>
      <c r="D1659" s="259"/>
      <c r="F1659" s="281">
        <v>44805</v>
      </c>
      <c r="G1659" s="281">
        <v>44819</v>
      </c>
      <c r="I1659" s="279">
        <v>459</v>
      </c>
      <c r="L1659" s="279">
        <v>459</v>
      </c>
      <c r="M1659" s="279">
        <v>402</v>
      </c>
      <c r="R1659" s="279">
        <v>459</v>
      </c>
      <c r="S1659" s="279">
        <v>1888.1713333333321</v>
      </c>
      <c r="T1659" s="279">
        <v>1888.1713333333319</v>
      </c>
      <c r="U1659" s="279">
        <v>1730.9879999999985</v>
      </c>
      <c r="V1659" s="279">
        <v>1888.17133333333</v>
      </c>
    </row>
    <row r="1660" spans="1:22">
      <c r="E1660" s="282">
        <v>0</v>
      </c>
      <c r="F1660" s="282">
        <v>0</v>
      </c>
      <c r="G1660" s="284">
        <v>0</v>
      </c>
      <c r="H1660" s="290">
        <v>1</v>
      </c>
    </row>
    <row r="1666" spans="1:22">
      <c r="A1666" s="278">
        <v>232</v>
      </c>
      <c r="B1666" s="280" t="s">
        <v>38</v>
      </c>
      <c r="C1666" s="278">
        <v>3563</v>
      </c>
      <c r="D1666" s="259"/>
      <c r="F1666" s="281">
        <v>44835</v>
      </c>
      <c r="G1666" s="281">
        <v>44848</v>
      </c>
      <c r="I1666" s="279">
        <v>9</v>
      </c>
      <c r="L1666" s="279">
        <v>9</v>
      </c>
      <c r="M1666" s="279">
        <v>8</v>
      </c>
      <c r="R1666" s="279">
        <v>9</v>
      </c>
      <c r="S1666" s="279">
        <v>5.4041666666666659</v>
      </c>
      <c r="T1666" s="279">
        <v>5.4041666666666677</v>
      </c>
      <c r="U1666" s="279">
        <v>3.3875000000000024</v>
      </c>
      <c r="V1666" s="279">
        <v>5.4041666666666659</v>
      </c>
    </row>
    <row r="1667" spans="1:22">
      <c r="E1667" s="282">
        <v>0</v>
      </c>
      <c r="F1667" s="282">
        <v>0</v>
      </c>
      <c r="G1667" s="284">
        <v>0</v>
      </c>
      <c r="H1667" s="284">
        <v>0</v>
      </c>
    </row>
    <row r="1673" spans="1:22">
      <c r="A1673" s="278">
        <v>233</v>
      </c>
      <c r="B1673" s="280" t="s">
        <v>46</v>
      </c>
      <c r="C1673" s="278">
        <v>3571</v>
      </c>
      <c r="D1673" s="259"/>
      <c r="F1673" s="281">
        <v>44837</v>
      </c>
      <c r="G1673" s="281">
        <v>44851</v>
      </c>
      <c r="I1673" s="279">
        <v>14</v>
      </c>
      <c r="L1673" s="279">
        <v>14</v>
      </c>
      <c r="M1673" s="279">
        <v>13</v>
      </c>
      <c r="R1673" s="279">
        <v>14</v>
      </c>
      <c r="S1673" s="279">
        <v>85.308999999999983</v>
      </c>
      <c r="T1673" s="279">
        <v>85.308999999999997</v>
      </c>
      <c r="U1673" s="279">
        <v>84.442333333333337</v>
      </c>
      <c r="V1673" s="279">
        <v>85.308999999999983</v>
      </c>
    </row>
    <row r="1674" spans="1:22">
      <c r="E1674" s="282">
        <v>0</v>
      </c>
      <c r="F1674" s="282">
        <v>0</v>
      </c>
      <c r="G1674" s="284">
        <v>0</v>
      </c>
      <c r="H1674" s="284">
        <v>0</v>
      </c>
    </row>
    <row r="1680" spans="1:22">
      <c r="A1680" s="278">
        <v>234</v>
      </c>
      <c r="B1680" s="280" t="s">
        <v>96</v>
      </c>
      <c r="C1680" s="278">
        <v>3572</v>
      </c>
      <c r="D1680" s="259"/>
      <c r="F1680" s="281">
        <v>44837</v>
      </c>
      <c r="G1680" s="281">
        <v>44837</v>
      </c>
      <c r="I1680" s="279">
        <v>23</v>
      </c>
      <c r="L1680" s="279">
        <v>23</v>
      </c>
      <c r="M1680" s="279">
        <v>17</v>
      </c>
      <c r="R1680" s="279">
        <v>23</v>
      </c>
      <c r="S1680" s="279">
        <v>54.825666666666656</v>
      </c>
      <c r="T1680" s="279">
        <v>54.825666666666677</v>
      </c>
      <c r="U1680" s="279">
        <v>24.95900000000001</v>
      </c>
      <c r="V1680" s="279">
        <v>54.825666666666692</v>
      </c>
    </row>
    <row r="1681" spans="1:22">
      <c r="E1681" s="282">
        <v>0</v>
      </c>
      <c r="F1681" s="282">
        <v>0</v>
      </c>
      <c r="G1681" s="284">
        <v>0</v>
      </c>
      <c r="H1681" s="284">
        <v>0</v>
      </c>
    </row>
    <row r="1687" spans="1:22">
      <c r="A1687" s="278">
        <v>235</v>
      </c>
      <c r="B1687" s="280" t="s">
        <v>46</v>
      </c>
      <c r="C1687" s="278">
        <v>3569</v>
      </c>
      <c r="D1687" s="259"/>
      <c r="F1687" s="281">
        <v>44838</v>
      </c>
      <c r="G1687" s="281">
        <v>44852</v>
      </c>
      <c r="I1687" s="279">
        <v>129</v>
      </c>
      <c r="L1687" s="279">
        <v>129</v>
      </c>
      <c r="M1687" s="279">
        <v>110</v>
      </c>
      <c r="R1687" s="279">
        <v>129</v>
      </c>
      <c r="S1687" s="279">
        <v>387.76300000000015</v>
      </c>
      <c r="T1687" s="279">
        <v>387.76300000000009</v>
      </c>
      <c r="U1687" s="279">
        <v>304.12966666666682</v>
      </c>
      <c r="V1687" s="279">
        <v>387.76299999999981</v>
      </c>
    </row>
    <row r="1688" spans="1:22">
      <c r="E1688" s="282">
        <v>0</v>
      </c>
      <c r="F1688" s="282">
        <v>0</v>
      </c>
      <c r="G1688" s="284">
        <v>0</v>
      </c>
      <c r="H1688" s="284">
        <v>0</v>
      </c>
    </row>
    <row r="1694" spans="1:22">
      <c r="A1694" s="278">
        <v>236</v>
      </c>
      <c r="B1694" s="280" t="s">
        <v>96</v>
      </c>
      <c r="C1694" s="278">
        <v>3573</v>
      </c>
      <c r="D1694" s="259"/>
      <c r="F1694" s="281">
        <v>44838</v>
      </c>
      <c r="G1694" s="281">
        <v>44838</v>
      </c>
      <c r="I1694" s="279">
        <v>25</v>
      </c>
      <c r="L1694" s="279">
        <v>25</v>
      </c>
      <c r="M1694" s="279">
        <v>21</v>
      </c>
      <c r="R1694" s="279">
        <v>25</v>
      </c>
      <c r="S1694" s="279">
        <v>58.190333333333314</v>
      </c>
      <c r="T1694" s="279">
        <v>58.190333333333349</v>
      </c>
      <c r="U1694" s="279">
        <v>30.990333333333357</v>
      </c>
      <c r="V1694" s="279">
        <v>58.190333333333363</v>
      </c>
    </row>
    <row r="1695" spans="1:22">
      <c r="E1695" s="282">
        <v>0</v>
      </c>
      <c r="F1695" s="282">
        <v>0</v>
      </c>
      <c r="G1695" s="284">
        <v>0</v>
      </c>
      <c r="H1695" s="284">
        <v>0</v>
      </c>
    </row>
    <row r="1701" spans="1:22">
      <c r="A1701" s="278">
        <v>237</v>
      </c>
      <c r="B1701" s="280" t="s">
        <v>46</v>
      </c>
      <c r="C1701" s="278">
        <v>3570</v>
      </c>
      <c r="D1701" s="259"/>
      <c r="F1701" s="281">
        <v>44839</v>
      </c>
      <c r="G1701" s="281">
        <v>44853</v>
      </c>
      <c r="I1701" s="279">
        <v>66</v>
      </c>
      <c r="L1701" s="279">
        <v>66</v>
      </c>
      <c r="M1701" s="279">
        <v>58</v>
      </c>
      <c r="R1701" s="279">
        <v>66</v>
      </c>
      <c r="S1701" s="279">
        <v>209.90999999999997</v>
      </c>
      <c r="T1701" s="279">
        <v>209.91000000000008</v>
      </c>
      <c r="U1701" s="279">
        <v>168.04100000000008</v>
      </c>
      <c r="V1701" s="279">
        <v>209.90999999999994</v>
      </c>
    </row>
    <row r="1702" spans="1:22">
      <c r="E1702" s="282">
        <v>0</v>
      </c>
      <c r="F1702" s="282">
        <v>0</v>
      </c>
      <c r="G1702" s="284">
        <v>0</v>
      </c>
      <c r="H1702" s="284">
        <v>0</v>
      </c>
    </row>
    <row r="1708" spans="1:22">
      <c r="A1708" s="278">
        <v>238</v>
      </c>
      <c r="B1708" s="280" t="s">
        <v>96</v>
      </c>
      <c r="C1708" s="278">
        <v>3574</v>
      </c>
      <c r="D1708" s="259"/>
      <c r="F1708" s="281">
        <v>44839</v>
      </c>
      <c r="G1708" s="281">
        <v>44839</v>
      </c>
      <c r="I1708" s="279">
        <v>19</v>
      </c>
      <c r="L1708" s="279">
        <v>19</v>
      </c>
      <c r="M1708" s="279">
        <v>16</v>
      </c>
      <c r="R1708" s="279">
        <v>19</v>
      </c>
      <c r="S1708" s="279">
        <v>26.430999999999994</v>
      </c>
      <c r="T1708" s="279">
        <v>26.430999999999997</v>
      </c>
      <c r="U1708" s="279">
        <v>11.964333333333332</v>
      </c>
      <c r="V1708" s="279">
        <v>26.431000000000008</v>
      </c>
    </row>
    <row r="1709" spans="1:22">
      <c r="E1709" s="282">
        <v>0</v>
      </c>
      <c r="F1709" s="282">
        <v>0</v>
      </c>
      <c r="G1709" s="284">
        <v>0</v>
      </c>
      <c r="H1709" s="284">
        <v>0</v>
      </c>
    </row>
    <row r="1715" spans="1:22">
      <c r="A1715" s="278">
        <v>239</v>
      </c>
      <c r="B1715" s="280" t="s">
        <v>79</v>
      </c>
      <c r="C1715" s="278">
        <v>3575</v>
      </c>
      <c r="D1715" s="259"/>
      <c r="F1715" s="281">
        <v>44841</v>
      </c>
      <c r="G1715" s="281">
        <v>44841</v>
      </c>
      <c r="I1715" s="279">
        <v>104</v>
      </c>
      <c r="L1715" s="279">
        <v>104</v>
      </c>
      <c r="M1715" s="279">
        <v>85</v>
      </c>
      <c r="R1715" s="279">
        <v>104</v>
      </c>
      <c r="S1715" s="279">
        <v>1220.8818333333336</v>
      </c>
      <c r="T1715" s="279">
        <v>1220.8818333333325</v>
      </c>
      <c r="U1715" s="279">
        <v>955.08183333333216</v>
      </c>
      <c r="V1715" s="279">
        <v>1220.8818333333331</v>
      </c>
    </row>
    <row r="1716" spans="1:22">
      <c r="E1716" s="282">
        <v>0</v>
      </c>
      <c r="F1716" s="282">
        <v>0</v>
      </c>
      <c r="G1716" s="284">
        <v>0</v>
      </c>
      <c r="H1716" s="284">
        <v>0</v>
      </c>
    </row>
    <row r="1722" spans="1:22">
      <c r="A1722" s="278">
        <v>240</v>
      </c>
      <c r="B1722" s="280" t="s">
        <v>79</v>
      </c>
      <c r="C1722" s="278">
        <v>3576</v>
      </c>
      <c r="D1722" s="259"/>
      <c r="F1722" s="281">
        <v>44841</v>
      </c>
      <c r="G1722" s="281">
        <v>44841</v>
      </c>
      <c r="I1722" s="279">
        <v>69</v>
      </c>
      <c r="L1722" s="279">
        <v>69</v>
      </c>
      <c r="M1722" s="279">
        <v>54</v>
      </c>
      <c r="R1722" s="279">
        <v>69</v>
      </c>
      <c r="S1722" s="279">
        <v>92.339499999999958</v>
      </c>
      <c r="T1722" s="279">
        <v>92.339499999999987</v>
      </c>
      <c r="U1722" s="279">
        <v>60.197833333333307</v>
      </c>
      <c r="V1722" s="279">
        <v>92.339499999999987</v>
      </c>
    </row>
    <row r="1723" spans="1:22">
      <c r="E1723" s="282">
        <v>0</v>
      </c>
      <c r="F1723" s="282">
        <v>0</v>
      </c>
      <c r="G1723" s="284">
        <v>0</v>
      </c>
      <c r="H1723" s="284">
        <v>0</v>
      </c>
    </row>
    <row r="1729" spans="1:23">
      <c r="A1729" s="278">
        <v>241</v>
      </c>
      <c r="B1729" s="280" t="s">
        <v>45</v>
      </c>
      <c r="C1729" s="278">
        <v>3562</v>
      </c>
      <c r="D1729" s="259"/>
      <c r="F1729" s="281">
        <v>44866</v>
      </c>
      <c r="G1729" s="281">
        <v>44880</v>
      </c>
      <c r="I1729" s="279">
        <v>43</v>
      </c>
      <c r="L1729" s="279">
        <v>43</v>
      </c>
      <c r="M1729" s="279">
        <v>36</v>
      </c>
      <c r="R1729" s="279">
        <v>43</v>
      </c>
      <c r="S1729" s="279">
        <v>257.02183333333329</v>
      </c>
      <c r="T1729" s="279">
        <v>257.02183333333323</v>
      </c>
      <c r="U1729" s="279">
        <v>176.43849999999983</v>
      </c>
      <c r="V1729" s="279">
        <v>257.02183333333329</v>
      </c>
    </row>
    <row r="1730" spans="1:23">
      <c r="E1730" s="282">
        <v>0</v>
      </c>
      <c r="F1730" s="282">
        <v>0</v>
      </c>
      <c r="G1730" s="284">
        <v>0</v>
      </c>
      <c r="H1730" s="284">
        <v>0</v>
      </c>
    </row>
    <row r="1736" spans="1:23">
      <c r="A1736" s="278">
        <v>242</v>
      </c>
      <c r="B1736" s="280" t="s">
        <v>125</v>
      </c>
      <c r="C1736" s="278">
        <v>3505</v>
      </c>
      <c r="D1736" s="259"/>
      <c r="F1736" s="281">
        <v>44986</v>
      </c>
      <c r="G1736" s="281">
        <v>44986</v>
      </c>
      <c r="I1736" s="279">
        <v>282</v>
      </c>
      <c r="J1736" s="279">
        <v>24</v>
      </c>
      <c r="K1736" s="279">
        <v>2</v>
      </c>
      <c r="L1736" s="279">
        <v>258</v>
      </c>
      <c r="M1736" s="279">
        <v>232</v>
      </c>
      <c r="R1736" s="279">
        <v>280</v>
      </c>
      <c r="S1736" s="279">
        <v>217.6631666666668</v>
      </c>
      <c r="T1736" s="279">
        <v>189.85816666666662</v>
      </c>
      <c r="U1736" s="279">
        <v>178.30816666666661</v>
      </c>
      <c r="V1736" s="279">
        <v>203.45899999999986</v>
      </c>
      <c r="W1736" s="285" t="s">
        <v>5490</v>
      </c>
    </row>
    <row r="1737" spans="1:23">
      <c r="E1737" s="282">
        <v>0</v>
      </c>
      <c r="F1737" s="283">
        <v>1</v>
      </c>
      <c r="G1737" s="284">
        <v>0</v>
      </c>
      <c r="H1737" s="284">
        <v>2</v>
      </c>
    </row>
    <row r="1752" spans="1:6">
      <c r="F1752" s="268" t="s">
        <v>80</v>
      </c>
    </row>
    <row r="1753" spans="1:6">
      <c r="A1753" s="291" t="s">
        <v>81</v>
      </c>
      <c r="B1753" s="268" t="s">
        <v>82</v>
      </c>
      <c r="C1753" s="268" t="s">
        <v>83</v>
      </c>
    </row>
    <row r="1760" spans="1:6">
      <c r="B1760" s="268" t="s">
        <v>84</v>
      </c>
      <c r="C1760" s="268" t="s">
        <v>85</v>
      </c>
      <c r="F1760" s="268" t="s">
        <v>86</v>
      </c>
    </row>
    <row r="1767" spans="2:6">
      <c r="B1767" s="268" t="s">
        <v>91</v>
      </c>
      <c r="C1767" s="268" t="s">
        <v>92</v>
      </c>
      <c r="F1767" s="268" t="s">
        <v>93</v>
      </c>
    </row>
    <row r="1773" spans="2:6">
      <c r="B1773" s="268" t="s">
        <v>119</v>
      </c>
      <c r="C1773" s="268" t="s">
        <v>120</v>
      </c>
      <c r="F1773" s="268" t="s">
        <v>121</v>
      </c>
    </row>
    <row r="1779" spans="3:3">
      <c r="C1779" s="268" t="s">
        <v>122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G253"/>
  <sheetViews>
    <sheetView workbookViewId="0"/>
  </sheetViews>
  <sheetFormatPr defaultRowHeight="12.75"/>
  <sheetData>
    <row r="1" spans="1:33" ht="13.5">
      <c r="H1" s="292" t="s">
        <v>247</v>
      </c>
      <c r="O1" s="257" t="s">
        <v>248</v>
      </c>
    </row>
    <row r="4" spans="1:33">
      <c r="A4" s="258" t="s">
        <v>48</v>
      </c>
      <c r="C4" s="259" t="s">
        <v>5914</v>
      </c>
    </row>
    <row r="6" spans="1:33">
      <c r="A6" s="260" t="s">
        <v>5915</v>
      </c>
      <c r="O6" s="261" t="s">
        <v>49</v>
      </c>
    </row>
    <row r="8" spans="1:33">
      <c r="B8" s="293" t="s">
        <v>249</v>
      </c>
      <c r="E8" s="294" t="s">
        <v>250</v>
      </c>
      <c r="G8" s="265" t="s">
        <v>58</v>
      </c>
      <c r="H8" s="265" t="s">
        <v>251</v>
      </c>
      <c r="I8" s="265" t="s">
        <v>252</v>
      </c>
      <c r="J8" s="265" t="s">
        <v>253</v>
      </c>
      <c r="K8" s="265" t="s">
        <v>254</v>
      </c>
      <c r="L8" s="265" t="s">
        <v>255</v>
      </c>
      <c r="M8" s="265" t="s">
        <v>256</v>
      </c>
      <c r="N8" s="265" t="s">
        <v>257</v>
      </c>
      <c r="O8" s="265" t="s">
        <v>258</v>
      </c>
      <c r="P8" s="265" t="s">
        <v>259</v>
      </c>
      <c r="Q8" s="265" t="s">
        <v>260</v>
      </c>
      <c r="R8" s="265" t="s">
        <v>261</v>
      </c>
      <c r="S8" s="265" t="s">
        <v>262</v>
      </c>
      <c r="T8" s="265" t="s">
        <v>263</v>
      </c>
      <c r="U8" s="265" t="s">
        <v>264</v>
      </c>
      <c r="V8" s="265" t="s">
        <v>265</v>
      </c>
      <c r="W8" s="265" t="s">
        <v>266</v>
      </c>
      <c r="X8" s="265" t="s">
        <v>267</v>
      </c>
      <c r="Y8" s="265" t="s">
        <v>268</v>
      </c>
      <c r="Z8" s="265" t="s">
        <v>269</v>
      </c>
      <c r="AA8" s="265" t="s">
        <v>270</v>
      </c>
      <c r="AB8" s="265" t="s">
        <v>271</v>
      </c>
      <c r="AC8" s="265" t="s">
        <v>272</v>
      </c>
      <c r="AD8" s="265" t="s">
        <v>273</v>
      </c>
      <c r="AE8" s="265" t="s">
        <v>274</v>
      </c>
      <c r="AF8" s="265" t="s">
        <v>275</v>
      </c>
      <c r="AG8" s="265" t="s">
        <v>276</v>
      </c>
    </row>
    <row r="9" spans="1:33">
      <c r="B9" s="265" t="s">
        <v>277</v>
      </c>
      <c r="C9" s="265" t="s">
        <v>28</v>
      </c>
      <c r="D9" s="265" t="s">
        <v>277</v>
      </c>
      <c r="E9" s="269" t="s">
        <v>22</v>
      </c>
      <c r="F9" s="265" t="s">
        <v>65</v>
      </c>
      <c r="G9" s="295">
        <v>7746</v>
      </c>
      <c r="H9" s="295">
        <v>69</v>
      </c>
      <c r="I9" s="295">
        <v>741</v>
      </c>
      <c r="J9" s="295">
        <v>821</v>
      </c>
      <c r="K9" s="295">
        <v>1107</v>
      </c>
      <c r="L9" s="295">
        <v>21</v>
      </c>
      <c r="M9" s="295">
        <v>0</v>
      </c>
      <c r="N9" s="295">
        <v>0</v>
      </c>
      <c r="O9" s="295">
        <v>0</v>
      </c>
      <c r="P9" s="295">
        <v>114</v>
      </c>
      <c r="Q9" s="295">
        <v>219</v>
      </c>
      <c r="R9" s="295">
        <v>0</v>
      </c>
      <c r="S9" s="295">
        <v>740</v>
      </c>
      <c r="T9" s="295">
        <v>15</v>
      </c>
      <c r="U9" s="295">
        <v>12</v>
      </c>
      <c r="V9" s="295">
        <v>0</v>
      </c>
      <c r="W9" s="295">
        <v>0</v>
      </c>
      <c r="X9" s="295">
        <v>0</v>
      </c>
      <c r="Y9" s="295">
        <v>630</v>
      </c>
      <c r="Z9" s="295">
        <v>0</v>
      </c>
      <c r="AA9" s="295">
        <v>53</v>
      </c>
      <c r="AB9" s="295">
        <v>43</v>
      </c>
      <c r="AC9" s="295">
        <v>841</v>
      </c>
      <c r="AD9" s="295">
        <v>306</v>
      </c>
      <c r="AE9" s="295">
        <v>2010</v>
      </c>
      <c r="AF9" s="295">
        <v>1</v>
      </c>
      <c r="AG9" s="295">
        <v>3</v>
      </c>
    </row>
    <row r="10" spans="1:33">
      <c r="B10" s="265" t="s">
        <v>278</v>
      </c>
      <c r="C10" s="265" t="s">
        <v>28</v>
      </c>
      <c r="D10" s="265" t="s">
        <v>278</v>
      </c>
      <c r="E10" s="269" t="s">
        <v>5419</v>
      </c>
      <c r="F10" s="265" t="s">
        <v>65</v>
      </c>
      <c r="G10" s="295">
        <v>42</v>
      </c>
      <c r="H10" s="295">
        <v>0</v>
      </c>
      <c r="I10" s="295">
        <v>7</v>
      </c>
      <c r="J10" s="295">
        <v>1</v>
      </c>
      <c r="K10" s="295">
        <v>13</v>
      </c>
      <c r="L10" s="295">
        <v>0</v>
      </c>
      <c r="M10" s="295">
        <v>0</v>
      </c>
      <c r="N10" s="295">
        <v>0</v>
      </c>
      <c r="O10" s="295">
        <v>0</v>
      </c>
      <c r="P10" s="295">
        <v>1</v>
      </c>
      <c r="Q10" s="295">
        <v>1</v>
      </c>
      <c r="R10" s="295">
        <v>2</v>
      </c>
      <c r="S10" s="295">
        <v>7</v>
      </c>
      <c r="T10" s="295">
        <v>1</v>
      </c>
      <c r="U10" s="295">
        <v>1</v>
      </c>
      <c r="V10" s="295">
        <v>0</v>
      </c>
      <c r="W10" s="295">
        <v>0</v>
      </c>
      <c r="X10" s="295">
        <v>2</v>
      </c>
      <c r="Y10" s="295">
        <v>0</v>
      </c>
      <c r="Z10" s="295">
        <v>0</v>
      </c>
      <c r="AA10" s="295">
        <v>0</v>
      </c>
      <c r="AB10" s="295">
        <v>0</v>
      </c>
      <c r="AC10" s="295">
        <v>0</v>
      </c>
      <c r="AD10" s="295">
        <v>6</v>
      </c>
      <c r="AE10" s="295">
        <v>0</v>
      </c>
      <c r="AF10" s="295">
        <v>0</v>
      </c>
      <c r="AG10" s="295">
        <v>0</v>
      </c>
    </row>
    <row r="11" spans="1:33">
      <c r="B11" s="265" t="s">
        <v>279</v>
      </c>
      <c r="C11" s="265" t="s">
        <v>28</v>
      </c>
      <c r="D11" s="265" t="s">
        <v>279</v>
      </c>
      <c r="E11" s="269" t="s">
        <v>33</v>
      </c>
      <c r="F11" s="265" t="s">
        <v>65</v>
      </c>
      <c r="G11" s="295">
        <v>0</v>
      </c>
      <c r="H11" s="295">
        <v>0</v>
      </c>
      <c r="I11" s="295">
        <v>0</v>
      </c>
      <c r="J11" s="295">
        <v>0</v>
      </c>
      <c r="K11" s="295">
        <v>0</v>
      </c>
      <c r="L11" s="295">
        <v>0</v>
      </c>
      <c r="M11" s="295">
        <v>0</v>
      </c>
      <c r="N11" s="295">
        <v>0</v>
      </c>
      <c r="O11" s="295">
        <v>0</v>
      </c>
      <c r="P11" s="295">
        <v>0</v>
      </c>
      <c r="Q11" s="295">
        <v>0</v>
      </c>
      <c r="R11" s="295">
        <v>0</v>
      </c>
      <c r="S11" s="295">
        <v>0</v>
      </c>
      <c r="T11" s="295">
        <v>0</v>
      </c>
      <c r="U11" s="295">
        <v>0</v>
      </c>
      <c r="V11" s="295">
        <v>0</v>
      </c>
      <c r="W11" s="295">
        <v>0</v>
      </c>
      <c r="X11" s="295">
        <v>0</v>
      </c>
      <c r="Y11" s="295">
        <v>0</v>
      </c>
      <c r="Z11" s="295">
        <v>0</v>
      </c>
      <c r="AA11" s="295">
        <v>0</v>
      </c>
      <c r="AB11" s="295">
        <v>0</v>
      </c>
      <c r="AC11" s="295">
        <v>0</v>
      </c>
      <c r="AD11" s="295">
        <v>0</v>
      </c>
      <c r="AE11" s="295">
        <v>0</v>
      </c>
      <c r="AF11" s="295">
        <v>0</v>
      </c>
      <c r="AG11" s="295">
        <v>0</v>
      </c>
    </row>
    <row r="12" spans="1:33">
      <c r="B12" s="265" t="s">
        <v>280</v>
      </c>
      <c r="C12" s="265" t="s">
        <v>28</v>
      </c>
      <c r="D12" s="265" t="s">
        <v>280</v>
      </c>
      <c r="E12" s="269" t="s">
        <v>17</v>
      </c>
      <c r="F12" s="265" t="s">
        <v>65</v>
      </c>
      <c r="G12" s="295">
        <v>443</v>
      </c>
      <c r="H12" s="295">
        <v>5</v>
      </c>
      <c r="I12" s="295">
        <v>10</v>
      </c>
      <c r="J12" s="295">
        <v>31</v>
      </c>
      <c r="K12" s="295">
        <v>46</v>
      </c>
      <c r="L12" s="295">
        <v>4</v>
      </c>
      <c r="M12" s="295">
        <v>0</v>
      </c>
      <c r="N12" s="295">
        <v>14</v>
      </c>
      <c r="O12" s="295">
        <v>0</v>
      </c>
      <c r="P12" s="295">
        <v>2</v>
      </c>
      <c r="Q12" s="295">
        <v>1</v>
      </c>
      <c r="R12" s="295">
        <v>25</v>
      </c>
      <c r="S12" s="295">
        <v>71</v>
      </c>
      <c r="T12" s="295">
        <v>4</v>
      </c>
      <c r="U12" s="295">
        <v>5</v>
      </c>
      <c r="V12" s="295">
        <v>0</v>
      </c>
      <c r="W12" s="295">
        <v>4</v>
      </c>
      <c r="X12" s="295">
        <v>0</v>
      </c>
      <c r="Y12" s="295">
        <v>16</v>
      </c>
      <c r="Z12" s="295">
        <v>25</v>
      </c>
      <c r="AA12" s="295">
        <v>0</v>
      </c>
      <c r="AB12" s="295">
        <v>2</v>
      </c>
      <c r="AC12" s="295">
        <v>8</v>
      </c>
      <c r="AD12" s="295">
        <v>170</v>
      </c>
      <c r="AE12" s="295">
        <v>0</v>
      </c>
      <c r="AF12" s="295">
        <v>0</v>
      </c>
      <c r="AG12" s="295">
        <v>0</v>
      </c>
    </row>
    <row r="13" spans="1:33">
      <c r="B13" s="265" t="s">
        <v>281</v>
      </c>
      <c r="C13" s="265" t="s">
        <v>28</v>
      </c>
      <c r="D13" s="265" t="s">
        <v>281</v>
      </c>
      <c r="E13" s="269" t="s">
        <v>18</v>
      </c>
      <c r="F13" s="265" t="s">
        <v>65</v>
      </c>
      <c r="G13" s="295">
        <v>23</v>
      </c>
      <c r="H13" s="295">
        <v>0</v>
      </c>
      <c r="I13" s="295">
        <v>1</v>
      </c>
      <c r="J13" s="295">
        <v>5</v>
      </c>
      <c r="K13" s="295">
        <v>1</v>
      </c>
      <c r="L13" s="295">
        <v>0</v>
      </c>
      <c r="M13" s="295">
        <v>0</v>
      </c>
      <c r="N13" s="295">
        <v>0</v>
      </c>
      <c r="O13" s="295">
        <v>0</v>
      </c>
      <c r="P13" s="295">
        <v>0</v>
      </c>
      <c r="Q13" s="295">
        <v>0</v>
      </c>
      <c r="R13" s="295">
        <v>1</v>
      </c>
      <c r="S13" s="295">
        <v>1</v>
      </c>
      <c r="T13" s="295">
        <v>0</v>
      </c>
      <c r="U13" s="295">
        <v>0</v>
      </c>
      <c r="V13" s="295">
        <v>0</v>
      </c>
      <c r="W13" s="295">
        <v>0</v>
      </c>
      <c r="X13" s="295">
        <v>0</v>
      </c>
      <c r="Y13" s="295">
        <v>3</v>
      </c>
      <c r="Z13" s="295">
        <v>5</v>
      </c>
      <c r="AA13" s="295">
        <v>2</v>
      </c>
      <c r="AB13" s="295">
        <v>0</v>
      </c>
      <c r="AC13" s="295">
        <v>3</v>
      </c>
      <c r="AD13" s="295">
        <v>1</v>
      </c>
      <c r="AE13" s="295">
        <v>0</v>
      </c>
      <c r="AF13" s="295">
        <v>0</v>
      </c>
      <c r="AG13" s="295">
        <v>0</v>
      </c>
    </row>
    <row r="14" spans="1:33">
      <c r="B14" s="265" t="s">
        <v>282</v>
      </c>
      <c r="C14" s="265" t="s">
        <v>28</v>
      </c>
      <c r="D14" s="265" t="s">
        <v>282</v>
      </c>
      <c r="E14" s="269" t="s">
        <v>78</v>
      </c>
      <c r="F14" s="265" t="s">
        <v>65</v>
      </c>
      <c r="G14" s="295">
        <v>262</v>
      </c>
      <c r="H14" s="295">
        <v>0</v>
      </c>
      <c r="I14" s="295">
        <v>0</v>
      </c>
      <c r="J14" s="295">
        <v>0</v>
      </c>
      <c r="K14" s="295">
        <v>0</v>
      </c>
      <c r="L14" s="295">
        <v>0</v>
      </c>
      <c r="M14" s="295">
        <v>0</v>
      </c>
      <c r="N14" s="295">
        <v>0</v>
      </c>
      <c r="O14" s="295">
        <v>0</v>
      </c>
      <c r="P14" s="295">
        <v>0</v>
      </c>
      <c r="Q14" s="295">
        <v>0</v>
      </c>
      <c r="R14" s="295">
        <v>0</v>
      </c>
      <c r="S14" s="295">
        <v>0</v>
      </c>
      <c r="T14" s="295">
        <v>0</v>
      </c>
      <c r="U14" s="295">
        <v>244</v>
      </c>
      <c r="V14" s="295">
        <v>18</v>
      </c>
      <c r="W14" s="295">
        <v>0</v>
      </c>
      <c r="X14" s="295">
        <v>0</v>
      </c>
      <c r="Y14" s="295">
        <v>0</v>
      </c>
      <c r="Z14" s="295">
        <v>0</v>
      </c>
      <c r="AA14" s="295">
        <v>0</v>
      </c>
      <c r="AB14" s="295">
        <v>0</v>
      </c>
      <c r="AC14" s="295">
        <v>0</v>
      </c>
      <c r="AD14" s="295">
        <v>0</v>
      </c>
      <c r="AE14" s="295">
        <v>0</v>
      </c>
      <c r="AF14" s="295">
        <v>0</v>
      </c>
      <c r="AG14" s="295">
        <v>0</v>
      </c>
    </row>
    <row r="15" spans="1:33">
      <c r="B15" s="265" t="s">
        <v>283</v>
      </c>
      <c r="C15" s="265" t="s">
        <v>28</v>
      </c>
      <c r="D15" s="265" t="s">
        <v>283</v>
      </c>
      <c r="E15" s="269" t="s">
        <v>5817</v>
      </c>
      <c r="F15" s="265" t="s">
        <v>277</v>
      </c>
      <c r="G15" s="295">
        <v>11</v>
      </c>
      <c r="H15" s="295">
        <v>0</v>
      </c>
      <c r="I15" s="295">
        <v>0</v>
      </c>
      <c r="J15" s="295">
        <v>0</v>
      </c>
      <c r="K15" s="295">
        <v>3</v>
      </c>
      <c r="L15" s="295">
        <v>0</v>
      </c>
      <c r="M15" s="295">
        <v>0</v>
      </c>
      <c r="N15" s="295">
        <v>0</v>
      </c>
      <c r="O15" s="295">
        <v>0</v>
      </c>
      <c r="P15" s="295">
        <v>1</v>
      </c>
      <c r="Q15" s="295">
        <v>0</v>
      </c>
      <c r="R15" s="295">
        <v>0</v>
      </c>
      <c r="S15" s="295">
        <v>2</v>
      </c>
      <c r="T15" s="295">
        <v>0</v>
      </c>
      <c r="U15" s="295">
        <v>0</v>
      </c>
      <c r="V15" s="295">
        <v>0</v>
      </c>
      <c r="W15" s="295">
        <v>0</v>
      </c>
      <c r="X15" s="295">
        <v>0</v>
      </c>
      <c r="Y15" s="295">
        <v>0</v>
      </c>
      <c r="Z15" s="295">
        <v>0</v>
      </c>
      <c r="AA15" s="295">
        <v>0</v>
      </c>
      <c r="AB15" s="295">
        <v>0</v>
      </c>
      <c r="AC15" s="295">
        <v>0</v>
      </c>
      <c r="AD15" s="295">
        <v>5</v>
      </c>
      <c r="AE15" s="295">
        <v>0</v>
      </c>
      <c r="AF15" s="295">
        <v>0</v>
      </c>
      <c r="AG15" s="295">
        <v>0</v>
      </c>
    </row>
    <row r="16" spans="1:33">
      <c r="B16" s="265" t="s">
        <v>284</v>
      </c>
      <c r="C16" s="265" t="s">
        <v>25</v>
      </c>
      <c r="D16" s="265" t="s">
        <v>356</v>
      </c>
      <c r="E16" s="269" t="s">
        <v>97</v>
      </c>
      <c r="F16" s="265" t="s">
        <v>277</v>
      </c>
      <c r="G16" s="295">
        <v>2</v>
      </c>
      <c r="H16" s="295">
        <v>0</v>
      </c>
      <c r="I16" s="295">
        <v>1</v>
      </c>
      <c r="J16" s="295">
        <v>0</v>
      </c>
      <c r="K16" s="295">
        <v>0</v>
      </c>
      <c r="L16" s="295">
        <v>0</v>
      </c>
      <c r="M16" s="295">
        <v>0</v>
      </c>
      <c r="N16" s="295">
        <v>0</v>
      </c>
      <c r="O16" s="295">
        <v>0</v>
      </c>
      <c r="P16" s="295">
        <v>0</v>
      </c>
      <c r="Q16" s="295">
        <v>0</v>
      </c>
      <c r="R16" s="295">
        <v>0</v>
      </c>
      <c r="S16" s="295">
        <v>0</v>
      </c>
      <c r="T16" s="295">
        <v>0</v>
      </c>
      <c r="U16" s="295">
        <v>1</v>
      </c>
      <c r="V16" s="295">
        <v>0</v>
      </c>
      <c r="W16" s="295">
        <v>0</v>
      </c>
      <c r="X16" s="295">
        <v>0</v>
      </c>
      <c r="Y16" s="295">
        <v>0</v>
      </c>
      <c r="Z16" s="295">
        <v>0</v>
      </c>
      <c r="AA16" s="295">
        <v>0</v>
      </c>
      <c r="AB16" s="295">
        <v>0</v>
      </c>
      <c r="AC16" s="295">
        <v>0</v>
      </c>
      <c r="AD16" s="295">
        <v>0</v>
      </c>
      <c r="AE16" s="295">
        <v>0</v>
      </c>
      <c r="AF16" s="295">
        <v>0</v>
      </c>
      <c r="AG16" s="295">
        <v>0</v>
      </c>
    </row>
    <row r="17" spans="2:33">
      <c r="B17" s="265" t="s">
        <v>285</v>
      </c>
      <c r="C17" s="265" t="s">
        <v>25</v>
      </c>
      <c r="D17" s="265" t="s">
        <v>362</v>
      </c>
      <c r="E17" s="269" t="s">
        <v>98</v>
      </c>
      <c r="F17" s="265" t="s">
        <v>277</v>
      </c>
      <c r="G17" s="295">
        <v>11</v>
      </c>
      <c r="H17" s="295">
        <v>0</v>
      </c>
      <c r="I17" s="295">
        <v>5</v>
      </c>
      <c r="J17" s="295">
        <v>0</v>
      </c>
      <c r="K17" s="295">
        <v>0</v>
      </c>
      <c r="L17" s="295">
        <v>0</v>
      </c>
      <c r="M17" s="295">
        <v>0</v>
      </c>
      <c r="N17" s="295">
        <v>0</v>
      </c>
      <c r="O17" s="295">
        <v>0</v>
      </c>
      <c r="P17" s="295">
        <v>0</v>
      </c>
      <c r="Q17" s="295">
        <v>0</v>
      </c>
      <c r="R17" s="295">
        <v>0</v>
      </c>
      <c r="S17" s="295">
        <v>0</v>
      </c>
      <c r="T17" s="295">
        <v>0</v>
      </c>
      <c r="U17" s="295">
        <v>6</v>
      </c>
      <c r="V17" s="295">
        <v>0</v>
      </c>
      <c r="W17" s="295">
        <v>0</v>
      </c>
      <c r="X17" s="295">
        <v>0</v>
      </c>
      <c r="Y17" s="295">
        <v>0</v>
      </c>
      <c r="Z17" s="295">
        <v>0</v>
      </c>
      <c r="AA17" s="295">
        <v>0</v>
      </c>
      <c r="AB17" s="295">
        <v>0</v>
      </c>
      <c r="AC17" s="295">
        <v>0</v>
      </c>
      <c r="AD17" s="295">
        <v>0</v>
      </c>
      <c r="AE17" s="295">
        <v>0</v>
      </c>
      <c r="AF17" s="295">
        <v>0</v>
      </c>
      <c r="AG17" s="295">
        <v>0</v>
      </c>
    </row>
    <row r="18" spans="2:33">
      <c r="B18" s="265" t="s">
        <v>286</v>
      </c>
      <c r="C18" s="265" t="s">
        <v>25</v>
      </c>
      <c r="D18" s="265" t="s">
        <v>364</v>
      </c>
      <c r="E18" s="269" t="s">
        <v>99</v>
      </c>
      <c r="F18" s="265" t="s">
        <v>277</v>
      </c>
      <c r="G18" s="295">
        <v>276</v>
      </c>
      <c r="H18" s="295">
        <v>0</v>
      </c>
      <c r="I18" s="295">
        <v>0</v>
      </c>
      <c r="J18" s="295">
        <v>0</v>
      </c>
      <c r="K18" s="295">
        <v>63</v>
      </c>
      <c r="L18" s="295">
        <v>37</v>
      </c>
      <c r="M18" s="295">
        <v>0</v>
      </c>
      <c r="N18" s="295">
        <v>0</v>
      </c>
      <c r="O18" s="295">
        <v>0</v>
      </c>
      <c r="P18" s="295">
        <v>0</v>
      </c>
      <c r="Q18" s="295">
        <v>0</v>
      </c>
      <c r="R18" s="295">
        <v>0</v>
      </c>
      <c r="S18" s="295">
        <v>103</v>
      </c>
      <c r="T18" s="295">
        <v>0</v>
      </c>
      <c r="U18" s="295">
        <v>4</v>
      </c>
      <c r="V18" s="295">
        <v>0</v>
      </c>
      <c r="W18" s="295">
        <v>0</v>
      </c>
      <c r="X18" s="295">
        <v>0</v>
      </c>
      <c r="Y18" s="295">
        <v>0</v>
      </c>
      <c r="Z18" s="295">
        <v>0</v>
      </c>
      <c r="AA18" s="295">
        <v>0</v>
      </c>
      <c r="AB18" s="295">
        <v>0</v>
      </c>
      <c r="AC18" s="295">
        <v>0</v>
      </c>
      <c r="AD18" s="295">
        <v>69</v>
      </c>
      <c r="AE18" s="295">
        <v>0</v>
      </c>
      <c r="AF18" s="295">
        <v>0</v>
      </c>
      <c r="AG18" s="295">
        <v>0</v>
      </c>
    </row>
    <row r="19" spans="2:33">
      <c r="B19" s="265" t="s">
        <v>287</v>
      </c>
      <c r="C19" s="265" t="s">
        <v>25</v>
      </c>
      <c r="D19" s="265" t="s">
        <v>366</v>
      </c>
      <c r="E19" s="269" t="s">
        <v>100</v>
      </c>
      <c r="F19" s="265" t="s">
        <v>277</v>
      </c>
      <c r="G19" s="295">
        <v>494</v>
      </c>
      <c r="H19" s="295">
        <v>0</v>
      </c>
      <c r="I19" s="295">
        <v>0</v>
      </c>
      <c r="J19" s="295">
        <v>0</v>
      </c>
      <c r="K19" s="295">
        <v>210</v>
      </c>
      <c r="L19" s="295">
        <v>49</v>
      </c>
      <c r="M19" s="295">
        <v>0</v>
      </c>
      <c r="N19" s="295">
        <v>0</v>
      </c>
      <c r="O19" s="295">
        <v>0</v>
      </c>
      <c r="P19" s="295">
        <v>0</v>
      </c>
      <c r="Q19" s="295">
        <v>0</v>
      </c>
      <c r="R19" s="295">
        <v>0</v>
      </c>
      <c r="S19" s="295">
        <v>5</v>
      </c>
      <c r="T19" s="295">
        <v>0</v>
      </c>
      <c r="U19" s="295">
        <v>6</v>
      </c>
      <c r="V19" s="295">
        <v>0</v>
      </c>
      <c r="W19" s="295">
        <v>0</v>
      </c>
      <c r="X19" s="295">
        <v>2</v>
      </c>
      <c r="Y19" s="295">
        <v>0</v>
      </c>
      <c r="Z19" s="295">
        <v>0</v>
      </c>
      <c r="AA19" s="295">
        <v>0</v>
      </c>
      <c r="AB19" s="295">
        <v>0</v>
      </c>
      <c r="AC19" s="295">
        <v>0</v>
      </c>
      <c r="AD19" s="295">
        <v>222</v>
      </c>
      <c r="AE19" s="295">
        <v>0</v>
      </c>
      <c r="AF19" s="295">
        <v>0</v>
      </c>
      <c r="AG19" s="295">
        <v>0</v>
      </c>
    </row>
    <row r="20" spans="2:33">
      <c r="B20" s="265" t="s">
        <v>288</v>
      </c>
      <c r="C20" s="265" t="s">
        <v>25</v>
      </c>
      <c r="D20" s="265" t="s">
        <v>368</v>
      </c>
      <c r="E20" s="269" t="s">
        <v>101</v>
      </c>
      <c r="F20" s="265" t="s">
        <v>277</v>
      </c>
      <c r="G20" s="295">
        <v>117</v>
      </c>
      <c r="H20" s="295">
        <v>0</v>
      </c>
      <c r="I20" s="295">
        <v>2</v>
      </c>
      <c r="J20" s="295">
        <v>0</v>
      </c>
      <c r="K20" s="295">
        <v>3</v>
      </c>
      <c r="L20" s="295">
        <v>0</v>
      </c>
      <c r="M20" s="295">
        <v>0</v>
      </c>
      <c r="N20" s="295">
        <v>0</v>
      </c>
      <c r="O20" s="295">
        <v>0</v>
      </c>
      <c r="P20" s="295">
        <v>0</v>
      </c>
      <c r="Q20" s="295">
        <v>1</v>
      </c>
      <c r="R20" s="295">
        <v>49</v>
      </c>
      <c r="S20" s="295">
        <v>57</v>
      </c>
      <c r="T20" s="295">
        <v>0</v>
      </c>
      <c r="U20" s="295">
        <v>0</v>
      </c>
      <c r="V20" s="295">
        <v>0</v>
      </c>
      <c r="W20" s="295">
        <v>0</v>
      </c>
      <c r="X20" s="295">
        <v>5</v>
      </c>
      <c r="Y20" s="295">
        <v>0</v>
      </c>
      <c r="Z20" s="295">
        <v>0</v>
      </c>
      <c r="AA20" s="295">
        <v>0</v>
      </c>
      <c r="AB20" s="295">
        <v>0</v>
      </c>
      <c r="AC20" s="295">
        <v>0</v>
      </c>
      <c r="AD20" s="295">
        <v>0</v>
      </c>
      <c r="AE20" s="295">
        <v>0</v>
      </c>
      <c r="AF20" s="295">
        <v>0</v>
      </c>
      <c r="AG20" s="295">
        <v>0</v>
      </c>
    </row>
    <row r="21" spans="2:33">
      <c r="B21" s="265" t="s">
        <v>289</v>
      </c>
      <c r="C21" s="265" t="s">
        <v>25</v>
      </c>
      <c r="D21" s="265" t="s">
        <v>370</v>
      </c>
      <c r="E21" s="269" t="s">
        <v>160</v>
      </c>
      <c r="F21" s="265" t="s">
        <v>277</v>
      </c>
      <c r="G21" s="295">
        <v>296</v>
      </c>
      <c r="H21" s="295">
        <v>0</v>
      </c>
      <c r="I21" s="295">
        <v>7</v>
      </c>
      <c r="J21" s="295">
        <v>0</v>
      </c>
      <c r="K21" s="295">
        <v>130</v>
      </c>
      <c r="L21" s="295">
        <v>0</v>
      </c>
      <c r="M21" s="295">
        <v>0</v>
      </c>
      <c r="N21" s="295">
        <v>0</v>
      </c>
      <c r="O21" s="295">
        <v>0</v>
      </c>
      <c r="P21" s="295">
        <v>0</v>
      </c>
      <c r="Q21" s="295">
        <v>0</v>
      </c>
      <c r="R21" s="295">
        <v>0</v>
      </c>
      <c r="S21" s="295">
        <v>20</v>
      </c>
      <c r="T21" s="295">
        <v>0</v>
      </c>
      <c r="U21" s="295">
        <v>11</v>
      </c>
      <c r="V21" s="295">
        <v>0</v>
      </c>
      <c r="W21" s="295">
        <v>0</v>
      </c>
      <c r="X21" s="295">
        <v>2</v>
      </c>
      <c r="Y21" s="295">
        <v>19</v>
      </c>
      <c r="Z21" s="295">
        <v>0</v>
      </c>
      <c r="AA21" s="295">
        <v>0</v>
      </c>
      <c r="AB21" s="295">
        <v>0</v>
      </c>
      <c r="AC21" s="295">
        <v>0</v>
      </c>
      <c r="AD21" s="295">
        <v>107</v>
      </c>
      <c r="AE21" s="295">
        <v>0</v>
      </c>
      <c r="AF21" s="295">
        <v>0</v>
      </c>
      <c r="AG21" s="295">
        <v>0</v>
      </c>
    </row>
    <row r="22" spans="2:33">
      <c r="B22" s="265" t="s">
        <v>290</v>
      </c>
      <c r="C22" s="265" t="s">
        <v>25</v>
      </c>
      <c r="D22" s="265" t="s">
        <v>372</v>
      </c>
      <c r="E22" s="269" t="s">
        <v>102</v>
      </c>
      <c r="F22" s="265" t="s">
        <v>277</v>
      </c>
      <c r="G22" s="295">
        <v>503</v>
      </c>
      <c r="H22" s="295">
        <v>0</v>
      </c>
      <c r="I22" s="295">
        <v>0</v>
      </c>
      <c r="J22" s="295">
        <v>0</v>
      </c>
      <c r="K22" s="295">
        <v>97</v>
      </c>
      <c r="L22" s="295">
        <v>0</v>
      </c>
      <c r="M22" s="295">
        <v>0</v>
      </c>
      <c r="N22" s="295">
        <v>0</v>
      </c>
      <c r="O22" s="295">
        <v>0</v>
      </c>
      <c r="P22" s="295">
        <v>0</v>
      </c>
      <c r="Q22" s="295">
        <v>0</v>
      </c>
      <c r="R22" s="295">
        <v>8</v>
      </c>
      <c r="S22" s="295">
        <v>45</v>
      </c>
      <c r="T22" s="295">
        <v>0</v>
      </c>
      <c r="U22" s="295">
        <v>5</v>
      </c>
      <c r="V22" s="295">
        <v>0</v>
      </c>
      <c r="W22" s="295">
        <v>2</v>
      </c>
      <c r="X22" s="295">
        <v>0</v>
      </c>
      <c r="Y22" s="295">
        <v>0</v>
      </c>
      <c r="Z22" s="295">
        <v>0</v>
      </c>
      <c r="AA22" s="295">
        <v>0</v>
      </c>
      <c r="AB22" s="295">
        <v>0</v>
      </c>
      <c r="AC22" s="295">
        <v>0</v>
      </c>
      <c r="AD22" s="295">
        <v>346</v>
      </c>
      <c r="AE22" s="295">
        <v>0</v>
      </c>
      <c r="AF22" s="295">
        <v>0</v>
      </c>
      <c r="AG22" s="295">
        <v>0</v>
      </c>
    </row>
    <row r="23" spans="2:33">
      <c r="B23" s="265" t="s">
        <v>291</v>
      </c>
      <c r="C23" s="265" t="s">
        <v>25</v>
      </c>
      <c r="D23" s="265" t="s">
        <v>374</v>
      </c>
      <c r="E23" s="269" t="s">
        <v>103</v>
      </c>
      <c r="F23" s="265" t="s">
        <v>277</v>
      </c>
      <c r="G23" s="295">
        <v>627</v>
      </c>
      <c r="H23" s="295">
        <v>0</v>
      </c>
      <c r="I23" s="295">
        <v>5</v>
      </c>
      <c r="J23" s="295">
        <v>2</v>
      </c>
      <c r="K23" s="295">
        <v>190</v>
      </c>
      <c r="L23" s="295">
        <v>4</v>
      </c>
      <c r="M23" s="295">
        <v>0</v>
      </c>
      <c r="N23" s="295">
        <v>0</v>
      </c>
      <c r="O23" s="295">
        <v>0</v>
      </c>
      <c r="P23" s="295">
        <v>0</v>
      </c>
      <c r="Q23" s="295">
        <v>0</v>
      </c>
      <c r="R23" s="295">
        <v>13</v>
      </c>
      <c r="S23" s="295">
        <v>52</v>
      </c>
      <c r="T23" s="295">
        <v>0</v>
      </c>
      <c r="U23" s="295">
        <v>7</v>
      </c>
      <c r="V23" s="295">
        <v>0</v>
      </c>
      <c r="W23" s="295">
        <v>2</v>
      </c>
      <c r="X23" s="295">
        <v>0</v>
      </c>
      <c r="Y23" s="295">
        <v>0</v>
      </c>
      <c r="Z23" s="295">
        <v>0</v>
      </c>
      <c r="AA23" s="295">
        <v>0</v>
      </c>
      <c r="AB23" s="295">
        <v>0</v>
      </c>
      <c r="AC23" s="295">
        <v>0</v>
      </c>
      <c r="AD23" s="295">
        <v>352</v>
      </c>
      <c r="AE23" s="295">
        <v>0</v>
      </c>
      <c r="AF23" s="295">
        <v>0</v>
      </c>
      <c r="AG23" s="295">
        <v>0</v>
      </c>
    </row>
    <row r="24" spans="2:33">
      <c r="B24" s="265" t="s">
        <v>292</v>
      </c>
      <c r="C24" s="265" t="s">
        <v>25</v>
      </c>
      <c r="D24" s="265" t="s">
        <v>376</v>
      </c>
      <c r="E24" s="269" t="s">
        <v>104</v>
      </c>
      <c r="F24" s="265" t="s">
        <v>277</v>
      </c>
      <c r="G24" s="295">
        <v>76</v>
      </c>
      <c r="H24" s="295">
        <v>0</v>
      </c>
      <c r="I24" s="295">
        <v>0</v>
      </c>
      <c r="J24" s="295">
        <v>0</v>
      </c>
      <c r="K24" s="295">
        <v>10</v>
      </c>
      <c r="L24" s="295">
        <v>0</v>
      </c>
      <c r="M24" s="295">
        <v>0</v>
      </c>
      <c r="N24" s="295">
        <v>0</v>
      </c>
      <c r="O24" s="295">
        <v>0</v>
      </c>
      <c r="P24" s="295">
        <v>0</v>
      </c>
      <c r="Q24" s="295">
        <v>0</v>
      </c>
      <c r="R24" s="295">
        <v>12</v>
      </c>
      <c r="S24" s="295">
        <v>46</v>
      </c>
      <c r="T24" s="295">
        <v>0</v>
      </c>
      <c r="U24" s="295">
        <v>5</v>
      </c>
      <c r="V24" s="295">
        <v>0</v>
      </c>
      <c r="W24" s="295">
        <v>1</v>
      </c>
      <c r="X24" s="295">
        <v>0</v>
      </c>
      <c r="Y24" s="295">
        <v>0</v>
      </c>
      <c r="Z24" s="295">
        <v>0</v>
      </c>
      <c r="AA24" s="295">
        <v>0</v>
      </c>
      <c r="AB24" s="295">
        <v>0</v>
      </c>
      <c r="AC24" s="295">
        <v>0</v>
      </c>
      <c r="AD24" s="295">
        <v>2</v>
      </c>
      <c r="AE24" s="295">
        <v>0</v>
      </c>
      <c r="AF24" s="295">
        <v>0</v>
      </c>
      <c r="AG24" s="295">
        <v>0</v>
      </c>
    </row>
    <row r="25" spans="2:33">
      <c r="B25" s="265" t="s">
        <v>293</v>
      </c>
      <c r="C25" s="265" t="s">
        <v>25</v>
      </c>
      <c r="D25" s="265" t="s">
        <v>378</v>
      </c>
      <c r="E25" s="269" t="s">
        <v>105</v>
      </c>
      <c r="F25" s="265" t="s">
        <v>277</v>
      </c>
      <c r="G25" s="295">
        <v>89</v>
      </c>
      <c r="H25" s="295">
        <v>0</v>
      </c>
      <c r="I25" s="295">
        <v>0</v>
      </c>
      <c r="J25" s="295">
        <v>0</v>
      </c>
      <c r="K25" s="295">
        <v>4</v>
      </c>
      <c r="L25" s="295">
        <v>0</v>
      </c>
      <c r="M25" s="295">
        <v>0</v>
      </c>
      <c r="N25" s="295">
        <v>0</v>
      </c>
      <c r="O25" s="295">
        <v>0</v>
      </c>
      <c r="P25" s="295">
        <v>0</v>
      </c>
      <c r="Q25" s="295">
        <v>0</v>
      </c>
      <c r="R25" s="295">
        <v>13</v>
      </c>
      <c r="S25" s="295">
        <v>28</v>
      </c>
      <c r="T25" s="295">
        <v>0</v>
      </c>
      <c r="U25" s="295">
        <v>0</v>
      </c>
      <c r="V25" s="295">
        <v>0</v>
      </c>
      <c r="W25" s="295">
        <v>0</v>
      </c>
      <c r="X25" s="295">
        <v>0</v>
      </c>
      <c r="Y25" s="295">
        <v>6</v>
      </c>
      <c r="Z25" s="295">
        <v>0</v>
      </c>
      <c r="AA25" s="295">
        <v>0</v>
      </c>
      <c r="AB25" s="295">
        <v>0</v>
      </c>
      <c r="AC25" s="295">
        <v>0</v>
      </c>
      <c r="AD25" s="295">
        <v>38</v>
      </c>
      <c r="AE25" s="295">
        <v>0</v>
      </c>
      <c r="AF25" s="295">
        <v>0</v>
      </c>
      <c r="AG25" s="295">
        <v>0</v>
      </c>
    </row>
    <row r="26" spans="2:33">
      <c r="B26" s="265" t="s">
        <v>294</v>
      </c>
      <c r="C26" s="265" t="s">
        <v>25</v>
      </c>
      <c r="D26" s="265" t="s">
        <v>380</v>
      </c>
      <c r="E26" s="269" t="s">
        <v>106</v>
      </c>
      <c r="F26" s="265" t="s">
        <v>277</v>
      </c>
      <c r="G26" s="295">
        <v>132</v>
      </c>
      <c r="H26" s="295">
        <v>0</v>
      </c>
      <c r="I26" s="295">
        <v>0</v>
      </c>
      <c r="J26" s="295">
        <v>29</v>
      </c>
      <c r="K26" s="295">
        <v>24</v>
      </c>
      <c r="L26" s="295">
        <v>0</v>
      </c>
      <c r="M26" s="295">
        <v>0</v>
      </c>
      <c r="N26" s="295">
        <v>0</v>
      </c>
      <c r="O26" s="295">
        <v>0</v>
      </c>
      <c r="P26" s="295">
        <v>0</v>
      </c>
      <c r="Q26" s="295">
        <v>0</v>
      </c>
      <c r="R26" s="295">
        <v>22</v>
      </c>
      <c r="S26" s="295">
        <v>51</v>
      </c>
      <c r="T26" s="295">
        <v>0</v>
      </c>
      <c r="U26" s="295">
        <v>5</v>
      </c>
      <c r="V26" s="295">
        <v>0</v>
      </c>
      <c r="W26" s="295">
        <v>1</v>
      </c>
      <c r="X26" s="295">
        <v>0</v>
      </c>
      <c r="Y26" s="295">
        <v>0</v>
      </c>
      <c r="Z26" s="295">
        <v>0</v>
      </c>
      <c r="AA26" s="295">
        <v>0</v>
      </c>
      <c r="AB26" s="295">
        <v>0</v>
      </c>
      <c r="AC26" s="295">
        <v>0</v>
      </c>
      <c r="AD26" s="295">
        <v>0</v>
      </c>
      <c r="AE26" s="295">
        <v>0</v>
      </c>
      <c r="AF26" s="295">
        <v>0</v>
      </c>
      <c r="AG26" s="295">
        <v>0</v>
      </c>
    </row>
    <row r="27" spans="2:33">
      <c r="B27" s="265" t="s">
        <v>295</v>
      </c>
      <c r="C27" s="265" t="s">
        <v>25</v>
      </c>
      <c r="D27" s="265" t="s">
        <v>382</v>
      </c>
      <c r="E27" s="269" t="s">
        <v>107</v>
      </c>
      <c r="F27" s="265" t="s">
        <v>277</v>
      </c>
      <c r="G27" s="295">
        <v>28</v>
      </c>
      <c r="H27" s="295">
        <v>0</v>
      </c>
      <c r="I27" s="295">
        <v>1</v>
      </c>
      <c r="J27" s="295">
        <v>7</v>
      </c>
      <c r="K27" s="295">
        <v>5</v>
      </c>
      <c r="L27" s="295">
        <v>0</v>
      </c>
      <c r="M27" s="295">
        <v>0</v>
      </c>
      <c r="N27" s="295">
        <v>0</v>
      </c>
      <c r="O27" s="295">
        <v>0</v>
      </c>
      <c r="P27" s="295">
        <v>0</v>
      </c>
      <c r="Q27" s="295">
        <v>0</v>
      </c>
      <c r="R27" s="295">
        <v>1</v>
      </c>
      <c r="S27" s="295">
        <v>8</v>
      </c>
      <c r="T27" s="295">
        <v>1</v>
      </c>
      <c r="U27" s="295">
        <v>4</v>
      </c>
      <c r="V27" s="295">
        <v>0</v>
      </c>
      <c r="W27" s="295">
        <v>1</v>
      </c>
      <c r="X27" s="295">
        <v>0</v>
      </c>
      <c r="Y27" s="295">
        <v>0</v>
      </c>
      <c r="Z27" s="295">
        <v>0</v>
      </c>
      <c r="AA27" s="295">
        <v>0</v>
      </c>
      <c r="AB27" s="295">
        <v>0</v>
      </c>
      <c r="AC27" s="295">
        <v>0</v>
      </c>
      <c r="AD27" s="295">
        <v>0</v>
      </c>
      <c r="AE27" s="295">
        <v>0</v>
      </c>
      <c r="AF27" s="295">
        <v>0</v>
      </c>
      <c r="AG27" s="295">
        <v>0</v>
      </c>
    </row>
    <row r="28" spans="2:33">
      <c r="B28" s="265" t="s">
        <v>296</v>
      </c>
      <c r="C28" s="265" t="s">
        <v>25</v>
      </c>
      <c r="D28" s="265" t="s">
        <v>384</v>
      </c>
      <c r="E28" s="269" t="s">
        <v>108</v>
      </c>
      <c r="F28" s="265" t="s">
        <v>277</v>
      </c>
      <c r="G28" s="295">
        <v>241</v>
      </c>
      <c r="H28" s="295">
        <v>0</v>
      </c>
      <c r="I28" s="295">
        <v>15</v>
      </c>
      <c r="J28" s="295">
        <v>13</v>
      </c>
      <c r="K28" s="295">
        <v>38</v>
      </c>
      <c r="L28" s="295">
        <v>15</v>
      </c>
      <c r="M28" s="295">
        <v>0</v>
      </c>
      <c r="N28" s="295">
        <v>0</v>
      </c>
      <c r="O28" s="295">
        <v>0</v>
      </c>
      <c r="P28" s="295">
        <v>0</v>
      </c>
      <c r="Q28" s="295">
        <v>0</v>
      </c>
      <c r="R28" s="295">
        <v>22</v>
      </c>
      <c r="S28" s="295">
        <v>89</v>
      </c>
      <c r="T28" s="295">
        <v>3</v>
      </c>
      <c r="U28" s="295">
        <v>16</v>
      </c>
      <c r="V28" s="295">
        <v>0</v>
      </c>
      <c r="W28" s="295">
        <v>0</v>
      </c>
      <c r="X28" s="295">
        <v>1</v>
      </c>
      <c r="Y28" s="295">
        <v>0</v>
      </c>
      <c r="Z28" s="295">
        <v>0</v>
      </c>
      <c r="AA28" s="295">
        <v>0</v>
      </c>
      <c r="AB28" s="295">
        <v>0</v>
      </c>
      <c r="AC28" s="295">
        <v>0</v>
      </c>
      <c r="AD28" s="295">
        <v>29</v>
      </c>
      <c r="AE28" s="295">
        <v>0</v>
      </c>
      <c r="AF28" s="295">
        <v>0</v>
      </c>
      <c r="AG28" s="295">
        <v>0</v>
      </c>
    </row>
    <row r="29" spans="2:33">
      <c r="B29" s="265" t="s">
        <v>297</v>
      </c>
      <c r="C29" s="265" t="s">
        <v>25</v>
      </c>
      <c r="D29" s="265" t="s">
        <v>388</v>
      </c>
      <c r="E29" s="269" t="s">
        <v>109</v>
      </c>
      <c r="F29" s="265" t="s">
        <v>277</v>
      </c>
      <c r="G29" s="295">
        <v>283</v>
      </c>
      <c r="H29" s="295">
        <v>0</v>
      </c>
      <c r="I29" s="295">
        <v>5</v>
      </c>
      <c r="J29" s="295">
        <v>43</v>
      </c>
      <c r="K29" s="295">
        <v>32</v>
      </c>
      <c r="L29" s="295">
        <v>0</v>
      </c>
      <c r="M29" s="295">
        <v>0</v>
      </c>
      <c r="N29" s="295">
        <v>0</v>
      </c>
      <c r="O29" s="295">
        <v>0</v>
      </c>
      <c r="P29" s="295">
        <v>0</v>
      </c>
      <c r="Q29" s="295">
        <v>1</v>
      </c>
      <c r="R29" s="295">
        <v>35</v>
      </c>
      <c r="S29" s="295">
        <v>140</v>
      </c>
      <c r="T29" s="295">
        <v>4</v>
      </c>
      <c r="U29" s="295">
        <v>11</v>
      </c>
      <c r="V29" s="295">
        <v>0</v>
      </c>
      <c r="W29" s="295">
        <v>0</v>
      </c>
      <c r="X29" s="295">
        <v>0</v>
      </c>
      <c r="Y29" s="295">
        <v>0</v>
      </c>
      <c r="Z29" s="295">
        <v>0</v>
      </c>
      <c r="AA29" s="295">
        <v>0</v>
      </c>
      <c r="AB29" s="295">
        <v>0</v>
      </c>
      <c r="AC29" s="295">
        <v>0</v>
      </c>
      <c r="AD29" s="295">
        <v>12</v>
      </c>
      <c r="AE29" s="295">
        <v>0</v>
      </c>
      <c r="AF29" s="295">
        <v>0</v>
      </c>
      <c r="AG29" s="295">
        <v>0</v>
      </c>
    </row>
    <row r="30" spans="2:33">
      <c r="B30" s="265" t="s">
        <v>298</v>
      </c>
      <c r="C30" s="265" t="s">
        <v>25</v>
      </c>
      <c r="D30" s="265" t="s">
        <v>390</v>
      </c>
      <c r="E30" s="269" t="s">
        <v>110</v>
      </c>
      <c r="F30" s="265" t="s">
        <v>277</v>
      </c>
      <c r="G30" s="295">
        <v>359</v>
      </c>
      <c r="H30" s="295">
        <v>1</v>
      </c>
      <c r="I30" s="295">
        <v>68</v>
      </c>
      <c r="J30" s="295">
        <v>18</v>
      </c>
      <c r="K30" s="295">
        <v>9</v>
      </c>
      <c r="L30" s="295">
        <v>21</v>
      </c>
      <c r="M30" s="295">
        <v>0</v>
      </c>
      <c r="N30" s="295">
        <v>0</v>
      </c>
      <c r="O30" s="295">
        <v>0</v>
      </c>
      <c r="P30" s="295">
        <v>0</v>
      </c>
      <c r="Q30" s="295">
        <v>0</v>
      </c>
      <c r="R30" s="295">
        <v>89</v>
      </c>
      <c r="S30" s="295">
        <v>108</v>
      </c>
      <c r="T30" s="295">
        <v>2</v>
      </c>
      <c r="U30" s="295">
        <v>43</v>
      </c>
      <c r="V30" s="295">
        <v>0</v>
      </c>
      <c r="W30" s="295">
        <v>0</v>
      </c>
      <c r="X30" s="295">
        <v>0</v>
      </c>
      <c r="Y30" s="295">
        <v>0</v>
      </c>
      <c r="Z30" s="295">
        <v>0</v>
      </c>
      <c r="AA30" s="295">
        <v>0</v>
      </c>
      <c r="AB30" s="295">
        <v>0</v>
      </c>
      <c r="AC30" s="295">
        <v>0</v>
      </c>
      <c r="AD30" s="295">
        <v>0</v>
      </c>
      <c r="AE30" s="295">
        <v>0</v>
      </c>
      <c r="AF30" s="295">
        <v>0</v>
      </c>
      <c r="AG30" s="295">
        <v>0</v>
      </c>
    </row>
    <row r="31" spans="2:33">
      <c r="B31" s="265" t="s">
        <v>299</v>
      </c>
      <c r="C31" s="265" t="s">
        <v>115</v>
      </c>
      <c r="D31" s="265" t="s">
        <v>393</v>
      </c>
      <c r="E31" s="269" t="s">
        <v>116</v>
      </c>
      <c r="F31" s="265" t="s">
        <v>277</v>
      </c>
      <c r="G31" s="295">
        <v>46</v>
      </c>
      <c r="H31" s="295">
        <v>0</v>
      </c>
      <c r="I31" s="295">
        <v>25</v>
      </c>
      <c r="J31" s="295">
        <v>8</v>
      </c>
      <c r="K31" s="295">
        <v>2</v>
      </c>
      <c r="L31" s="295">
        <v>0</v>
      </c>
      <c r="M31" s="295">
        <v>0</v>
      </c>
      <c r="N31" s="295">
        <v>0</v>
      </c>
      <c r="O31" s="295">
        <v>0</v>
      </c>
      <c r="P31" s="295">
        <v>0</v>
      </c>
      <c r="Q31" s="295">
        <v>0</v>
      </c>
      <c r="R31" s="295">
        <v>4</v>
      </c>
      <c r="S31" s="295">
        <v>7</v>
      </c>
      <c r="T31" s="295">
        <v>0</v>
      </c>
      <c r="U31" s="295">
        <v>0</v>
      </c>
      <c r="V31" s="295">
        <v>0</v>
      </c>
      <c r="W31" s="295">
        <v>0</v>
      </c>
      <c r="X31" s="295">
        <v>0</v>
      </c>
      <c r="Y31" s="295">
        <v>0</v>
      </c>
      <c r="Z31" s="295">
        <v>0</v>
      </c>
      <c r="AA31" s="295">
        <v>0</v>
      </c>
      <c r="AB31" s="295">
        <v>0</v>
      </c>
      <c r="AC31" s="295">
        <v>0</v>
      </c>
      <c r="AD31" s="295">
        <v>0</v>
      </c>
      <c r="AE31" s="295">
        <v>0</v>
      </c>
      <c r="AF31" s="295">
        <v>0</v>
      </c>
      <c r="AG31" s="295">
        <v>0</v>
      </c>
    </row>
    <row r="32" spans="2:33">
      <c r="B32" s="265" t="s">
        <v>300</v>
      </c>
      <c r="C32" s="265" t="s">
        <v>40</v>
      </c>
      <c r="D32" s="265" t="s">
        <v>396</v>
      </c>
      <c r="E32" s="269" t="s">
        <v>117</v>
      </c>
      <c r="F32" s="265" t="s">
        <v>277</v>
      </c>
      <c r="G32" s="295">
        <v>1238</v>
      </c>
      <c r="H32" s="295">
        <v>0</v>
      </c>
      <c r="I32" s="295">
        <v>0</v>
      </c>
      <c r="J32" s="295">
        <v>245</v>
      </c>
      <c r="K32" s="295">
        <v>223</v>
      </c>
      <c r="L32" s="295">
        <v>0</v>
      </c>
      <c r="M32" s="295">
        <v>0</v>
      </c>
      <c r="N32" s="295">
        <v>0</v>
      </c>
      <c r="O32" s="295">
        <v>0</v>
      </c>
      <c r="P32" s="295">
        <v>0</v>
      </c>
      <c r="Q32" s="295">
        <v>21</v>
      </c>
      <c r="R32" s="295">
        <v>32</v>
      </c>
      <c r="S32" s="295">
        <v>194</v>
      </c>
      <c r="T32" s="295">
        <v>0</v>
      </c>
      <c r="U32" s="295">
        <v>23</v>
      </c>
      <c r="V32" s="295">
        <v>146</v>
      </c>
      <c r="W32" s="295">
        <v>0</v>
      </c>
      <c r="X32" s="295">
        <v>0</v>
      </c>
      <c r="Y32" s="295">
        <v>60</v>
      </c>
      <c r="Z32" s="295">
        <v>0</v>
      </c>
      <c r="AA32" s="295">
        <v>0</v>
      </c>
      <c r="AB32" s="295">
        <v>0</v>
      </c>
      <c r="AC32" s="295">
        <v>0</v>
      </c>
      <c r="AD32" s="295">
        <v>294</v>
      </c>
      <c r="AE32" s="295">
        <v>0</v>
      </c>
      <c r="AF32" s="295">
        <v>0</v>
      </c>
      <c r="AG32" s="295">
        <v>0</v>
      </c>
    </row>
    <row r="33" spans="2:33">
      <c r="B33" s="265" t="s">
        <v>301</v>
      </c>
      <c r="C33" s="265" t="s">
        <v>40</v>
      </c>
      <c r="D33" s="265" t="s">
        <v>398</v>
      </c>
      <c r="E33" s="269" t="s">
        <v>118</v>
      </c>
      <c r="F33" s="265" t="s">
        <v>277</v>
      </c>
      <c r="G33" s="295">
        <v>1238</v>
      </c>
      <c r="H33" s="295">
        <v>0</v>
      </c>
      <c r="I33" s="295">
        <v>0</v>
      </c>
      <c r="J33" s="295">
        <v>245</v>
      </c>
      <c r="K33" s="295">
        <v>223</v>
      </c>
      <c r="L33" s="295">
        <v>0</v>
      </c>
      <c r="M33" s="295">
        <v>0</v>
      </c>
      <c r="N33" s="295">
        <v>0</v>
      </c>
      <c r="O33" s="295">
        <v>0</v>
      </c>
      <c r="P33" s="295">
        <v>0</v>
      </c>
      <c r="Q33" s="295">
        <v>21</v>
      </c>
      <c r="R33" s="295">
        <v>32</v>
      </c>
      <c r="S33" s="295">
        <v>194</v>
      </c>
      <c r="T33" s="295">
        <v>0</v>
      </c>
      <c r="U33" s="295">
        <v>23</v>
      </c>
      <c r="V33" s="295">
        <v>146</v>
      </c>
      <c r="W33" s="295">
        <v>0</v>
      </c>
      <c r="X33" s="295">
        <v>0</v>
      </c>
      <c r="Y33" s="295">
        <v>60</v>
      </c>
      <c r="Z33" s="295">
        <v>0</v>
      </c>
      <c r="AA33" s="295">
        <v>0</v>
      </c>
      <c r="AB33" s="295">
        <v>0</v>
      </c>
      <c r="AC33" s="295">
        <v>0</v>
      </c>
      <c r="AD33" s="295">
        <v>294</v>
      </c>
      <c r="AE33" s="295">
        <v>0</v>
      </c>
      <c r="AF33" s="295">
        <v>0</v>
      </c>
      <c r="AG33" s="295">
        <v>0</v>
      </c>
    </row>
    <row r="34" spans="2:33">
      <c r="B34" s="265" t="s">
        <v>302</v>
      </c>
      <c r="C34" s="265" t="s">
        <v>46</v>
      </c>
      <c r="D34" s="265" t="s">
        <v>407</v>
      </c>
      <c r="E34" s="269" t="s">
        <v>145</v>
      </c>
      <c r="F34" s="265" t="s">
        <v>277</v>
      </c>
      <c r="G34" s="295">
        <v>604</v>
      </c>
      <c r="H34" s="295">
        <v>0</v>
      </c>
      <c r="I34" s="295">
        <v>0</v>
      </c>
      <c r="J34" s="295">
        <v>60</v>
      </c>
      <c r="K34" s="295">
        <v>34</v>
      </c>
      <c r="L34" s="295">
        <v>0</v>
      </c>
      <c r="M34" s="295">
        <v>0</v>
      </c>
      <c r="N34" s="295">
        <v>0</v>
      </c>
      <c r="O34" s="295">
        <v>0</v>
      </c>
      <c r="P34" s="295">
        <v>0</v>
      </c>
      <c r="Q34" s="295">
        <v>0</v>
      </c>
      <c r="R34" s="295">
        <v>37</v>
      </c>
      <c r="S34" s="295">
        <v>111</v>
      </c>
      <c r="T34" s="295">
        <v>0</v>
      </c>
      <c r="U34" s="295">
        <v>17</v>
      </c>
      <c r="V34" s="295">
        <v>0</v>
      </c>
      <c r="W34" s="295">
        <v>0</v>
      </c>
      <c r="X34" s="295">
        <v>0</v>
      </c>
      <c r="Y34" s="295">
        <v>0</v>
      </c>
      <c r="Z34" s="295">
        <v>0</v>
      </c>
      <c r="AA34" s="295">
        <v>0</v>
      </c>
      <c r="AB34" s="295">
        <v>0</v>
      </c>
      <c r="AC34" s="295">
        <v>0</v>
      </c>
      <c r="AD34" s="295">
        <v>345</v>
      </c>
      <c r="AE34" s="295">
        <v>0</v>
      </c>
      <c r="AF34" s="295">
        <v>0</v>
      </c>
      <c r="AG34" s="295">
        <v>0</v>
      </c>
    </row>
    <row r="35" spans="2:33">
      <c r="B35" s="265" t="s">
        <v>303</v>
      </c>
      <c r="C35" s="265" t="s">
        <v>46</v>
      </c>
      <c r="D35" s="265" t="s">
        <v>413</v>
      </c>
      <c r="E35" s="269" t="s">
        <v>140</v>
      </c>
      <c r="F35" s="265" t="s">
        <v>277</v>
      </c>
      <c r="G35" s="295">
        <v>0</v>
      </c>
      <c r="H35" s="295">
        <v>0</v>
      </c>
      <c r="I35" s="295">
        <v>0</v>
      </c>
      <c r="J35" s="295">
        <v>0</v>
      </c>
      <c r="K35" s="295">
        <v>0</v>
      </c>
      <c r="L35" s="295">
        <v>0</v>
      </c>
      <c r="M35" s="295">
        <v>0</v>
      </c>
      <c r="N35" s="295">
        <v>0</v>
      </c>
      <c r="O35" s="295">
        <v>0</v>
      </c>
      <c r="P35" s="295">
        <v>0</v>
      </c>
      <c r="Q35" s="295">
        <v>0</v>
      </c>
      <c r="R35" s="295">
        <v>0</v>
      </c>
      <c r="S35" s="295">
        <v>0</v>
      </c>
      <c r="T35" s="295">
        <v>0</v>
      </c>
      <c r="U35" s="295">
        <v>0</v>
      </c>
      <c r="V35" s="295">
        <v>0</v>
      </c>
      <c r="W35" s="295">
        <v>0</v>
      </c>
      <c r="X35" s="295">
        <v>0</v>
      </c>
      <c r="Y35" s="295">
        <v>0</v>
      </c>
      <c r="Z35" s="295">
        <v>0</v>
      </c>
      <c r="AA35" s="295">
        <v>0</v>
      </c>
      <c r="AB35" s="295">
        <v>0</v>
      </c>
      <c r="AC35" s="295">
        <v>0</v>
      </c>
      <c r="AD35" s="295">
        <v>0</v>
      </c>
      <c r="AE35" s="295">
        <v>0</v>
      </c>
      <c r="AF35" s="295">
        <v>0</v>
      </c>
      <c r="AG35" s="295">
        <v>0</v>
      </c>
    </row>
    <row r="36" spans="2:33">
      <c r="B36" s="265" t="s">
        <v>304</v>
      </c>
      <c r="C36" s="265" t="s">
        <v>125</v>
      </c>
      <c r="D36" s="265" t="s">
        <v>421</v>
      </c>
      <c r="E36" s="269" t="s">
        <v>134</v>
      </c>
      <c r="F36" s="265" t="s">
        <v>277</v>
      </c>
      <c r="G36" s="295">
        <v>1914</v>
      </c>
      <c r="H36" s="295">
        <v>0</v>
      </c>
      <c r="I36" s="295">
        <v>0</v>
      </c>
      <c r="J36" s="295">
        <v>100</v>
      </c>
      <c r="K36" s="295">
        <v>534</v>
      </c>
      <c r="L36" s="295">
        <v>0</v>
      </c>
      <c r="M36" s="295">
        <v>0</v>
      </c>
      <c r="N36" s="295">
        <v>0</v>
      </c>
      <c r="O36" s="295">
        <v>0</v>
      </c>
      <c r="P36" s="295">
        <v>0</v>
      </c>
      <c r="Q36" s="295">
        <v>0</v>
      </c>
      <c r="R36" s="295">
        <v>0</v>
      </c>
      <c r="S36" s="295">
        <v>201</v>
      </c>
      <c r="T36" s="295">
        <v>0</v>
      </c>
      <c r="U36" s="295">
        <v>2</v>
      </c>
      <c r="V36" s="295">
        <v>0</v>
      </c>
      <c r="W36" s="295">
        <v>0</v>
      </c>
      <c r="X36" s="295">
        <v>41</v>
      </c>
      <c r="Y36" s="295">
        <v>0</v>
      </c>
      <c r="Z36" s="295">
        <v>0</v>
      </c>
      <c r="AA36" s="295">
        <v>0</v>
      </c>
      <c r="AB36" s="295">
        <v>0</v>
      </c>
      <c r="AC36" s="295">
        <v>0</v>
      </c>
      <c r="AD36" s="295">
        <v>1036</v>
      </c>
      <c r="AE36" s="295">
        <v>0</v>
      </c>
      <c r="AF36" s="295">
        <v>0</v>
      </c>
      <c r="AG36" s="295">
        <v>0</v>
      </c>
    </row>
    <row r="37" spans="2:33">
      <c r="B37" s="265" t="s">
        <v>305</v>
      </c>
      <c r="C37" s="265" t="s">
        <v>125</v>
      </c>
      <c r="D37" s="265" t="s">
        <v>425</v>
      </c>
      <c r="E37" s="269" t="s">
        <v>129</v>
      </c>
      <c r="F37" s="265" t="s">
        <v>277</v>
      </c>
      <c r="G37" s="295">
        <v>2692</v>
      </c>
      <c r="H37" s="295">
        <v>15</v>
      </c>
      <c r="I37" s="295">
        <v>26</v>
      </c>
      <c r="J37" s="295">
        <v>203</v>
      </c>
      <c r="K37" s="295">
        <v>735</v>
      </c>
      <c r="L37" s="295">
        <v>0</v>
      </c>
      <c r="M37" s="295">
        <v>0</v>
      </c>
      <c r="N37" s="295">
        <v>0</v>
      </c>
      <c r="O37" s="295">
        <v>0</v>
      </c>
      <c r="P37" s="295">
        <v>0</v>
      </c>
      <c r="Q37" s="295">
        <v>0</v>
      </c>
      <c r="R37" s="295">
        <v>0</v>
      </c>
      <c r="S37" s="295">
        <v>300</v>
      </c>
      <c r="T37" s="295">
        <v>0</v>
      </c>
      <c r="U37" s="295">
        <v>2</v>
      </c>
      <c r="V37" s="295">
        <v>0</v>
      </c>
      <c r="W37" s="295">
        <v>0</v>
      </c>
      <c r="X37" s="295">
        <v>52</v>
      </c>
      <c r="Y37" s="295">
        <v>0</v>
      </c>
      <c r="Z37" s="295">
        <v>0</v>
      </c>
      <c r="AA37" s="295">
        <v>0</v>
      </c>
      <c r="AB37" s="295">
        <v>7</v>
      </c>
      <c r="AC37" s="295">
        <v>0</v>
      </c>
      <c r="AD37" s="295">
        <v>1350</v>
      </c>
      <c r="AE37" s="295">
        <v>0</v>
      </c>
      <c r="AF37" s="295">
        <v>2</v>
      </c>
      <c r="AG37" s="295">
        <v>0</v>
      </c>
    </row>
    <row r="38" spans="2:33">
      <c r="B38" s="265" t="s">
        <v>306</v>
      </c>
      <c r="C38" s="265" t="s">
        <v>125</v>
      </c>
      <c r="D38" s="265" t="s">
        <v>427</v>
      </c>
      <c r="E38" s="269" t="s">
        <v>131</v>
      </c>
      <c r="F38" s="265" t="s">
        <v>277</v>
      </c>
      <c r="G38" s="295">
        <v>198</v>
      </c>
      <c r="H38" s="295">
        <v>0</v>
      </c>
      <c r="I38" s="295">
        <v>0</v>
      </c>
      <c r="J38" s="295">
        <v>0</v>
      </c>
      <c r="K38" s="295">
        <v>71</v>
      </c>
      <c r="L38" s="295">
        <v>0</v>
      </c>
      <c r="M38" s="295">
        <v>0</v>
      </c>
      <c r="N38" s="295">
        <v>0</v>
      </c>
      <c r="O38" s="295">
        <v>0</v>
      </c>
      <c r="P38" s="295">
        <v>0</v>
      </c>
      <c r="Q38" s="295">
        <v>0</v>
      </c>
      <c r="R38" s="295">
        <v>0</v>
      </c>
      <c r="S38" s="295">
        <v>0</v>
      </c>
      <c r="T38" s="295">
        <v>0</v>
      </c>
      <c r="U38" s="295">
        <v>0</v>
      </c>
      <c r="V38" s="295">
        <v>0</v>
      </c>
      <c r="W38" s="295">
        <v>0</v>
      </c>
      <c r="X38" s="295">
        <v>4</v>
      </c>
      <c r="Y38" s="295">
        <v>0</v>
      </c>
      <c r="Z38" s="295">
        <v>0</v>
      </c>
      <c r="AA38" s="295">
        <v>0</v>
      </c>
      <c r="AB38" s="295">
        <v>0</v>
      </c>
      <c r="AC38" s="295">
        <v>0</v>
      </c>
      <c r="AD38" s="295">
        <v>123</v>
      </c>
      <c r="AE38" s="295">
        <v>0</v>
      </c>
      <c r="AF38" s="295">
        <v>0</v>
      </c>
      <c r="AG38" s="295">
        <v>0</v>
      </c>
    </row>
    <row r="39" spans="2:33">
      <c r="B39" s="265" t="s">
        <v>307</v>
      </c>
      <c r="C39" s="265" t="s">
        <v>125</v>
      </c>
      <c r="D39" s="265" t="s">
        <v>429</v>
      </c>
      <c r="E39" s="269" t="s">
        <v>131</v>
      </c>
      <c r="F39" s="265" t="s">
        <v>277</v>
      </c>
      <c r="G39" s="295">
        <v>681</v>
      </c>
      <c r="H39" s="295">
        <v>0</v>
      </c>
      <c r="I39" s="295">
        <v>3</v>
      </c>
      <c r="J39" s="295">
        <v>71</v>
      </c>
      <c r="K39" s="295">
        <v>212</v>
      </c>
      <c r="L39" s="295">
        <v>0</v>
      </c>
      <c r="M39" s="295">
        <v>0</v>
      </c>
      <c r="N39" s="295">
        <v>0</v>
      </c>
      <c r="O39" s="295">
        <v>0</v>
      </c>
      <c r="P39" s="295">
        <v>0</v>
      </c>
      <c r="Q39" s="295">
        <v>0</v>
      </c>
      <c r="R39" s="295">
        <v>0</v>
      </c>
      <c r="S39" s="295">
        <v>43</v>
      </c>
      <c r="T39" s="295">
        <v>0</v>
      </c>
      <c r="U39" s="295">
        <v>0</v>
      </c>
      <c r="V39" s="295">
        <v>0</v>
      </c>
      <c r="W39" s="295">
        <v>0</v>
      </c>
      <c r="X39" s="295">
        <v>8</v>
      </c>
      <c r="Y39" s="295">
        <v>0</v>
      </c>
      <c r="Z39" s="295">
        <v>0</v>
      </c>
      <c r="AA39" s="295">
        <v>0</v>
      </c>
      <c r="AB39" s="295">
        <v>1</v>
      </c>
      <c r="AC39" s="295">
        <v>0</v>
      </c>
      <c r="AD39" s="295">
        <v>343</v>
      </c>
      <c r="AE39" s="295">
        <v>0</v>
      </c>
      <c r="AF39" s="295">
        <v>0</v>
      </c>
      <c r="AG39" s="295">
        <v>0</v>
      </c>
    </row>
    <row r="40" spans="2:33">
      <c r="B40" s="265" t="s">
        <v>308</v>
      </c>
      <c r="C40" s="265" t="s">
        <v>125</v>
      </c>
      <c r="D40" s="265" t="s">
        <v>431</v>
      </c>
      <c r="E40" s="269" t="s">
        <v>132</v>
      </c>
      <c r="F40" s="265" t="s">
        <v>277</v>
      </c>
      <c r="G40" s="295">
        <v>873</v>
      </c>
      <c r="H40" s="295">
        <v>0</v>
      </c>
      <c r="I40" s="295">
        <v>4</v>
      </c>
      <c r="J40" s="295">
        <v>91</v>
      </c>
      <c r="K40" s="295">
        <v>271</v>
      </c>
      <c r="L40" s="295">
        <v>0</v>
      </c>
      <c r="M40" s="295">
        <v>0</v>
      </c>
      <c r="N40" s="295">
        <v>0</v>
      </c>
      <c r="O40" s="295">
        <v>0</v>
      </c>
      <c r="P40" s="295">
        <v>0</v>
      </c>
      <c r="Q40" s="295">
        <v>0</v>
      </c>
      <c r="R40" s="295">
        <v>0</v>
      </c>
      <c r="S40" s="295">
        <v>54</v>
      </c>
      <c r="T40" s="295">
        <v>0</v>
      </c>
      <c r="U40" s="295">
        <v>0</v>
      </c>
      <c r="V40" s="295">
        <v>0</v>
      </c>
      <c r="W40" s="295">
        <v>0</v>
      </c>
      <c r="X40" s="295">
        <v>11</v>
      </c>
      <c r="Y40" s="295">
        <v>0</v>
      </c>
      <c r="Z40" s="295">
        <v>0</v>
      </c>
      <c r="AA40" s="295">
        <v>0</v>
      </c>
      <c r="AB40" s="295">
        <v>2</v>
      </c>
      <c r="AC40" s="295">
        <v>0</v>
      </c>
      <c r="AD40" s="295">
        <v>439</v>
      </c>
      <c r="AE40" s="295">
        <v>0</v>
      </c>
      <c r="AF40" s="295">
        <v>1</v>
      </c>
      <c r="AG40" s="295">
        <v>0</v>
      </c>
    </row>
    <row r="41" spans="2:33">
      <c r="B41" s="265" t="s">
        <v>309</v>
      </c>
      <c r="C41" s="265" t="s">
        <v>125</v>
      </c>
      <c r="D41" s="265" t="s">
        <v>433</v>
      </c>
      <c r="E41" s="269" t="s">
        <v>133</v>
      </c>
      <c r="F41" s="265" t="s">
        <v>277</v>
      </c>
      <c r="G41" s="295">
        <v>410</v>
      </c>
      <c r="H41" s="295">
        <v>0</v>
      </c>
      <c r="I41" s="295">
        <v>0</v>
      </c>
      <c r="J41" s="295">
        <v>0</v>
      </c>
      <c r="K41" s="295">
        <v>401</v>
      </c>
      <c r="L41" s="295">
        <v>0</v>
      </c>
      <c r="M41" s="295">
        <v>0</v>
      </c>
      <c r="N41" s="295">
        <v>0</v>
      </c>
      <c r="O41" s="295">
        <v>0</v>
      </c>
      <c r="P41" s="295">
        <v>0</v>
      </c>
      <c r="Q41" s="295">
        <v>0</v>
      </c>
      <c r="R41" s="295">
        <v>0</v>
      </c>
      <c r="S41" s="295">
        <v>0</v>
      </c>
      <c r="T41" s="295">
        <v>0</v>
      </c>
      <c r="U41" s="295">
        <v>0</v>
      </c>
      <c r="V41" s="295">
        <v>0</v>
      </c>
      <c r="W41" s="295">
        <v>0</v>
      </c>
      <c r="X41" s="295">
        <v>0</v>
      </c>
      <c r="Y41" s="295">
        <v>0</v>
      </c>
      <c r="Z41" s="295">
        <v>0</v>
      </c>
      <c r="AA41" s="295">
        <v>0</v>
      </c>
      <c r="AB41" s="295">
        <v>0</v>
      </c>
      <c r="AC41" s="295">
        <v>0</v>
      </c>
      <c r="AD41" s="295">
        <v>9</v>
      </c>
      <c r="AE41" s="295">
        <v>0</v>
      </c>
      <c r="AF41" s="295">
        <v>0</v>
      </c>
      <c r="AG41" s="295">
        <v>0</v>
      </c>
    </row>
    <row r="42" spans="2:33">
      <c r="B42" s="265" t="s">
        <v>310</v>
      </c>
      <c r="C42" s="265" t="s">
        <v>125</v>
      </c>
      <c r="D42" s="265" t="s">
        <v>439</v>
      </c>
      <c r="E42" s="269" t="s">
        <v>137</v>
      </c>
      <c r="F42" s="265" t="s">
        <v>277</v>
      </c>
      <c r="G42" s="295">
        <v>306</v>
      </c>
      <c r="H42" s="295">
        <v>0</v>
      </c>
      <c r="I42" s="295">
        <v>0</v>
      </c>
      <c r="J42" s="295">
        <v>0</v>
      </c>
      <c r="K42" s="295">
        <v>143</v>
      </c>
      <c r="L42" s="295">
        <v>0</v>
      </c>
      <c r="M42" s="295">
        <v>0</v>
      </c>
      <c r="N42" s="295">
        <v>0</v>
      </c>
      <c r="O42" s="295">
        <v>0</v>
      </c>
      <c r="P42" s="295">
        <v>0</v>
      </c>
      <c r="Q42" s="295">
        <v>0</v>
      </c>
      <c r="R42" s="295">
        <v>0</v>
      </c>
      <c r="S42" s="295">
        <v>36</v>
      </c>
      <c r="T42" s="295">
        <v>0</v>
      </c>
      <c r="U42" s="295">
        <v>0</v>
      </c>
      <c r="V42" s="295">
        <v>0</v>
      </c>
      <c r="W42" s="295">
        <v>0</v>
      </c>
      <c r="X42" s="295">
        <v>34</v>
      </c>
      <c r="Y42" s="295">
        <v>0</v>
      </c>
      <c r="Z42" s="295">
        <v>0</v>
      </c>
      <c r="AA42" s="295">
        <v>0</v>
      </c>
      <c r="AB42" s="295">
        <v>0</v>
      </c>
      <c r="AC42" s="295">
        <v>0</v>
      </c>
      <c r="AD42" s="295">
        <v>93</v>
      </c>
      <c r="AE42" s="295">
        <v>0</v>
      </c>
      <c r="AF42" s="295">
        <v>0</v>
      </c>
      <c r="AG42" s="295">
        <v>0</v>
      </c>
    </row>
    <row r="43" spans="2:33">
      <c r="B43" s="265" t="s">
        <v>311</v>
      </c>
      <c r="C43" s="265" t="s">
        <v>125</v>
      </c>
      <c r="D43" s="265" t="s">
        <v>441</v>
      </c>
      <c r="E43" s="269" t="s">
        <v>138</v>
      </c>
      <c r="F43" s="265" t="s">
        <v>277</v>
      </c>
      <c r="G43" s="295">
        <v>0</v>
      </c>
      <c r="H43" s="295">
        <v>0</v>
      </c>
      <c r="I43" s="295">
        <v>0</v>
      </c>
      <c r="J43" s="295">
        <v>0</v>
      </c>
      <c r="K43" s="295">
        <v>0</v>
      </c>
      <c r="L43" s="295">
        <v>0</v>
      </c>
      <c r="M43" s="295">
        <v>0</v>
      </c>
      <c r="N43" s="295">
        <v>0</v>
      </c>
      <c r="O43" s="295">
        <v>0</v>
      </c>
      <c r="P43" s="295">
        <v>0</v>
      </c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s="295">
        <v>0</v>
      </c>
      <c r="W43" s="295">
        <v>0</v>
      </c>
      <c r="X43" s="295">
        <v>0</v>
      </c>
      <c r="Y43" s="295">
        <v>0</v>
      </c>
      <c r="Z43" s="295">
        <v>0</v>
      </c>
      <c r="AA43" s="295">
        <v>0</v>
      </c>
      <c r="AB43" s="295">
        <v>0</v>
      </c>
      <c r="AC43" s="295">
        <v>0</v>
      </c>
      <c r="AD43" s="295">
        <v>0</v>
      </c>
      <c r="AE43" s="295">
        <v>0</v>
      </c>
      <c r="AF43" s="295">
        <v>0</v>
      </c>
      <c r="AG43" s="295">
        <v>0</v>
      </c>
    </row>
    <row r="44" spans="2:33">
      <c r="B44" s="265" t="s">
        <v>312</v>
      </c>
      <c r="C44" s="265" t="s">
        <v>79</v>
      </c>
      <c r="D44" s="265" t="s">
        <v>445</v>
      </c>
      <c r="E44" s="269" t="s">
        <v>141</v>
      </c>
      <c r="F44" s="265" t="s">
        <v>277</v>
      </c>
      <c r="G44" s="295">
        <v>512</v>
      </c>
      <c r="H44" s="295">
        <v>0</v>
      </c>
      <c r="I44" s="295">
        <v>0</v>
      </c>
      <c r="J44" s="295">
        <v>25</v>
      </c>
      <c r="K44" s="295">
        <v>65</v>
      </c>
      <c r="L44" s="295">
        <v>1</v>
      </c>
      <c r="M44" s="295">
        <v>0</v>
      </c>
      <c r="N44" s="295">
        <v>0</v>
      </c>
      <c r="O44" s="295">
        <v>0</v>
      </c>
      <c r="P44" s="295">
        <v>0</v>
      </c>
      <c r="Q44" s="295">
        <v>0</v>
      </c>
      <c r="R44" s="295">
        <v>0</v>
      </c>
      <c r="S44" s="295">
        <v>258</v>
      </c>
      <c r="T44" s="295">
        <v>0</v>
      </c>
      <c r="U44" s="295">
        <v>10</v>
      </c>
      <c r="V44" s="295">
        <v>0</v>
      </c>
      <c r="W44" s="295">
        <v>0</v>
      </c>
      <c r="X44" s="295">
        <v>0</v>
      </c>
      <c r="Y44" s="295">
        <v>0</v>
      </c>
      <c r="Z44" s="295">
        <v>0</v>
      </c>
      <c r="AA44" s="295">
        <v>0</v>
      </c>
      <c r="AB44" s="295">
        <v>0</v>
      </c>
      <c r="AC44" s="295">
        <v>0</v>
      </c>
      <c r="AD44" s="295">
        <v>153</v>
      </c>
      <c r="AE44" s="295">
        <v>0</v>
      </c>
      <c r="AF44" s="295">
        <v>0</v>
      </c>
      <c r="AG44" s="295">
        <v>0</v>
      </c>
    </row>
    <row r="45" spans="2:33">
      <c r="B45" s="265" t="s">
        <v>313</v>
      </c>
      <c r="C45" s="265" t="s">
        <v>115</v>
      </c>
      <c r="D45" s="265" t="s">
        <v>451</v>
      </c>
      <c r="E45" s="269" t="s">
        <v>139</v>
      </c>
      <c r="F45" s="265" t="s">
        <v>277</v>
      </c>
      <c r="G45" s="295">
        <v>7</v>
      </c>
      <c r="H45" s="295">
        <v>0</v>
      </c>
      <c r="I45" s="295">
        <v>0</v>
      </c>
      <c r="J45" s="295">
        <v>1</v>
      </c>
      <c r="K45" s="295">
        <v>0</v>
      </c>
      <c r="L45" s="295">
        <v>0</v>
      </c>
      <c r="M45" s="295">
        <v>0</v>
      </c>
      <c r="N45" s="295">
        <v>0</v>
      </c>
      <c r="O45" s="295">
        <v>0</v>
      </c>
      <c r="P45" s="295">
        <v>0</v>
      </c>
      <c r="Q45" s="295">
        <v>0</v>
      </c>
      <c r="R45" s="295">
        <v>1</v>
      </c>
      <c r="S45" s="295">
        <v>2</v>
      </c>
      <c r="T45" s="295">
        <v>0</v>
      </c>
      <c r="U45" s="295">
        <v>1</v>
      </c>
      <c r="V45" s="295">
        <v>0</v>
      </c>
      <c r="W45" s="295">
        <v>0</v>
      </c>
      <c r="X45" s="295">
        <v>2</v>
      </c>
      <c r="Y45" s="295">
        <v>0</v>
      </c>
      <c r="Z45" s="295">
        <v>0</v>
      </c>
      <c r="AA45" s="295">
        <v>0</v>
      </c>
      <c r="AB45" s="295">
        <v>0</v>
      </c>
      <c r="AC45" s="295">
        <v>0</v>
      </c>
      <c r="AD45" s="295">
        <v>0</v>
      </c>
      <c r="AE45" s="295">
        <v>0</v>
      </c>
      <c r="AF45" s="295">
        <v>0</v>
      </c>
      <c r="AG45" s="295">
        <v>0</v>
      </c>
    </row>
    <row r="46" spans="2:33">
      <c r="B46" s="265" t="s">
        <v>314</v>
      </c>
      <c r="C46" s="265" t="s">
        <v>38</v>
      </c>
      <c r="D46" s="265" t="s">
        <v>453</v>
      </c>
      <c r="E46" s="269" t="s">
        <v>5278</v>
      </c>
      <c r="F46" s="265" t="s">
        <v>277</v>
      </c>
      <c r="G46" s="295">
        <v>855</v>
      </c>
      <c r="H46" s="295">
        <v>7</v>
      </c>
      <c r="I46" s="295">
        <v>50</v>
      </c>
      <c r="J46" s="295">
        <v>239</v>
      </c>
      <c r="K46" s="295">
        <v>86</v>
      </c>
      <c r="L46" s="295">
        <v>0</v>
      </c>
      <c r="M46" s="295">
        <v>0</v>
      </c>
      <c r="N46" s="295">
        <v>0</v>
      </c>
      <c r="O46" s="295">
        <v>0</v>
      </c>
      <c r="P46" s="295">
        <v>5</v>
      </c>
      <c r="Q46" s="295">
        <v>2</v>
      </c>
      <c r="R46" s="295">
        <v>46</v>
      </c>
      <c r="S46" s="295">
        <v>180</v>
      </c>
      <c r="T46" s="295">
        <v>1</v>
      </c>
      <c r="U46" s="295">
        <v>25</v>
      </c>
      <c r="V46" s="295">
        <v>0</v>
      </c>
      <c r="W46" s="295">
        <v>1</v>
      </c>
      <c r="X46" s="295">
        <v>0</v>
      </c>
      <c r="Y46" s="295">
        <v>127</v>
      </c>
      <c r="Z46" s="295">
        <v>0</v>
      </c>
      <c r="AA46" s="295">
        <v>14</v>
      </c>
      <c r="AB46" s="295">
        <v>5</v>
      </c>
      <c r="AC46" s="295">
        <v>16</v>
      </c>
      <c r="AD46" s="295">
        <v>43</v>
      </c>
      <c r="AE46" s="295">
        <v>6</v>
      </c>
      <c r="AF46" s="295">
        <v>1</v>
      </c>
      <c r="AG46" s="295">
        <v>1</v>
      </c>
    </row>
    <row r="47" spans="2:33">
      <c r="B47" s="265" t="s">
        <v>315</v>
      </c>
      <c r="C47" s="265" t="s">
        <v>4558</v>
      </c>
      <c r="D47" s="265" t="s">
        <v>4969</v>
      </c>
      <c r="E47" s="269" t="s">
        <v>4970</v>
      </c>
      <c r="F47" s="265" t="s">
        <v>277</v>
      </c>
      <c r="G47" s="295">
        <v>394</v>
      </c>
      <c r="H47" s="295">
        <v>0</v>
      </c>
      <c r="I47" s="295">
        <v>0</v>
      </c>
      <c r="J47" s="295">
        <v>0</v>
      </c>
      <c r="K47" s="295">
        <v>0</v>
      </c>
      <c r="L47" s="295">
        <v>0</v>
      </c>
      <c r="M47" s="295">
        <v>0</v>
      </c>
      <c r="N47" s="295">
        <v>0</v>
      </c>
      <c r="O47" s="295">
        <v>0</v>
      </c>
      <c r="P47" s="295">
        <v>0</v>
      </c>
      <c r="Q47" s="295">
        <v>0</v>
      </c>
      <c r="R47" s="295">
        <v>0</v>
      </c>
      <c r="S47" s="295">
        <v>0</v>
      </c>
      <c r="T47" s="295">
        <v>0</v>
      </c>
      <c r="U47" s="295">
        <v>32</v>
      </c>
      <c r="V47" s="295">
        <v>362</v>
      </c>
      <c r="W47" s="295">
        <v>0</v>
      </c>
      <c r="X47" s="295">
        <v>0</v>
      </c>
      <c r="Y47" s="295">
        <v>0</v>
      </c>
      <c r="Z47" s="295">
        <v>0</v>
      </c>
      <c r="AA47" s="295">
        <v>0</v>
      </c>
      <c r="AB47" s="295">
        <v>0</v>
      </c>
      <c r="AC47" s="295">
        <v>0</v>
      </c>
      <c r="AD47" s="295">
        <v>0</v>
      </c>
      <c r="AE47" s="295">
        <v>0</v>
      </c>
      <c r="AF47" s="295">
        <v>0</v>
      </c>
      <c r="AG47" s="295">
        <v>0</v>
      </c>
    </row>
    <row r="48" spans="2:33">
      <c r="B48" s="265" t="s">
        <v>316</v>
      </c>
      <c r="C48" s="265" t="s">
        <v>4558</v>
      </c>
      <c r="D48" s="265" t="s">
        <v>4972</v>
      </c>
      <c r="E48" s="269" t="s">
        <v>4973</v>
      </c>
      <c r="F48" s="265" t="s">
        <v>277</v>
      </c>
      <c r="G48" s="295">
        <v>282</v>
      </c>
      <c r="H48" s="295">
        <v>3</v>
      </c>
      <c r="I48" s="295">
        <v>2</v>
      </c>
      <c r="J48" s="295">
        <v>28</v>
      </c>
      <c r="K48" s="295">
        <v>22</v>
      </c>
      <c r="L48" s="295">
        <v>0</v>
      </c>
      <c r="M48" s="295">
        <v>0</v>
      </c>
      <c r="N48" s="295">
        <v>0</v>
      </c>
      <c r="O48" s="295">
        <v>1</v>
      </c>
      <c r="P48" s="295">
        <v>0</v>
      </c>
      <c r="Q48" s="295">
        <v>0</v>
      </c>
      <c r="R48" s="295">
        <v>0</v>
      </c>
      <c r="S48" s="295">
        <v>135</v>
      </c>
      <c r="T48" s="295">
        <v>1</v>
      </c>
      <c r="U48" s="295">
        <v>26</v>
      </c>
      <c r="V48" s="295">
        <v>0</v>
      </c>
      <c r="W48" s="295">
        <v>0</v>
      </c>
      <c r="X48" s="295">
        <v>0</v>
      </c>
      <c r="Y48" s="295">
        <v>0</v>
      </c>
      <c r="Z48" s="295">
        <v>0</v>
      </c>
      <c r="AA48" s="295">
        <v>0</v>
      </c>
      <c r="AB48" s="295">
        <v>0</v>
      </c>
      <c r="AC48" s="295">
        <v>1</v>
      </c>
      <c r="AD48" s="295">
        <v>63</v>
      </c>
      <c r="AE48" s="295">
        <v>0</v>
      </c>
      <c r="AF48" s="295">
        <v>0</v>
      </c>
      <c r="AG48" s="295">
        <v>0</v>
      </c>
    </row>
    <row r="49" spans="1:33">
      <c r="B49" s="265" t="s">
        <v>317</v>
      </c>
      <c r="C49" s="265" t="s">
        <v>147</v>
      </c>
      <c r="D49" s="265" t="s">
        <v>5124</v>
      </c>
      <c r="E49" s="269" t="s">
        <v>5085</v>
      </c>
      <c r="F49" s="265" t="s">
        <v>277</v>
      </c>
      <c r="G49" s="295">
        <v>736</v>
      </c>
      <c r="H49" s="295">
        <v>1</v>
      </c>
      <c r="I49" s="295">
        <v>64</v>
      </c>
      <c r="J49" s="295">
        <v>39</v>
      </c>
      <c r="K49" s="295">
        <v>62</v>
      </c>
      <c r="L49" s="295">
        <v>0</v>
      </c>
      <c r="M49" s="295">
        <v>0</v>
      </c>
      <c r="N49" s="295">
        <v>0</v>
      </c>
      <c r="O49" s="295">
        <v>0</v>
      </c>
      <c r="P49" s="295">
        <v>3</v>
      </c>
      <c r="Q49" s="295">
        <v>0</v>
      </c>
      <c r="R49" s="295">
        <v>22</v>
      </c>
      <c r="S49" s="295">
        <v>70</v>
      </c>
      <c r="T49" s="295">
        <v>0</v>
      </c>
      <c r="U49" s="295">
        <v>8</v>
      </c>
      <c r="V49" s="295">
        <v>116</v>
      </c>
      <c r="W49" s="295">
        <v>0</v>
      </c>
      <c r="X49" s="295">
        <v>2</v>
      </c>
      <c r="Y49" s="295">
        <v>123</v>
      </c>
      <c r="Z49" s="295">
        <v>51</v>
      </c>
      <c r="AA49" s="295">
        <v>7</v>
      </c>
      <c r="AB49" s="295">
        <v>0</v>
      </c>
      <c r="AC49" s="295">
        <v>0</v>
      </c>
      <c r="AD49" s="295">
        <v>162</v>
      </c>
      <c r="AE49" s="295">
        <v>6</v>
      </c>
      <c r="AF49" s="295">
        <v>0</v>
      </c>
      <c r="AG49" s="295">
        <v>0</v>
      </c>
    </row>
    <row r="50" spans="1:33">
      <c r="B50" s="265" t="s">
        <v>318</v>
      </c>
      <c r="C50" s="265" t="s">
        <v>4996</v>
      </c>
      <c r="D50" s="265" t="s">
        <v>5127</v>
      </c>
      <c r="E50" s="269" t="s">
        <v>5081</v>
      </c>
      <c r="F50" s="265" t="s">
        <v>277</v>
      </c>
      <c r="G50" s="295">
        <v>19</v>
      </c>
      <c r="H50" s="295">
        <v>0</v>
      </c>
      <c r="I50" s="295">
        <v>0</v>
      </c>
      <c r="J50" s="295">
        <v>1</v>
      </c>
      <c r="K50" s="295">
        <v>4</v>
      </c>
      <c r="L50" s="295">
        <v>0</v>
      </c>
      <c r="M50" s="295">
        <v>0</v>
      </c>
      <c r="N50" s="295">
        <v>0</v>
      </c>
      <c r="O50" s="295">
        <v>0</v>
      </c>
      <c r="P50" s="295">
        <v>0</v>
      </c>
      <c r="Q50" s="295">
        <v>0</v>
      </c>
      <c r="R50" s="295">
        <v>5</v>
      </c>
      <c r="S50" s="295">
        <v>6</v>
      </c>
      <c r="T50" s="295">
        <v>0</v>
      </c>
      <c r="U50" s="295">
        <v>3</v>
      </c>
      <c r="V50" s="295">
        <v>0</v>
      </c>
      <c r="W50" s="295">
        <v>0</v>
      </c>
      <c r="X50" s="295">
        <v>0</v>
      </c>
      <c r="Y50" s="295">
        <v>0</v>
      </c>
      <c r="Z50" s="295">
        <v>0</v>
      </c>
      <c r="AA50" s="295">
        <v>0</v>
      </c>
      <c r="AB50" s="295">
        <v>0</v>
      </c>
      <c r="AC50" s="295">
        <v>0</v>
      </c>
      <c r="AD50" s="295">
        <v>0</v>
      </c>
      <c r="AE50" s="295">
        <v>0</v>
      </c>
      <c r="AF50" s="295">
        <v>0</v>
      </c>
      <c r="AG50" s="295">
        <v>0</v>
      </c>
    </row>
    <row r="51" spans="1:33">
      <c r="B51" s="265" t="s">
        <v>321</v>
      </c>
      <c r="C51" s="265" t="s">
        <v>125</v>
      </c>
      <c r="D51" s="265" t="s">
        <v>5134</v>
      </c>
      <c r="E51" s="269" t="s">
        <v>5101</v>
      </c>
      <c r="F51" s="265" t="s">
        <v>277</v>
      </c>
      <c r="G51" s="295">
        <v>51</v>
      </c>
      <c r="H51" s="295">
        <v>0</v>
      </c>
      <c r="I51" s="295">
        <v>0</v>
      </c>
      <c r="J51" s="295">
        <v>0</v>
      </c>
      <c r="K51" s="295">
        <v>0</v>
      </c>
      <c r="L51" s="295">
        <v>0</v>
      </c>
      <c r="M51" s="295">
        <v>0</v>
      </c>
      <c r="N51" s="295">
        <v>0</v>
      </c>
      <c r="O51" s="295">
        <v>0</v>
      </c>
      <c r="P51" s="295">
        <v>0</v>
      </c>
      <c r="Q51" s="295">
        <v>0</v>
      </c>
      <c r="R51" s="295">
        <v>0</v>
      </c>
      <c r="S51" s="295">
        <v>51</v>
      </c>
      <c r="T51" s="295">
        <v>0</v>
      </c>
      <c r="U51" s="295">
        <v>0</v>
      </c>
      <c r="V51" s="295">
        <v>0</v>
      </c>
      <c r="W51" s="295">
        <v>0</v>
      </c>
      <c r="X51" s="295">
        <v>0</v>
      </c>
      <c r="Y51" s="295">
        <v>0</v>
      </c>
      <c r="Z51" s="295">
        <v>0</v>
      </c>
      <c r="AA51" s="295">
        <v>0</v>
      </c>
      <c r="AB51" s="295">
        <v>0</v>
      </c>
      <c r="AC51" s="295">
        <v>0</v>
      </c>
      <c r="AD51" s="295">
        <v>0</v>
      </c>
      <c r="AE51" s="295">
        <v>0</v>
      </c>
      <c r="AF51" s="295">
        <v>0</v>
      </c>
      <c r="AG51" s="295">
        <v>0</v>
      </c>
    </row>
    <row r="52" spans="1:33">
      <c r="B52" s="265" t="s">
        <v>323</v>
      </c>
      <c r="C52" s="265" t="s">
        <v>125</v>
      </c>
      <c r="D52" s="265" t="s">
        <v>5249</v>
      </c>
      <c r="E52" s="269" t="s">
        <v>5244</v>
      </c>
      <c r="F52" s="265" t="s">
        <v>277</v>
      </c>
      <c r="G52" s="295">
        <v>381</v>
      </c>
      <c r="H52" s="295">
        <v>0</v>
      </c>
      <c r="I52" s="295">
        <v>13</v>
      </c>
      <c r="J52" s="295">
        <v>0</v>
      </c>
      <c r="K52" s="295">
        <v>122</v>
      </c>
      <c r="L52" s="295">
        <v>0</v>
      </c>
      <c r="M52" s="295">
        <v>0</v>
      </c>
      <c r="N52" s="295">
        <v>0</v>
      </c>
      <c r="O52" s="295">
        <v>0</v>
      </c>
      <c r="P52" s="295">
        <v>28</v>
      </c>
      <c r="Q52" s="295">
        <v>0</v>
      </c>
      <c r="R52" s="295">
        <v>0</v>
      </c>
      <c r="S52" s="295">
        <v>117</v>
      </c>
      <c r="T52" s="295">
        <v>0</v>
      </c>
      <c r="U52" s="295">
        <v>0</v>
      </c>
      <c r="V52" s="295">
        <v>0</v>
      </c>
      <c r="W52" s="295">
        <v>0</v>
      </c>
      <c r="X52" s="295">
        <v>25</v>
      </c>
      <c r="Y52" s="295">
        <v>0</v>
      </c>
      <c r="Z52" s="295">
        <v>0</v>
      </c>
      <c r="AA52" s="295">
        <v>0</v>
      </c>
      <c r="AB52" s="295">
        <v>10</v>
      </c>
      <c r="AC52" s="295">
        <v>0</v>
      </c>
      <c r="AD52" s="295">
        <v>66</v>
      </c>
      <c r="AE52" s="295">
        <v>0</v>
      </c>
      <c r="AF52" s="295">
        <v>0</v>
      </c>
      <c r="AG52" s="295">
        <v>0</v>
      </c>
    </row>
    <row r="53" spans="1:33">
      <c r="B53" s="265" t="s">
        <v>325</v>
      </c>
      <c r="C53" s="265" t="s">
        <v>125</v>
      </c>
      <c r="D53" s="265" t="s">
        <v>5251</v>
      </c>
      <c r="E53" s="269" t="s">
        <v>5244</v>
      </c>
      <c r="F53" s="265" t="s">
        <v>277</v>
      </c>
      <c r="G53" s="295">
        <v>381</v>
      </c>
      <c r="H53" s="295">
        <v>0</v>
      </c>
      <c r="I53" s="295">
        <v>13</v>
      </c>
      <c r="J53" s="295">
        <v>0</v>
      </c>
      <c r="K53" s="295">
        <v>122</v>
      </c>
      <c r="L53" s="295">
        <v>0</v>
      </c>
      <c r="M53" s="295">
        <v>0</v>
      </c>
      <c r="N53" s="295">
        <v>0</v>
      </c>
      <c r="O53" s="295">
        <v>0</v>
      </c>
      <c r="P53" s="295">
        <v>28</v>
      </c>
      <c r="Q53" s="295">
        <v>0</v>
      </c>
      <c r="R53" s="295">
        <v>0</v>
      </c>
      <c r="S53" s="295">
        <v>117</v>
      </c>
      <c r="T53" s="295">
        <v>0</v>
      </c>
      <c r="U53" s="295">
        <v>0</v>
      </c>
      <c r="V53" s="295">
        <v>0</v>
      </c>
      <c r="W53" s="295">
        <v>0</v>
      </c>
      <c r="X53" s="295">
        <v>25</v>
      </c>
      <c r="Y53" s="295">
        <v>0</v>
      </c>
      <c r="Z53" s="295">
        <v>0</v>
      </c>
      <c r="AA53" s="295">
        <v>0</v>
      </c>
      <c r="AB53" s="295">
        <v>10</v>
      </c>
      <c r="AC53" s="295">
        <v>0</v>
      </c>
      <c r="AD53" s="295">
        <v>66</v>
      </c>
      <c r="AE53" s="295">
        <v>0</v>
      </c>
      <c r="AF53" s="295">
        <v>0</v>
      </c>
      <c r="AG53" s="295">
        <v>0</v>
      </c>
    </row>
    <row r="54" spans="1:33">
      <c r="B54" s="265" t="s">
        <v>327</v>
      </c>
      <c r="C54" s="265" t="s">
        <v>125</v>
      </c>
      <c r="D54" s="265" t="s">
        <v>5253</v>
      </c>
      <c r="E54" s="269" t="s">
        <v>5245</v>
      </c>
      <c r="F54" s="265" t="s">
        <v>277</v>
      </c>
      <c r="G54" s="295">
        <v>526</v>
      </c>
      <c r="H54" s="295">
        <v>0</v>
      </c>
      <c r="I54" s="295">
        <v>18</v>
      </c>
      <c r="J54" s="295">
        <v>0</v>
      </c>
      <c r="K54" s="295">
        <v>168</v>
      </c>
      <c r="L54" s="295">
        <v>0</v>
      </c>
      <c r="M54" s="295">
        <v>0</v>
      </c>
      <c r="N54" s="295">
        <v>0</v>
      </c>
      <c r="O54" s="295">
        <v>0</v>
      </c>
      <c r="P54" s="295">
        <v>39</v>
      </c>
      <c r="Q54" s="295">
        <v>0</v>
      </c>
      <c r="R54" s="295">
        <v>0</v>
      </c>
      <c r="S54" s="295">
        <v>161</v>
      </c>
      <c r="T54" s="295">
        <v>0</v>
      </c>
      <c r="U54" s="295">
        <v>0</v>
      </c>
      <c r="V54" s="295">
        <v>0</v>
      </c>
      <c r="W54" s="295">
        <v>0</v>
      </c>
      <c r="X54" s="295">
        <v>34</v>
      </c>
      <c r="Y54" s="295">
        <v>0</v>
      </c>
      <c r="Z54" s="295">
        <v>0</v>
      </c>
      <c r="AA54" s="295">
        <v>0</v>
      </c>
      <c r="AB54" s="295">
        <v>14</v>
      </c>
      <c r="AC54" s="295">
        <v>0</v>
      </c>
      <c r="AD54" s="295">
        <v>92</v>
      </c>
      <c r="AE54" s="295">
        <v>0</v>
      </c>
      <c r="AF54" s="295">
        <v>0</v>
      </c>
      <c r="AG54" s="295">
        <v>0</v>
      </c>
    </row>
    <row r="55" spans="1:33">
      <c r="B55" s="265" t="s">
        <v>329</v>
      </c>
      <c r="C55" s="265" t="s">
        <v>44</v>
      </c>
      <c r="D55" s="265" t="s">
        <v>5292</v>
      </c>
      <c r="E55" s="269" t="s">
        <v>5276</v>
      </c>
      <c r="F55" s="265" t="s">
        <v>277</v>
      </c>
      <c r="G55" s="295">
        <v>0</v>
      </c>
      <c r="H55" s="295">
        <v>0</v>
      </c>
      <c r="I55" s="295">
        <v>0</v>
      </c>
      <c r="J55" s="295">
        <v>0</v>
      </c>
      <c r="K55" s="295">
        <v>0</v>
      </c>
      <c r="L55" s="295">
        <v>0</v>
      </c>
      <c r="M55" s="295">
        <v>0</v>
      </c>
      <c r="N55" s="295">
        <v>0</v>
      </c>
      <c r="O55" s="295">
        <v>0</v>
      </c>
      <c r="P55" s="295">
        <v>0</v>
      </c>
      <c r="Q55" s="295">
        <v>0</v>
      </c>
      <c r="R55" s="295">
        <v>0</v>
      </c>
      <c r="S55" s="295">
        <v>0</v>
      </c>
      <c r="T55" s="295">
        <v>0</v>
      </c>
      <c r="U55" s="295">
        <v>0</v>
      </c>
      <c r="V55" s="295">
        <v>0</v>
      </c>
      <c r="W55" s="295">
        <v>0</v>
      </c>
      <c r="X55" s="295">
        <v>0</v>
      </c>
      <c r="Y55" s="295">
        <v>0</v>
      </c>
      <c r="Z55" s="295">
        <v>0</v>
      </c>
      <c r="AA55" s="295">
        <v>0</v>
      </c>
      <c r="AB55" s="295">
        <v>0</v>
      </c>
      <c r="AC55" s="295">
        <v>0</v>
      </c>
      <c r="AD55" s="295">
        <v>0</v>
      </c>
      <c r="AE55" s="295">
        <v>0</v>
      </c>
      <c r="AF55" s="295">
        <v>0</v>
      </c>
      <c r="AG55" s="295">
        <v>0</v>
      </c>
    </row>
    <row r="56" spans="1:33">
      <c r="B56" s="265" t="s">
        <v>331</v>
      </c>
      <c r="C56" s="265" t="s">
        <v>34</v>
      </c>
      <c r="D56" s="265" t="s">
        <v>5300</v>
      </c>
      <c r="E56" s="269" t="s">
        <v>5348</v>
      </c>
      <c r="F56" s="265" t="s">
        <v>277</v>
      </c>
      <c r="G56" s="295">
        <v>918</v>
      </c>
      <c r="H56" s="295">
        <v>30</v>
      </c>
      <c r="I56" s="295">
        <v>203</v>
      </c>
      <c r="J56" s="295">
        <v>114</v>
      </c>
      <c r="K56" s="295">
        <v>144</v>
      </c>
      <c r="L56" s="295">
        <v>1</v>
      </c>
      <c r="M56" s="295">
        <v>0</v>
      </c>
      <c r="N56" s="295">
        <v>0</v>
      </c>
      <c r="O56" s="295">
        <v>0</v>
      </c>
      <c r="P56" s="295">
        <v>2</v>
      </c>
      <c r="Q56" s="295">
        <v>0</v>
      </c>
      <c r="R56" s="295">
        <v>36</v>
      </c>
      <c r="S56" s="295">
        <v>65</v>
      </c>
      <c r="T56" s="295">
        <v>1</v>
      </c>
      <c r="U56" s="295">
        <v>56</v>
      </c>
      <c r="V56" s="295">
        <v>0</v>
      </c>
      <c r="W56" s="295">
        <v>13</v>
      </c>
      <c r="X56" s="295">
        <v>0</v>
      </c>
      <c r="Y56" s="295">
        <v>38</v>
      </c>
      <c r="Z56" s="295">
        <v>0</v>
      </c>
      <c r="AA56" s="295">
        <v>1</v>
      </c>
      <c r="AB56" s="295">
        <v>6</v>
      </c>
      <c r="AC56" s="295">
        <v>84</v>
      </c>
      <c r="AD56" s="295">
        <v>122</v>
      </c>
      <c r="AE56" s="295">
        <v>1</v>
      </c>
      <c r="AF56" s="295">
        <v>0</v>
      </c>
      <c r="AG56" s="295">
        <v>1</v>
      </c>
    </row>
    <row r="57" spans="1:33">
      <c r="B57" s="265" t="s">
        <v>333</v>
      </c>
      <c r="C57" s="265" t="s">
        <v>147</v>
      </c>
      <c r="D57" s="265" t="s">
        <v>5354</v>
      </c>
      <c r="E57" s="269" t="s">
        <v>5818</v>
      </c>
      <c r="F57" s="265" t="s">
        <v>277</v>
      </c>
      <c r="G57" s="295">
        <v>108</v>
      </c>
      <c r="H57" s="295">
        <v>0</v>
      </c>
      <c r="I57" s="295">
        <v>0</v>
      </c>
      <c r="J57" s="295">
        <v>48</v>
      </c>
      <c r="K57" s="295">
        <v>8</v>
      </c>
      <c r="L57" s="295">
        <v>0</v>
      </c>
      <c r="M57" s="295">
        <v>0</v>
      </c>
      <c r="N57" s="295">
        <v>0</v>
      </c>
      <c r="O57" s="295">
        <v>0</v>
      </c>
      <c r="P57" s="295">
        <v>0</v>
      </c>
      <c r="Q57" s="295">
        <v>11</v>
      </c>
      <c r="R57" s="295">
        <v>17</v>
      </c>
      <c r="S57" s="295">
        <v>23</v>
      </c>
      <c r="T57" s="295">
        <v>0</v>
      </c>
      <c r="U57" s="295">
        <v>1</v>
      </c>
      <c r="V57" s="295">
        <v>0</v>
      </c>
      <c r="W57" s="295">
        <v>0</v>
      </c>
      <c r="X57" s="295">
        <v>0</v>
      </c>
      <c r="Y57" s="295">
        <v>0</v>
      </c>
      <c r="Z57" s="295">
        <v>0</v>
      </c>
      <c r="AA57" s="295">
        <v>0</v>
      </c>
      <c r="AB57" s="295">
        <v>0</v>
      </c>
      <c r="AC57" s="295">
        <v>0</v>
      </c>
      <c r="AD57" s="295">
        <v>0</v>
      </c>
      <c r="AE57" s="295">
        <v>0</v>
      </c>
      <c r="AF57" s="295">
        <v>0</v>
      </c>
      <c r="AG57" s="295">
        <v>0</v>
      </c>
    </row>
    <row r="58" spans="1:33">
      <c r="B58" s="265" t="s">
        <v>335</v>
      </c>
      <c r="C58" s="265" t="s">
        <v>147</v>
      </c>
      <c r="D58" s="265" t="s">
        <v>5498</v>
      </c>
      <c r="E58" s="269" t="s">
        <v>5426</v>
      </c>
      <c r="F58" s="265" t="s">
        <v>277</v>
      </c>
      <c r="G58" s="295">
        <v>90</v>
      </c>
      <c r="H58" s="295">
        <v>0</v>
      </c>
      <c r="I58" s="295">
        <v>12</v>
      </c>
      <c r="J58" s="295">
        <v>4</v>
      </c>
      <c r="K58" s="295">
        <v>6</v>
      </c>
      <c r="L58" s="295">
        <v>0</v>
      </c>
      <c r="M58" s="295">
        <v>0</v>
      </c>
      <c r="N58" s="295">
        <v>0</v>
      </c>
      <c r="O58" s="295">
        <v>0</v>
      </c>
      <c r="P58" s="295">
        <v>1</v>
      </c>
      <c r="Q58" s="295">
        <v>0</v>
      </c>
      <c r="R58" s="295">
        <v>8</v>
      </c>
      <c r="S58" s="295">
        <v>25</v>
      </c>
      <c r="T58" s="295">
        <v>0</v>
      </c>
      <c r="U58" s="295">
        <v>6</v>
      </c>
      <c r="V58" s="295">
        <v>0</v>
      </c>
      <c r="W58" s="295">
        <v>0</v>
      </c>
      <c r="X58" s="295">
        <v>0</v>
      </c>
      <c r="Y58" s="295">
        <v>11</v>
      </c>
      <c r="Z58" s="295">
        <v>5</v>
      </c>
      <c r="AA58" s="295">
        <v>1</v>
      </c>
      <c r="AB58" s="295">
        <v>2</v>
      </c>
      <c r="AC58" s="295">
        <v>0</v>
      </c>
      <c r="AD58" s="295">
        <v>7</v>
      </c>
      <c r="AE58" s="295">
        <v>0</v>
      </c>
      <c r="AF58" s="295">
        <v>1</v>
      </c>
      <c r="AG58" s="295">
        <v>1</v>
      </c>
    </row>
    <row r="59" spans="1:33">
      <c r="B59" s="265" t="s">
        <v>337</v>
      </c>
      <c r="C59" s="265" t="s">
        <v>147</v>
      </c>
      <c r="D59" s="265" t="s">
        <v>5491</v>
      </c>
      <c r="E59" s="269" t="s">
        <v>5435</v>
      </c>
      <c r="F59" s="265" t="s">
        <v>277</v>
      </c>
      <c r="G59" s="295">
        <v>14</v>
      </c>
      <c r="H59" s="295">
        <v>0</v>
      </c>
      <c r="I59" s="295">
        <v>0</v>
      </c>
      <c r="J59" s="295">
        <v>0</v>
      </c>
      <c r="K59" s="295">
        <v>0</v>
      </c>
      <c r="L59" s="295">
        <v>0</v>
      </c>
      <c r="M59" s="295">
        <v>0</v>
      </c>
      <c r="N59" s="295">
        <v>0</v>
      </c>
      <c r="O59" s="295">
        <v>0</v>
      </c>
      <c r="P59" s="295">
        <v>0</v>
      </c>
      <c r="Q59" s="295">
        <v>0</v>
      </c>
      <c r="R59" s="295">
        <v>4</v>
      </c>
      <c r="S59" s="295">
        <v>10</v>
      </c>
      <c r="T59" s="295">
        <v>0</v>
      </c>
      <c r="U59" s="295">
        <v>0</v>
      </c>
      <c r="V59" s="295">
        <v>0</v>
      </c>
      <c r="W59" s="295">
        <v>0</v>
      </c>
      <c r="X59" s="295">
        <v>0</v>
      </c>
      <c r="Y59" s="295">
        <v>0</v>
      </c>
      <c r="Z59" s="295">
        <v>0</v>
      </c>
      <c r="AA59" s="295">
        <v>0</v>
      </c>
      <c r="AB59" s="295">
        <v>0</v>
      </c>
      <c r="AC59" s="295">
        <v>0</v>
      </c>
      <c r="AD59" s="295">
        <v>0</v>
      </c>
      <c r="AE59" s="295">
        <v>0</v>
      </c>
      <c r="AF59" s="295">
        <v>0</v>
      </c>
      <c r="AG59" s="295">
        <v>0</v>
      </c>
    </row>
    <row r="60" spans="1:33">
      <c r="B60" s="265" t="s">
        <v>339</v>
      </c>
      <c r="C60" s="265" t="s">
        <v>147</v>
      </c>
      <c r="D60" s="265" t="s">
        <v>5852</v>
      </c>
      <c r="E60" s="269" t="s">
        <v>5823</v>
      </c>
      <c r="F60" s="265" t="s">
        <v>277</v>
      </c>
      <c r="G60" s="295">
        <v>4026</v>
      </c>
      <c r="H60" s="295">
        <v>5</v>
      </c>
      <c r="I60" s="295">
        <v>783</v>
      </c>
      <c r="J60" s="295">
        <v>97</v>
      </c>
      <c r="K60" s="295">
        <v>169</v>
      </c>
      <c r="L60" s="295">
        <v>0</v>
      </c>
      <c r="M60" s="295">
        <v>0</v>
      </c>
      <c r="N60" s="295">
        <v>0</v>
      </c>
      <c r="O60" s="295">
        <v>0</v>
      </c>
      <c r="P60" s="295">
        <v>74</v>
      </c>
      <c r="Q60" s="295">
        <v>0</v>
      </c>
      <c r="R60" s="295">
        <v>180</v>
      </c>
      <c r="S60" s="295">
        <v>370</v>
      </c>
      <c r="T60" s="295">
        <v>0</v>
      </c>
      <c r="U60" s="295">
        <v>113</v>
      </c>
      <c r="V60" s="295">
        <v>0</v>
      </c>
      <c r="W60" s="295">
        <v>569</v>
      </c>
      <c r="X60" s="295">
        <v>0</v>
      </c>
      <c r="Y60" s="295">
        <v>227</v>
      </c>
      <c r="Z60" s="295">
        <v>0</v>
      </c>
      <c r="AA60" s="295">
        <v>0</v>
      </c>
      <c r="AB60" s="295">
        <v>78</v>
      </c>
      <c r="AC60" s="295">
        <v>1320</v>
      </c>
      <c r="AD60" s="295">
        <v>0</v>
      </c>
      <c r="AE60" s="295">
        <v>0</v>
      </c>
      <c r="AF60" s="295">
        <v>6</v>
      </c>
      <c r="AG60" s="295">
        <v>35</v>
      </c>
    </row>
    <row r="61" spans="1:33">
      <c r="A61" s="296" t="s">
        <v>319</v>
      </c>
      <c r="B61" s="297" t="s">
        <v>320</v>
      </c>
      <c r="G61" s="295">
        <v>31561</v>
      </c>
      <c r="H61" s="295">
        <v>136</v>
      </c>
      <c r="I61" s="295">
        <v>2084</v>
      </c>
      <c r="J61" s="295">
        <v>2589</v>
      </c>
      <c r="K61" s="295">
        <v>5812</v>
      </c>
      <c r="L61" s="295">
        <v>153</v>
      </c>
      <c r="M61" s="295">
        <v>0</v>
      </c>
      <c r="N61" s="295">
        <v>14</v>
      </c>
      <c r="O61" s="295">
        <v>1</v>
      </c>
      <c r="P61" s="295">
        <v>298</v>
      </c>
      <c r="Q61" s="295">
        <v>278</v>
      </c>
      <c r="R61" s="295">
        <v>716</v>
      </c>
      <c r="S61" s="295">
        <v>4303</v>
      </c>
      <c r="T61" s="295">
        <v>33</v>
      </c>
      <c r="U61" s="295">
        <v>734</v>
      </c>
      <c r="V61" s="295">
        <v>788</v>
      </c>
      <c r="W61" s="295">
        <v>594</v>
      </c>
      <c r="X61" s="295">
        <v>250</v>
      </c>
      <c r="Y61" s="295">
        <v>1320</v>
      </c>
      <c r="Z61" s="295">
        <v>86</v>
      </c>
      <c r="AA61" s="295">
        <v>78</v>
      </c>
      <c r="AB61" s="295">
        <v>180</v>
      </c>
      <c r="AC61" s="295">
        <v>2273</v>
      </c>
      <c r="AD61" s="295">
        <v>6765</v>
      </c>
      <c r="AE61" s="295">
        <v>2023</v>
      </c>
      <c r="AF61" s="295">
        <v>12</v>
      </c>
      <c r="AG61" s="295">
        <v>41</v>
      </c>
    </row>
    <row r="62" spans="1:33">
      <c r="B62" s="265" t="s">
        <v>341</v>
      </c>
      <c r="C62" s="265" t="s">
        <v>147</v>
      </c>
      <c r="D62" s="265" t="s">
        <v>322</v>
      </c>
      <c r="E62" s="269" t="s">
        <v>5096</v>
      </c>
      <c r="F62" s="265" t="s">
        <v>65</v>
      </c>
      <c r="G62" s="295">
        <v>362</v>
      </c>
      <c r="H62" s="295">
        <v>5</v>
      </c>
      <c r="I62" s="295">
        <v>27</v>
      </c>
      <c r="J62" s="295">
        <v>113</v>
      </c>
      <c r="K62" s="295">
        <v>40</v>
      </c>
      <c r="L62" s="295">
        <v>0</v>
      </c>
      <c r="M62" s="295">
        <v>0</v>
      </c>
      <c r="N62" s="295">
        <v>0</v>
      </c>
      <c r="O62" s="295">
        <v>0</v>
      </c>
      <c r="P62" s="295">
        <v>2</v>
      </c>
      <c r="Q62" s="295">
        <v>1</v>
      </c>
      <c r="R62" s="295">
        <v>18</v>
      </c>
      <c r="S62" s="295">
        <v>66</v>
      </c>
      <c r="T62" s="295">
        <v>0</v>
      </c>
      <c r="U62" s="295">
        <v>10</v>
      </c>
      <c r="V62" s="295">
        <v>0</v>
      </c>
      <c r="W62" s="295">
        <v>1</v>
      </c>
      <c r="X62" s="295">
        <v>0</v>
      </c>
      <c r="Y62" s="295">
        <v>46</v>
      </c>
      <c r="Z62" s="295">
        <v>0</v>
      </c>
      <c r="AA62" s="295">
        <v>5</v>
      </c>
      <c r="AB62" s="295">
        <v>2</v>
      </c>
      <c r="AC62" s="295">
        <v>7</v>
      </c>
      <c r="AD62" s="295">
        <v>17</v>
      </c>
      <c r="AE62" s="295">
        <v>2</v>
      </c>
      <c r="AF62" s="295">
        <v>0</v>
      </c>
      <c r="AG62" s="295">
        <v>0</v>
      </c>
    </row>
    <row r="63" spans="1:33">
      <c r="B63" s="265" t="s">
        <v>343</v>
      </c>
      <c r="C63" s="265" t="s">
        <v>147</v>
      </c>
      <c r="D63" s="265" t="s">
        <v>324</v>
      </c>
      <c r="E63" s="269" t="s">
        <v>5088</v>
      </c>
      <c r="F63" s="265" t="s">
        <v>65</v>
      </c>
      <c r="G63" s="295">
        <v>272</v>
      </c>
      <c r="H63" s="295">
        <v>2</v>
      </c>
      <c r="I63" s="295">
        <v>36</v>
      </c>
      <c r="J63" s="295">
        <v>31</v>
      </c>
      <c r="K63" s="295">
        <v>18</v>
      </c>
      <c r="L63" s="295">
        <v>0</v>
      </c>
      <c r="M63" s="295">
        <v>0</v>
      </c>
      <c r="N63" s="295">
        <v>0</v>
      </c>
      <c r="O63" s="295">
        <v>0</v>
      </c>
      <c r="P63" s="295">
        <v>1</v>
      </c>
      <c r="Q63" s="295">
        <v>0</v>
      </c>
      <c r="R63" s="295">
        <v>15</v>
      </c>
      <c r="S63" s="295">
        <v>44</v>
      </c>
      <c r="T63" s="295">
        <v>0</v>
      </c>
      <c r="U63" s="295">
        <v>6</v>
      </c>
      <c r="V63" s="295">
        <v>0</v>
      </c>
      <c r="W63" s="295">
        <v>0</v>
      </c>
      <c r="X63" s="295">
        <v>0</v>
      </c>
      <c r="Y63" s="295">
        <v>0</v>
      </c>
      <c r="Z63" s="295">
        <v>0</v>
      </c>
      <c r="AA63" s="295">
        <v>0</v>
      </c>
      <c r="AB63" s="295">
        <v>1</v>
      </c>
      <c r="AC63" s="295">
        <v>0</v>
      </c>
      <c r="AD63" s="295">
        <v>115</v>
      </c>
      <c r="AE63" s="295">
        <v>3</v>
      </c>
      <c r="AF63" s="295">
        <v>0</v>
      </c>
      <c r="AG63" s="295">
        <v>0</v>
      </c>
    </row>
    <row r="64" spans="1:33">
      <c r="B64" s="265" t="s">
        <v>344</v>
      </c>
      <c r="C64" s="265" t="s">
        <v>147</v>
      </c>
      <c r="D64" s="265" t="s">
        <v>326</v>
      </c>
      <c r="E64" s="269" t="s">
        <v>5089</v>
      </c>
      <c r="F64" s="265" t="s">
        <v>65</v>
      </c>
      <c r="G64" s="295">
        <v>46</v>
      </c>
      <c r="H64" s="295">
        <v>0</v>
      </c>
      <c r="I64" s="295">
        <v>2</v>
      </c>
      <c r="J64" s="295">
        <v>3</v>
      </c>
      <c r="K64" s="295">
        <v>4</v>
      </c>
      <c r="L64" s="295">
        <v>0</v>
      </c>
      <c r="M64" s="295">
        <v>0</v>
      </c>
      <c r="N64" s="295">
        <v>0</v>
      </c>
      <c r="O64" s="295">
        <v>0</v>
      </c>
      <c r="P64" s="295">
        <v>1</v>
      </c>
      <c r="Q64" s="295">
        <v>0</v>
      </c>
      <c r="R64" s="295">
        <v>1</v>
      </c>
      <c r="S64" s="295">
        <v>25</v>
      </c>
      <c r="T64" s="295">
        <v>0</v>
      </c>
      <c r="U64" s="295">
        <v>0</v>
      </c>
      <c r="V64" s="295">
        <v>0</v>
      </c>
      <c r="W64" s="295">
        <v>0</v>
      </c>
      <c r="X64" s="295">
        <v>0</v>
      </c>
      <c r="Y64" s="295">
        <v>2</v>
      </c>
      <c r="Z64" s="295">
        <v>0</v>
      </c>
      <c r="AA64" s="295">
        <v>0</v>
      </c>
      <c r="AB64" s="295">
        <v>1</v>
      </c>
      <c r="AC64" s="295">
        <v>0</v>
      </c>
      <c r="AD64" s="295">
        <v>5</v>
      </c>
      <c r="AE64" s="295">
        <v>2</v>
      </c>
      <c r="AF64" s="295">
        <v>0</v>
      </c>
      <c r="AG64" s="295">
        <v>0</v>
      </c>
    </row>
    <row r="65" spans="2:33">
      <c r="B65" s="265" t="s">
        <v>345</v>
      </c>
      <c r="C65" s="265" t="s">
        <v>147</v>
      </c>
      <c r="D65" s="265" t="s">
        <v>328</v>
      </c>
      <c r="E65" s="269" t="s">
        <v>5091</v>
      </c>
      <c r="F65" s="265" t="s">
        <v>65</v>
      </c>
      <c r="G65" s="295">
        <v>273</v>
      </c>
      <c r="H65" s="295">
        <v>10</v>
      </c>
      <c r="I65" s="295">
        <v>20</v>
      </c>
      <c r="J65" s="295">
        <v>40</v>
      </c>
      <c r="K65" s="295">
        <v>33</v>
      </c>
      <c r="L65" s="295">
        <v>0</v>
      </c>
      <c r="M65" s="295">
        <v>0</v>
      </c>
      <c r="N65" s="295">
        <v>0</v>
      </c>
      <c r="O65" s="295">
        <v>0</v>
      </c>
      <c r="P65" s="295">
        <v>2</v>
      </c>
      <c r="Q65" s="295">
        <v>2</v>
      </c>
      <c r="R65" s="295">
        <v>2</v>
      </c>
      <c r="S65" s="295">
        <v>31</v>
      </c>
      <c r="T65" s="295">
        <v>0</v>
      </c>
      <c r="U65" s="295">
        <v>3</v>
      </c>
      <c r="V65" s="295">
        <v>0</v>
      </c>
      <c r="W65" s="295">
        <v>0</v>
      </c>
      <c r="X65" s="295">
        <v>0</v>
      </c>
      <c r="Y65" s="295">
        <v>72</v>
      </c>
      <c r="Z65" s="295">
        <v>13</v>
      </c>
      <c r="AA65" s="295">
        <v>3</v>
      </c>
      <c r="AB65" s="295">
        <v>1</v>
      </c>
      <c r="AC65" s="295">
        <v>26</v>
      </c>
      <c r="AD65" s="295">
        <v>13</v>
      </c>
      <c r="AE65" s="295">
        <v>2</v>
      </c>
      <c r="AF65" s="295">
        <v>0</v>
      </c>
      <c r="AG65" s="295">
        <v>0</v>
      </c>
    </row>
    <row r="66" spans="2:33">
      <c r="B66" s="265" t="s">
        <v>346</v>
      </c>
      <c r="C66" s="265" t="s">
        <v>147</v>
      </c>
      <c r="D66" s="265" t="s">
        <v>330</v>
      </c>
      <c r="E66" s="269" t="s">
        <v>5092</v>
      </c>
      <c r="F66" s="265" t="s">
        <v>65</v>
      </c>
      <c r="G66" s="295">
        <v>63</v>
      </c>
      <c r="H66" s="295">
        <v>0</v>
      </c>
      <c r="I66" s="295">
        <v>0</v>
      </c>
      <c r="J66" s="295">
        <v>4</v>
      </c>
      <c r="K66" s="295">
        <v>2</v>
      </c>
      <c r="L66" s="295">
        <v>0</v>
      </c>
      <c r="M66" s="295">
        <v>0</v>
      </c>
      <c r="N66" s="295">
        <v>0</v>
      </c>
      <c r="O66" s="295">
        <v>0</v>
      </c>
      <c r="P66" s="295">
        <v>1</v>
      </c>
      <c r="Q66" s="295">
        <v>1</v>
      </c>
      <c r="R66" s="295">
        <v>3</v>
      </c>
      <c r="S66" s="295">
        <v>35</v>
      </c>
      <c r="T66" s="295">
        <v>0</v>
      </c>
      <c r="U66" s="295">
        <v>3</v>
      </c>
      <c r="V66" s="295">
        <v>0</v>
      </c>
      <c r="W66" s="295">
        <v>0</v>
      </c>
      <c r="X66" s="295">
        <v>0</v>
      </c>
      <c r="Y66" s="295">
        <v>10</v>
      </c>
      <c r="Z66" s="295">
        <v>0</v>
      </c>
      <c r="AA66" s="295">
        <v>1</v>
      </c>
      <c r="AB66" s="295">
        <v>1</v>
      </c>
      <c r="AC66" s="295">
        <v>0</v>
      </c>
      <c r="AD66" s="295">
        <v>0</v>
      </c>
      <c r="AE66" s="295">
        <v>2</v>
      </c>
      <c r="AF66" s="295">
        <v>0</v>
      </c>
      <c r="AG66" s="295">
        <v>0</v>
      </c>
    </row>
    <row r="67" spans="2:33">
      <c r="B67" s="265" t="s">
        <v>347</v>
      </c>
      <c r="C67" s="265" t="s">
        <v>147</v>
      </c>
      <c r="D67" s="265" t="s">
        <v>332</v>
      </c>
      <c r="E67" s="269" t="s">
        <v>5093</v>
      </c>
      <c r="F67" s="265" t="s">
        <v>65</v>
      </c>
      <c r="G67" s="295">
        <v>23</v>
      </c>
      <c r="H67" s="295">
        <v>0</v>
      </c>
      <c r="I67" s="295">
        <v>1</v>
      </c>
      <c r="J67" s="295">
        <v>0</v>
      </c>
      <c r="K67" s="295">
        <v>1</v>
      </c>
      <c r="L67" s="295">
        <v>0</v>
      </c>
      <c r="M67" s="295">
        <v>0</v>
      </c>
      <c r="N67" s="295">
        <v>0</v>
      </c>
      <c r="O67" s="295">
        <v>0</v>
      </c>
      <c r="P67" s="295">
        <v>3</v>
      </c>
      <c r="Q67" s="295">
        <v>6</v>
      </c>
      <c r="R67" s="295">
        <v>0</v>
      </c>
      <c r="S67" s="295">
        <v>7</v>
      </c>
      <c r="T67" s="295">
        <v>3</v>
      </c>
      <c r="U67" s="295">
        <v>0</v>
      </c>
      <c r="V67" s="295">
        <v>0</v>
      </c>
      <c r="W67" s="295">
        <v>0</v>
      </c>
      <c r="X67" s="295">
        <v>0</v>
      </c>
      <c r="Y67" s="295">
        <v>1</v>
      </c>
      <c r="Z67" s="295">
        <v>0</v>
      </c>
      <c r="AA67" s="295">
        <v>0</v>
      </c>
      <c r="AB67" s="295">
        <v>0</v>
      </c>
      <c r="AC67" s="295">
        <v>1</v>
      </c>
      <c r="AD67" s="295">
        <v>0</v>
      </c>
      <c r="AE67" s="295">
        <v>0</v>
      </c>
      <c r="AF67" s="295">
        <v>0</v>
      </c>
      <c r="AG67" s="295">
        <v>0</v>
      </c>
    </row>
    <row r="68" spans="2:33">
      <c r="B68" s="265" t="s">
        <v>348</v>
      </c>
      <c r="C68" s="265" t="s">
        <v>147</v>
      </c>
      <c r="D68" s="265" t="s">
        <v>334</v>
      </c>
      <c r="E68" s="269" t="s">
        <v>5094</v>
      </c>
      <c r="F68" s="265" t="s">
        <v>65</v>
      </c>
      <c r="G68" s="295">
        <v>11</v>
      </c>
      <c r="H68" s="295">
        <v>0</v>
      </c>
      <c r="I68" s="295">
        <v>4</v>
      </c>
      <c r="J68" s="295">
        <v>1</v>
      </c>
      <c r="K68" s="295">
        <v>2</v>
      </c>
      <c r="L68" s="295">
        <v>0</v>
      </c>
      <c r="M68" s="295">
        <v>0</v>
      </c>
      <c r="N68" s="295">
        <v>0</v>
      </c>
      <c r="O68" s="295">
        <v>0</v>
      </c>
      <c r="P68" s="295">
        <v>1</v>
      </c>
      <c r="Q68" s="295">
        <v>0</v>
      </c>
      <c r="R68" s="295">
        <v>0</v>
      </c>
      <c r="S68" s="295">
        <v>0</v>
      </c>
      <c r="T68" s="295">
        <v>0</v>
      </c>
      <c r="U68" s="295">
        <v>0</v>
      </c>
      <c r="V68" s="295">
        <v>0</v>
      </c>
      <c r="W68" s="295">
        <v>0</v>
      </c>
      <c r="X68" s="295">
        <v>0</v>
      </c>
      <c r="Y68" s="295">
        <v>2</v>
      </c>
      <c r="Z68" s="295">
        <v>0</v>
      </c>
      <c r="AA68" s="295">
        <v>0</v>
      </c>
      <c r="AB68" s="295">
        <v>0</v>
      </c>
      <c r="AC68" s="295">
        <v>1</v>
      </c>
      <c r="AD68" s="295">
        <v>0</v>
      </c>
      <c r="AE68" s="295">
        <v>0</v>
      </c>
      <c r="AF68" s="295">
        <v>0</v>
      </c>
      <c r="AG68" s="295">
        <v>0</v>
      </c>
    </row>
    <row r="69" spans="2:33">
      <c r="B69" s="265" t="s">
        <v>349</v>
      </c>
      <c r="C69" s="265" t="s">
        <v>147</v>
      </c>
      <c r="D69" s="265" t="s">
        <v>336</v>
      </c>
      <c r="E69" s="269" t="s">
        <v>5095</v>
      </c>
      <c r="F69" s="265" t="s">
        <v>65</v>
      </c>
      <c r="G69" s="295">
        <v>62</v>
      </c>
      <c r="H69" s="295">
        <v>1</v>
      </c>
      <c r="I69" s="295">
        <v>3</v>
      </c>
      <c r="J69" s="295">
        <v>2</v>
      </c>
      <c r="K69" s="295">
        <v>3</v>
      </c>
      <c r="L69" s="295">
        <v>0</v>
      </c>
      <c r="M69" s="295">
        <v>0</v>
      </c>
      <c r="N69" s="295">
        <v>0</v>
      </c>
      <c r="O69" s="295">
        <v>0</v>
      </c>
      <c r="P69" s="295">
        <v>4</v>
      </c>
      <c r="Q69" s="295">
        <v>0</v>
      </c>
      <c r="R69" s="295">
        <v>7</v>
      </c>
      <c r="S69" s="295">
        <v>25</v>
      </c>
      <c r="T69" s="295">
        <v>0</v>
      </c>
      <c r="U69" s="295">
        <v>4</v>
      </c>
      <c r="V69" s="295">
        <v>0</v>
      </c>
      <c r="W69" s="295">
        <v>0</v>
      </c>
      <c r="X69" s="295">
        <v>0</v>
      </c>
      <c r="Y69" s="295">
        <v>10</v>
      </c>
      <c r="Z69" s="295">
        <v>0</v>
      </c>
      <c r="AA69" s="295">
        <v>0</v>
      </c>
      <c r="AB69" s="295">
        <v>1</v>
      </c>
      <c r="AC69" s="295">
        <v>2</v>
      </c>
      <c r="AD69" s="295">
        <v>0</v>
      </c>
      <c r="AE69" s="295">
        <v>0</v>
      </c>
      <c r="AF69" s="295">
        <v>0</v>
      </c>
      <c r="AG69" s="295">
        <v>0</v>
      </c>
    </row>
    <row r="70" spans="2:33">
      <c r="B70" s="265" t="s">
        <v>350</v>
      </c>
      <c r="C70" s="265" t="s">
        <v>147</v>
      </c>
      <c r="D70" s="265" t="s">
        <v>338</v>
      </c>
      <c r="E70" s="269" t="s">
        <v>5084</v>
      </c>
      <c r="F70" s="265" t="s">
        <v>65</v>
      </c>
      <c r="G70" s="295">
        <v>99</v>
      </c>
      <c r="H70" s="295">
        <v>4</v>
      </c>
      <c r="I70" s="295">
        <v>15</v>
      </c>
      <c r="J70" s="295">
        <v>11</v>
      </c>
      <c r="K70" s="295">
        <v>16</v>
      </c>
      <c r="L70" s="295">
        <v>1</v>
      </c>
      <c r="M70" s="295">
        <v>0</v>
      </c>
      <c r="N70" s="295">
        <v>0</v>
      </c>
      <c r="O70" s="295">
        <v>0</v>
      </c>
      <c r="P70" s="295">
        <v>1</v>
      </c>
      <c r="Q70" s="295">
        <v>0</v>
      </c>
      <c r="R70" s="295">
        <v>10</v>
      </c>
      <c r="S70" s="295">
        <v>13</v>
      </c>
      <c r="T70" s="295">
        <v>0</v>
      </c>
      <c r="U70" s="295">
        <v>1</v>
      </c>
      <c r="V70" s="295">
        <v>0</v>
      </c>
      <c r="W70" s="295">
        <v>0</v>
      </c>
      <c r="X70" s="295">
        <v>0</v>
      </c>
      <c r="Y70" s="295">
        <v>1</v>
      </c>
      <c r="Z70" s="295">
        <v>0</v>
      </c>
      <c r="AA70" s="295">
        <v>0</v>
      </c>
      <c r="AB70" s="295">
        <v>0</v>
      </c>
      <c r="AC70" s="295">
        <v>13</v>
      </c>
      <c r="AD70" s="295">
        <v>13</v>
      </c>
      <c r="AE70" s="295">
        <v>0</v>
      </c>
      <c r="AF70" s="295">
        <v>0</v>
      </c>
      <c r="AG70" s="295">
        <v>0</v>
      </c>
    </row>
    <row r="71" spans="2:33">
      <c r="B71" s="265" t="s">
        <v>351</v>
      </c>
      <c r="C71" s="265" t="s">
        <v>46</v>
      </c>
      <c r="D71" s="265" t="s">
        <v>340</v>
      </c>
      <c r="E71" s="269" t="s">
        <v>143</v>
      </c>
      <c r="F71" s="265" t="s">
        <v>65</v>
      </c>
      <c r="G71" s="295">
        <v>946</v>
      </c>
      <c r="H71" s="295">
        <v>7</v>
      </c>
      <c r="I71" s="295">
        <v>125</v>
      </c>
      <c r="J71" s="295">
        <v>108</v>
      </c>
      <c r="K71" s="295">
        <v>63</v>
      </c>
      <c r="L71" s="295">
        <v>0</v>
      </c>
      <c r="M71" s="295">
        <v>0</v>
      </c>
      <c r="N71" s="295">
        <v>0</v>
      </c>
      <c r="O71" s="295">
        <v>0</v>
      </c>
      <c r="P71" s="295">
        <v>2</v>
      </c>
      <c r="Q71" s="295">
        <v>0</v>
      </c>
      <c r="R71" s="295">
        <v>52</v>
      </c>
      <c r="S71" s="295">
        <v>154</v>
      </c>
      <c r="T71" s="295">
        <v>0</v>
      </c>
      <c r="U71" s="295">
        <v>19</v>
      </c>
      <c r="V71" s="295">
        <v>0</v>
      </c>
      <c r="W71" s="295">
        <v>0</v>
      </c>
      <c r="X71" s="295">
        <v>0</v>
      </c>
      <c r="Y71" s="295">
        <v>0</v>
      </c>
      <c r="Z71" s="295">
        <v>0</v>
      </c>
      <c r="AA71" s="295">
        <v>0</v>
      </c>
      <c r="AB71" s="295">
        <v>3</v>
      </c>
      <c r="AC71" s="295">
        <v>0</v>
      </c>
      <c r="AD71" s="295">
        <v>402</v>
      </c>
      <c r="AE71" s="295">
        <v>11</v>
      </c>
      <c r="AF71" s="295">
        <v>0</v>
      </c>
      <c r="AG71" s="295">
        <v>0</v>
      </c>
    </row>
    <row r="72" spans="2:33">
      <c r="B72" s="265" t="s">
        <v>352</v>
      </c>
      <c r="C72" s="265" t="s">
        <v>46</v>
      </c>
      <c r="D72" s="265" t="s">
        <v>342</v>
      </c>
      <c r="E72" s="269" t="s">
        <v>144</v>
      </c>
      <c r="F72" s="265" t="s">
        <v>65</v>
      </c>
      <c r="G72" s="295">
        <v>959</v>
      </c>
      <c r="H72" s="295">
        <v>33</v>
      </c>
      <c r="I72" s="295">
        <v>72</v>
      </c>
      <c r="J72" s="295">
        <v>138</v>
      </c>
      <c r="K72" s="295">
        <v>115</v>
      </c>
      <c r="L72" s="295">
        <v>0</v>
      </c>
      <c r="M72" s="295">
        <v>0</v>
      </c>
      <c r="N72" s="295">
        <v>0</v>
      </c>
      <c r="O72" s="295">
        <v>0</v>
      </c>
      <c r="P72" s="295">
        <v>6</v>
      </c>
      <c r="Q72" s="295">
        <v>7</v>
      </c>
      <c r="R72" s="295">
        <v>8</v>
      </c>
      <c r="S72" s="295">
        <v>109</v>
      </c>
      <c r="T72" s="295">
        <v>1</v>
      </c>
      <c r="U72" s="295">
        <v>12</v>
      </c>
      <c r="V72" s="295">
        <v>0</v>
      </c>
      <c r="W72" s="295">
        <v>0</v>
      </c>
      <c r="X72" s="295">
        <v>0</v>
      </c>
      <c r="Y72" s="295">
        <v>252</v>
      </c>
      <c r="Z72" s="295">
        <v>46</v>
      </c>
      <c r="AA72" s="295">
        <v>12</v>
      </c>
      <c r="AB72" s="295">
        <v>2</v>
      </c>
      <c r="AC72" s="295">
        <v>92</v>
      </c>
      <c r="AD72" s="295">
        <v>45</v>
      </c>
      <c r="AE72" s="295">
        <v>9</v>
      </c>
      <c r="AF72" s="295">
        <v>0</v>
      </c>
      <c r="AG72" s="295">
        <v>0</v>
      </c>
    </row>
    <row r="73" spans="2:33">
      <c r="B73" s="265" t="s">
        <v>353</v>
      </c>
      <c r="C73" s="265" t="s">
        <v>142</v>
      </c>
      <c r="D73" s="265" t="s">
        <v>416</v>
      </c>
      <c r="E73" s="269" t="s">
        <v>5275</v>
      </c>
      <c r="F73" s="265" t="s">
        <v>65</v>
      </c>
      <c r="G73" s="295">
        <v>583</v>
      </c>
      <c r="H73" s="295">
        <v>1</v>
      </c>
      <c r="I73" s="295">
        <v>19</v>
      </c>
      <c r="J73" s="295">
        <v>51</v>
      </c>
      <c r="K73" s="295">
        <v>129</v>
      </c>
      <c r="L73" s="295">
        <v>0</v>
      </c>
      <c r="M73" s="295">
        <v>0</v>
      </c>
      <c r="N73" s="295">
        <v>0</v>
      </c>
      <c r="O73" s="295">
        <v>0</v>
      </c>
      <c r="P73" s="295">
        <v>4</v>
      </c>
      <c r="Q73" s="295">
        <v>0</v>
      </c>
      <c r="R73" s="295">
        <v>0</v>
      </c>
      <c r="S73" s="295">
        <v>7</v>
      </c>
      <c r="T73" s="295">
        <v>0</v>
      </c>
      <c r="U73" s="295">
        <v>9</v>
      </c>
      <c r="V73" s="295">
        <v>0</v>
      </c>
      <c r="W73" s="295">
        <v>0</v>
      </c>
      <c r="X73" s="295">
        <v>0</v>
      </c>
      <c r="Y73" s="295">
        <v>27</v>
      </c>
      <c r="Z73" s="295">
        <v>0</v>
      </c>
      <c r="AA73" s="295">
        <v>4</v>
      </c>
      <c r="AB73" s="295">
        <v>2</v>
      </c>
      <c r="AC73" s="295">
        <v>2</v>
      </c>
      <c r="AD73" s="295">
        <v>312</v>
      </c>
      <c r="AE73" s="295">
        <v>15</v>
      </c>
      <c r="AF73" s="295">
        <v>1</v>
      </c>
      <c r="AG73" s="295">
        <v>0</v>
      </c>
    </row>
    <row r="74" spans="2:33">
      <c r="B74" s="265" t="s">
        <v>354</v>
      </c>
      <c r="C74" s="265" t="s">
        <v>34</v>
      </c>
      <c r="D74" s="265" t="s">
        <v>418</v>
      </c>
      <c r="E74" s="269" t="s">
        <v>123</v>
      </c>
      <c r="F74" s="265" t="s">
        <v>65</v>
      </c>
      <c r="G74" s="295">
        <v>1218</v>
      </c>
      <c r="H74" s="295">
        <v>5</v>
      </c>
      <c r="I74" s="295">
        <v>83</v>
      </c>
      <c r="J74" s="295">
        <v>158</v>
      </c>
      <c r="K74" s="295">
        <v>210</v>
      </c>
      <c r="L74" s="295">
        <v>0</v>
      </c>
      <c r="M74" s="295">
        <v>0</v>
      </c>
      <c r="N74" s="295">
        <v>0</v>
      </c>
      <c r="O74" s="295">
        <v>0</v>
      </c>
      <c r="P74" s="295">
        <v>11</v>
      </c>
      <c r="Q74" s="295">
        <v>10</v>
      </c>
      <c r="R74" s="295">
        <v>10</v>
      </c>
      <c r="S74" s="295">
        <v>160</v>
      </c>
      <c r="T74" s="295">
        <v>4</v>
      </c>
      <c r="U74" s="295">
        <v>24</v>
      </c>
      <c r="V74" s="295">
        <v>3</v>
      </c>
      <c r="W74" s="295">
        <v>1</v>
      </c>
      <c r="X74" s="295">
        <v>0</v>
      </c>
      <c r="Y74" s="295">
        <v>149</v>
      </c>
      <c r="Z74" s="295">
        <v>35</v>
      </c>
      <c r="AA74" s="295">
        <v>13</v>
      </c>
      <c r="AB74" s="295">
        <v>8</v>
      </c>
      <c r="AC74" s="295">
        <v>14</v>
      </c>
      <c r="AD74" s="295">
        <v>295</v>
      </c>
      <c r="AE74" s="295">
        <v>23</v>
      </c>
      <c r="AF74" s="295">
        <v>1</v>
      </c>
      <c r="AG74" s="295">
        <v>1</v>
      </c>
    </row>
    <row r="75" spans="2:33">
      <c r="B75" s="265" t="s">
        <v>355</v>
      </c>
      <c r="C75" s="265" t="s">
        <v>125</v>
      </c>
      <c r="D75" s="265" t="s">
        <v>423</v>
      </c>
      <c r="E75" s="269" t="s">
        <v>127</v>
      </c>
      <c r="F75" s="265" t="s">
        <v>65</v>
      </c>
      <c r="G75" s="295">
        <v>2143</v>
      </c>
      <c r="H75" s="295">
        <v>12</v>
      </c>
      <c r="I75" s="295">
        <v>20</v>
      </c>
      <c r="J75" s="295">
        <v>158</v>
      </c>
      <c r="K75" s="295">
        <v>574</v>
      </c>
      <c r="L75" s="295">
        <v>0</v>
      </c>
      <c r="M75" s="295">
        <v>0</v>
      </c>
      <c r="N75" s="295">
        <v>0</v>
      </c>
      <c r="O75" s="295">
        <v>0</v>
      </c>
      <c r="P75" s="295">
        <v>8</v>
      </c>
      <c r="Q75" s="295">
        <v>0</v>
      </c>
      <c r="R75" s="295">
        <v>0</v>
      </c>
      <c r="S75" s="295">
        <v>251</v>
      </c>
      <c r="T75" s="295">
        <v>7</v>
      </c>
      <c r="U75" s="295">
        <v>2</v>
      </c>
      <c r="V75" s="295">
        <v>0</v>
      </c>
      <c r="W75" s="295">
        <v>2</v>
      </c>
      <c r="X75" s="295">
        <v>41</v>
      </c>
      <c r="Y75" s="295">
        <v>0</v>
      </c>
      <c r="Z75" s="295">
        <v>0</v>
      </c>
      <c r="AA75" s="295">
        <v>0</v>
      </c>
      <c r="AB75" s="295">
        <v>6</v>
      </c>
      <c r="AC75" s="295">
        <v>0</v>
      </c>
      <c r="AD75" s="295">
        <v>1055</v>
      </c>
      <c r="AE75" s="295">
        <v>0</v>
      </c>
      <c r="AF75" s="295">
        <v>7</v>
      </c>
      <c r="AG75" s="295">
        <v>0</v>
      </c>
    </row>
    <row r="76" spans="2:33">
      <c r="B76" s="265" t="s">
        <v>357</v>
      </c>
      <c r="C76" s="265" t="s">
        <v>125</v>
      </c>
      <c r="D76" s="265" t="s">
        <v>435</v>
      </c>
      <c r="E76" s="269" t="s">
        <v>135</v>
      </c>
      <c r="F76" s="265" t="s">
        <v>65</v>
      </c>
      <c r="G76" s="295">
        <v>212</v>
      </c>
      <c r="H76" s="295">
        <v>0</v>
      </c>
      <c r="I76" s="295">
        <v>0</v>
      </c>
      <c r="J76" s="295">
        <v>0</v>
      </c>
      <c r="K76" s="295">
        <v>42</v>
      </c>
      <c r="L76" s="295">
        <v>0</v>
      </c>
      <c r="M76" s="295">
        <v>0</v>
      </c>
      <c r="N76" s="295">
        <v>0</v>
      </c>
      <c r="O76" s="295">
        <v>0</v>
      </c>
      <c r="P76" s="295">
        <v>0</v>
      </c>
      <c r="Q76" s="295">
        <v>0</v>
      </c>
      <c r="R76" s="295">
        <v>0</v>
      </c>
      <c r="S76" s="295">
        <v>48</v>
      </c>
      <c r="T76" s="295">
        <v>0</v>
      </c>
      <c r="U76" s="295">
        <v>0</v>
      </c>
      <c r="V76" s="295">
        <v>0</v>
      </c>
      <c r="W76" s="295">
        <v>0</v>
      </c>
      <c r="X76" s="295">
        <v>1</v>
      </c>
      <c r="Y76" s="295">
        <v>0</v>
      </c>
      <c r="Z76" s="295">
        <v>0</v>
      </c>
      <c r="AA76" s="295">
        <v>0</v>
      </c>
      <c r="AB76" s="295">
        <v>0</v>
      </c>
      <c r="AC76" s="295">
        <v>0</v>
      </c>
      <c r="AD76" s="295">
        <v>121</v>
      </c>
      <c r="AE76" s="295">
        <v>0</v>
      </c>
      <c r="AF76" s="295">
        <v>0</v>
      </c>
      <c r="AG76" s="295">
        <v>0</v>
      </c>
    </row>
    <row r="77" spans="2:33">
      <c r="B77" s="265" t="s">
        <v>358</v>
      </c>
      <c r="C77" s="265" t="s">
        <v>125</v>
      </c>
      <c r="D77" s="265" t="s">
        <v>437</v>
      </c>
      <c r="E77" s="269" t="s">
        <v>136</v>
      </c>
      <c r="F77" s="265" t="s">
        <v>65</v>
      </c>
      <c r="G77" s="295">
        <v>271</v>
      </c>
      <c r="H77" s="295">
        <v>0</v>
      </c>
      <c r="I77" s="295">
        <v>0</v>
      </c>
      <c r="J77" s="295">
        <v>0</v>
      </c>
      <c r="K77" s="295">
        <v>53</v>
      </c>
      <c r="L77" s="295">
        <v>0</v>
      </c>
      <c r="M77" s="295">
        <v>0</v>
      </c>
      <c r="N77" s="295">
        <v>0</v>
      </c>
      <c r="O77" s="295">
        <v>0</v>
      </c>
      <c r="P77" s="295">
        <v>0</v>
      </c>
      <c r="Q77" s="295">
        <v>0</v>
      </c>
      <c r="R77" s="295">
        <v>0</v>
      </c>
      <c r="S77" s="295">
        <v>62</v>
      </c>
      <c r="T77" s="295">
        <v>0</v>
      </c>
      <c r="U77" s="295">
        <v>0</v>
      </c>
      <c r="V77" s="295">
        <v>0</v>
      </c>
      <c r="W77" s="295">
        <v>0</v>
      </c>
      <c r="X77" s="295">
        <v>1</v>
      </c>
      <c r="Y77" s="295">
        <v>0</v>
      </c>
      <c r="Z77" s="295">
        <v>0</v>
      </c>
      <c r="AA77" s="295">
        <v>0</v>
      </c>
      <c r="AB77" s="295">
        <v>0</v>
      </c>
      <c r="AC77" s="295">
        <v>0</v>
      </c>
      <c r="AD77" s="295">
        <v>155</v>
      </c>
      <c r="AE77" s="295">
        <v>0</v>
      </c>
      <c r="AF77" s="295">
        <v>0</v>
      </c>
      <c r="AG77" s="295">
        <v>0</v>
      </c>
    </row>
    <row r="78" spans="2:33">
      <c r="B78" s="265" t="s">
        <v>359</v>
      </c>
      <c r="C78" s="265" t="s">
        <v>39</v>
      </c>
      <c r="D78" s="265" t="s">
        <v>455</v>
      </c>
      <c r="E78" s="269" t="s">
        <v>153</v>
      </c>
      <c r="F78" s="265" t="s">
        <v>65</v>
      </c>
      <c r="G78" s="295">
        <v>272</v>
      </c>
      <c r="H78" s="295">
        <v>2</v>
      </c>
      <c r="I78" s="295">
        <v>36</v>
      </c>
      <c r="J78" s="295">
        <v>31</v>
      </c>
      <c r="K78" s="295">
        <v>18</v>
      </c>
      <c r="L78" s="295">
        <v>0</v>
      </c>
      <c r="M78" s="295">
        <v>0</v>
      </c>
      <c r="N78" s="295">
        <v>0</v>
      </c>
      <c r="O78" s="295">
        <v>0</v>
      </c>
      <c r="P78" s="295">
        <v>1</v>
      </c>
      <c r="Q78" s="295">
        <v>0</v>
      </c>
      <c r="R78" s="295">
        <v>15</v>
      </c>
      <c r="S78" s="295">
        <v>44</v>
      </c>
      <c r="T78" s="295">
        <v>0</v>
      </c>
      <c r="U78" s="295">
        <v>6</v>
      </c>
      <c r="V78" s="295">
        <v>0</v>
      </c>
      <c r="W78" s="295">
        <v>0</v>
      </c>
      <c r="X78" s="295">
        <v>0</v>
      </c>
      <c r="Y78" s="295">
        <v>0</v>
      </c>
      <c r="Z78" s="295">
        <v>0</v>
      </c>
      <c r="AA78" s="295">
        <v>0</v>
      </c>
      <c r="AB78" s="295">
        <v>1</v>
      </c>
      <c r="AC78" s="295">
        <v>0</v>
      </c>
      <c r="AD78" s="295">
        <v>115</v>
      </c>
      <c r="AE78" s="295">
        <v>3</v>
      </c>
      <c r="AF78" s="295">
        <v>0</v>
      </c>
      <c r="AG78" s="295">
        <v>0</v>
      </c>
    </row>
    <row r="79" spans="2:33">
      <c r="B79" s="265" t="s">
        <v>360</v>
      </c>
      <c r="C79" s="265" t="s">
        <v>39</v>
      </c>
      <c r="D79" s="265" t="s">
        <v>457</v>
      </c>
      <c r="E79" s="269" t="s">
        <v>154</v>
      </c>
      <c r="F79" s="265" t="s">
        <v>65</v>
      </c>
      <c r="G79" s="295">
        <v>46</v>
      </c>
      <c r="H79" s="295">
        <v>0</v>
      </c>
      <c r="I79" s="295">
        <v>2</v>
      </c>
      <c r="J79" s="295">
        <v>3</v>
      </c>
      <c r="K79" s="295">
        <v>4</v>
      </c>
      <c r="L79" s="295">
        <v>0</v>
      </c>
      <c r="M79" s="295">
        <v>0</v>
      </c>
      <c r="N79" s="295">
        <v>0</v>
      </c>
      <c r="O79" s="295">
        <v>0</v>
      </c>
      <c r="P79" s="295">
        <v>1</v>
      </c>
      <c r="Q79" s="295">
        <v>0</v>
      </c>
      <c r="R79" s="295">
        <v>1</v>
      </c>
      <c r="S79" s="295">
        <v>25</v>
      </c>
      <c r="T79" s="295">
        <v>0</v>
      </c>
      <c r="U79" s="295">
        <v>0</v>
      </c>
      <c r="V79" s="295">
        <v>0</v>
      </c>
      <c r="W79" s="295">
        <v>0</v>
      </c>
      <c r="X79" s="295">
        <v>0</v>
      </c>
      <c r="Y79" s="295">
        <v>2</v>
      </c>
      <c r="Z79" s="295">
        <v>0</v>
      </c>
      <c r="AA79" s="295">
        <v>0</v>
      </c>
      <c r="AB79" s="295">
        <v>1</v>
      </c>
      <c r="AC79" s="295">
        <v>0</v>
      </c>
      <c r="AD79" s="295">
        <v>5</v>
      </c>
      <c r="AE79" s="295">
        <v>2</v>
      </c>
      <c r="AF79" s="295">
        <v>0</v>
      </c>
      <c r="AG79" s="295">
        <v>0</v>
      </c>
    </row>
    <row r="80" spans="2:33">
      <c r="B80" s="265" t="s">
        <v>361</v>
      </c>
      <c r="C80" s="265" t="s">
        <v>39</v>
      </c>
      <c r="D80" s="265" t="s">
        <v>459</v>
      </c>
      <c r="E80" s="269" t="s">
        <v>155</v>
      </c>
      <c r="F80" s="265" t="s">
        <v>65</v>
      </c>
      <c r="G80" s="295">
        <v>274</v>
      </c>
      <c r="H80" s="295">
        <v>10</v>
      </c>
      <c r="I80" s="295">
        <v>21</v>
      </c>
      <c r="J80" s="295">
        <v>39</v>
      </c>
      <c r="K80" s="295">
        <v>33</v>
      </c>
      <c r="L80" s="295">
        <v>0</v>
      </c>
      <c r="M80" s="295">
        <v>0</v>
      </c>
      <c r="N80" s="295">
        <v>0</v>
      </c>
      <c r="O80" s="295">
        <v>0</v>
      </c>
      <c r="P80" s="295">
        <v>2</v>
      </c>
      <c r="Q80" s="295">
        <v>2</v>
      </c>
      <c r="R80" s="295">
        <v>2</v>
      </c>
      <c r="S80" s="295">
        <v>31</v>
      </c>
      <c r="T80" s="295">
        <v>0</v>
      </c>
      <c r="U80" s="295">
        <v>3</v>
      </c>
      <c r="V80" s="295">
        <v>0</v>
      </c>
      <c r="W80" s="295">
        <v>0</v>
      </c>
      <c r="X80" s="295">
        <v>0</v>
      </c>
      <c r="Y80" s="295">
        <v>72</v>
      </c>
      <c r="Z80" s="295">
        <v>13</v>
      </c>
      <c r="AA80" s="295">
        <v>3</v>
      </c>
      <c r="AB80" s="295">
        <v>1</v>
      </c>
      <c r="AC80" s="295">
        <v>27</v>
      </c>
      <c r="AD80" s="295">
        <v>13</v>
      </c>
      <c r="AE80" s="295">
        <v>2</v>
      </c>
      <c r="AF80" s="295">
        <v>0</v>
      </c>
      <c r="AG80" s="295">
        <v>0</v>
      </c>
    </row>
    <row r="81" spans="2:33">
      <c r="B81" s="265" t="s">
        <v>363</v>
      </c>
      <c r="C81" s="265" t="s">
        <v>39</v>
      </c>
      <c r="D81" s="265" t="s">
        <v>461</v>
      </c>
      <c r="E81" s="269" t="s">
        <v>156</v>
      </c>
      <c r="F81" s="265" t="s">
        <v>65</v>
      </c>
      <c r="G81" s="295">
        <v>63</v>
      </c>
      <c r="H81" s="295">
        <v>0</v>
      </c>
      <c r="I81" s="295">
        <v>0</v>
      </c>
      <c r="J81" s="295">
        <v>4</v>
      </c>
      <c r="K81" s="295">
        <v>2</v>
      </c>
      <c r="L81" s="295">
        <v>0</v>
      </c>
      <c r="M81" s="295">
        <v>0</v>
      </c>
      <c r="N81" s="295">
        <v>0</v>
      </c>
      <c r="O81" s="295">
        <v>0</v>
      </c>
      <c r="P81" s="295">
        <v>1</v>
      </c>
      <c r="Q81" s="295">
        <v>1</v>
      </c>
      <c r="R81" s="295">
        <v>3</v>
      </c>
      <c r="S81" s="295">
        <v>35</v>
      </c>
      <c r="T81" s="295">
        <v>0</v>
      </c>
      <c r="U81" s="295">
        <v>3</v>
      </c>
      <c r="V81" s="295">
        <v>0</v>
      </c>
      <c r="W81" s="295">
        <v>0</v>
      </c>
      <c r="X81" s="295">
        <v>0</v>
      </c>
      <c r="Y81" s="295">
        <v>10</v>
      </c>
      <c r="Z81" s="295">
        <v>0</v>
      </c>
      <c r="AA81" s="295">
        <v>1</v>
      </c>
      <c r="AB81" s="295">
        <v>1</v>
      </c>
      <c r="AC81" s="295">
        <v>0</v>
      </c>
      <c r="AD81" s="295">
        <v>0</v>
      </c>
      <c r="AE81" s="295">
        <v>2</v>
      </c>
      <c r="AF81" s="295">
        <v>0</v>
      </c>
      <c r="AG81" s="295">
        <v>0</v>
      </c>
    </row>
    <row r="82" spans="2:33">
      <c r="B82" s="265" t="s">
        <v>365</v>
      </c>
      <c r="C82" s="265" t="s">
        <v>39</v>
      </c>
      <c r="D82" s="265" t="s">
        <v>463</v>
      </c>
      <c r="E82" s="269" t="s">
        <v>157</v>
      </c>
      <c r="F82" s="265" t="s">
        <v>65</v>
      </c>
      <c r="G82" s="295">
        <v>23</v>
      </c>
      <c r="H82" s="295">
        <v>0</v>
      </c>
      <c r="I82" s="295">
        <v>1</v>
      </c>
      <c r="J82" s="295">
        <v>0</v>
      </c>
      <c r="K82" s="295">
        <v>1</v>
      </c>
      <c r="L82" s="295">
        <v>0</v>
      </c>
      <c r="M82" s="295">
        <v>0</v>
      </c>
      <c r="N82" s="295">
        <v>0</v>
      </c>
      <c r="O82" s="295">
        <v>0</v>
      </c>
      <c r="P82" s="295">
        <v>3</v>
      </c>
      <c r="Q82" s="295">
        <v>6</v>
      </c>
      <c r="R82" s="295">
        <v>0</v>
      </c>
      <c r="S82" s="295">
        <v>7</v>
      </c>
      <c r="T82" s="295">
        <v>3</v>
      </c>
      <c r="U82" s="295">
        <v>0</v>
      </c>
      <c r="V82" s="295">
        <v>0</v>
      </c>
      <c r="W82" s="295">
        <v>0</v>
      </c>
      <c r="X82" s="295">
        <v>0</v>
      </c>
      <c r="Y82" s="295">
        <v>1</v>
      </c>
      <c r="Z82" s="295">
        <v>0</v>
      </c>
      <c r="AA82" s="295">
        <v>0</v>
      </c>
      <c r="AB82" s="295">
        <v>0</v>
      </c>
      <c r="AC82" s="295">
        <v>1</v>
      </c>
      <c r="AD82" s="295">
        <v>0</v>
      </c>
      <c r="AE82" s="295">
        <v>0</v>
      </c>
      <c r="AF82" s="295">
        <v>0</v>
      </c>
      <c r="AG82" s="295">
        <v>0</v>
      </c>
    </row>
    <row r="83" spans="2:33">
      <c r="B83" s="265" t="s">
        <v>367</v>
      </c>
      <c r="C83" s="265" t="s">
        <v>39</v>
      </c>
      <c r="D83" s="265" t="s">
        <v>465</v>
      </c>
      <c r="E83" s="269" t="s">
        <v>158</v>
      </c>
      <c r="F83" s="265" t="s">
        <v>65</v>
      </c>
      <c r="G83" s="295">
        <v>11</v>
      </c>
      <c r="H83" s="295">
        <v>0</v>
      </c>
      <c r="I83" s="295">
        <v>4</v>
      </c>
      <c r="J83" s="295">
        <v>1</v>
      </c>
      <c r="K83" s="295">
        <v>2</v>
      </c>
      <c r="L83" s="295">
        <v>0</v>
      </c>
      <c r="M83" s="295">
        <v>0</v>
      </c>
      <c r="N83" s="295">
        <v>0</v>
      </c>
      <c r="O83" s="295">
        <v>0</v>
      </c>
      <c r="P83" s="295">
        <v>1</v>
      </c>
      <c r="Q83" s="295">
        <v>0</v>
      </c>
      <c r="R83" s="295">
        <v>0</v>
      </c>
      <c r="S83" s="295">
        <v>0</v>
      </c>
      <c r="T83" s="295">
        <v>0</v>
      </c>
      <c r="U83" s="295">
        <v>0</v>
      </c>
      <c r="V83" s="295">
        <v>0</v>
      </c>
      <c r="W83" s="295">
        <v>0</v>
      </c>
      <c r="X83" s="295">
        <v>0</v>
      </c>
      <c r="Y83" s="295">
        <v>2</v>
      </c>
      <c r="Z83" s="295">
        <v>0</v>
      </c>
      <c r="AA83" s="295">
        <v>0</v>
      </c>
      <c r="AB83" s="295">
        <v>0</v>
      </c>
      <c r="AC83" s="295">
        <v>1</v>
      </c>
      <c r="AD83" s="295">
        <v>0</v>
      </c>
      <c r="AE83" s="295">
        <v>0</v>
      </c>
      <c r="AF83" s="295">
        <v>0</v>
      </c>
      <c r="AG83" s="295">
        <v>0</v>
      </c>
    </row>
    <row r="84" spans="2:33">
      <c r="B84" s="265" t="s">
        <v>369</v>
      </c>
      <c r="C84" s="265" t="s">
        <v>39</v>
      </c>
      <c r="D84" s="265" t="s">
        <v>467</v>
      </c>
      <c r="E84" s="269" t="s">
        <v>159</v>
      </c>
      <c r="F84" s="265" t="s">
        <v>65</v>
      </c>
      <c r="G84" s="295">
        <v>62</v>
      </c>
      <c r="H84" s="295">
        <v>1</v>
      </c>
      <c r="I84" s="295">
        <v>3</v>
      </c>
      <c r="J84" s="295">
        <v>2</v>
      </c>
      <c r="K84" s="295">
        <v>3</v>
      </c>
      <c r="L84" s="295">
        <v>0</v>
      </c>
      <c r="M84" s="295">
        <v>0</v>
      </c>
      <c r="N84" s="295">
        <v>0</v>
      </c>
      <c r="O84" s="295">
        <v>0</v>
      </c>
      <c r="P84" s="295">
        <v>4</v>
      </c>
      <c r="Q84" s="295">
        <v>0</v>
      </c>
      <c r="R84" s="295">
        <v>7</v>
      </c>
      <c r="S84" s="295">
        <v>25</v>
      </c>
      <c r="T84" s="295">
        <v>0</v>
      </c>
      <c r="U84" s="295">
        <v>4</v>
      </c>
      <c r="V84" s="295">
        <v>0</v>
      </c>
      <c r="W84" s="295">
        <v>0</v>
      </c>
      <c r="X84" s="295">
        <v>0</v>
      </c>
      <c r="Y84" s="295">
        <v>10</v>
      </c>
      <c r="Z84" s="295">
        <v>0</v>
      </c>
      <c r="AA84" s="295">
        <v>0</v>
      </c>
      <c r="AB84" s="295">
        <v>1</v>
      </c>
      <c r="AC84" s="295">
        <v>2</v>
      </c>
      <c r="AD84" s="295">
        <v>0</v>
      </c>
      <c r="AE84" s="295">
        <v>0</v>
      </c>
      <c r="AF84" s="295">
        <v>0</v>
      </c>
      <c r="AG84" s="295">
        <v>0</v>
      </c>
    </row>
    <row r="85" spans="2:33">
      <c r="B85" s="265" t="s">
        <v>371</v>
      </c>
      <c r="C85" s="265" t="s">
        <v>39</v>
      </c>
      <c r="D85" s="265" t="s">
        <v>469</v>
      </c>
      <c r="E85" s="269" t="s">
        <v>152</v>
      </c>
      <c r="F85" s="265" t="s">
        <v>65</v>
      </c>
      <c r="G85" s="295">
        <v>99</v>
      </c>
      <c r="H85" s="295">
        <v>4</v>
      </c>
      <c r="I85" s="295">
        <v>15</v>
      </c>
      <c r="J85" s="295">
        <v>11</v>
      </c>
      <c r="K85" s="295">
        <v>16</v>
      </c>
      <c r="L85" s="295">
        <v>1</v>
      </c>
      <c r="M85" s="295">
        <v>0</v>
      </c>
      <c r="N85" s="295">
        <v>0</v>
      </c>
      <c r="O85" s="295">
        <v>0</v>
      </c>
      <c r="P85" s="295">
        <v>1</v>
      </c>
      <c r="Q85" s="295">
        <v>0</v>
      </c>
      <c r="R85" s="295">
        <v>10</v>
      </c>
      <c r="S85" s="295">
        <v>13</v>
      </c>
      <c r="T85" s="295">
        <v>0</v>
      </c>
      <c r="U85" s="295">
        <v>1</v>
      </c>
      <c r="V85" s="295">
        <v>0</v>
      </c>
      <c r="W85" s="295">
        <v>0</v>
      </c>
      <c r="X85" s="295">
        <v>0</v>
      </c>
      <c r="Y85" s="295">
        <v>1</v>
      </c>
      <c r="Z85" s="295">
        <v>0</v>
      </c>
      <c r="AA85" s="295">
        <v>0</v>
      </c>
      <c r="AB85" s="295">
        <v>0</v>
      </c>
      <c r="AC85" s="295">
        <v>13</v>
      </c>
      <c r="AD85" s="295">
        <v>13</v>
      </c>
      <c r="AE85" s="295">
        <v>0</v>
      </c>
      <c r="AF85" s="295">
        <v>0</v>
      </c>
      <c r="AG85" s="295">
        <v>0</v>
      </c>
    </row>
    <row r="86" spans="2:33">
      <c r="B86" s="265" t="s">
        <v>373</v>
      </c>
      <c r="C86" s="265" t="s">
        <v>147</v>
      </c>
      <c r="D86" s="265" t="s">
        <v>471</v>
      </c>
      <c r="E86" s="269" t="s">
        <v>5082</v>
      </c>
      <c r="F86" s="265" t="s">
        <v>65</v>
      </c>
      <c r="G86" s="295">
        <v>1466</v>
      </c>
      <c r="H86" s="295">
        <v>5</v>
      </c>
      <c r="I86" s="295">
        <v>56</v>
      </c>
      <c r="J86" s="295">
        <v>299</v>
      </c>
      <c r="K86" s="295">
        <v>232</v>
      </c>
      <c r="L86" s="295">
        <v>4</v>
      </c>
      <c r="M86" s="295">
        <v>0</v>
      </c>
      <c r="N86" s="295">
        <v>0</v>
      </c>
      <c r="O86" s="295">
        <v>0</v>
      </c>
      <c r="P86" s="295">
        <v>19</v>
      </c>
      <c r="Q86" s="295">
        <v>15</v>
      </c>
      <c r="R86" s="295">
        <v>21</v>
      </c>
      <c r="S86" s="295">
        <v>205</v>
      </c>
      <c r="T86" s="295">
        <v>14</v>
      </c>
      <c r="U86" s="295">
        <v>25</v>
      </c>
      <c r="V86" s="295">
        <v>0</v>
      </c>
      <c r="W86" s="295">
        <v>0</v>
      </c>
      <c r="X86" s="295">
        <v>0</v>
      </c>
      <c r="Y86" s="295">
        <v>155</v>
      </c>
      <c r="Z86" s="295">
        <v>8</v>
      </c>
      <c r="AA86" s="295">
        <v>5</v>
      </c>
      <c r="AB86" s="295">
        <v>14</v>
      </c>
      <c r="AC86" s="295">
        <v>7</v>
      </c>
      <c r="AD86" s="295">
        <v>335</v>
      </c>
      <c r="AE86" s="295">
        <v>44</v>
      </c>
      <c r="AF86" s="295">
        <v>2</v>
      </c>
      <c r="AG86" s="295">
        <v>1</v>
      </c>
    </row>
    <row r="87" spans="2:33">
      <c r="B87" s="265" t="s">
        <v>375</v>
      </c>
      <c r="C87" s="265" t="s">
        <v>147</v>
      </c>
      <c r="D87" s="265" t="s">
        <v>473</v>
      </c>
      <c r="E87" s="269" t="s">
        <v>5104</v>
      </c>
      <c r="F87" s="265" t="s">
        <v>65</v>
      </c>
      <c r="G87" s="295">
        <v>236</v>
      </c>
      <c r="H87" s="295">
        <v>0</v>
      </c>
      <c r="I87" s="295">
        <v>10</v>
      </c>
      <c r="J87" s="295">
        <v>20</v>
      </c>
      <c r="K87" s="295">
        <v>53</v>
      </c>
      <c r="L87" s="295">
        <v>0</v>
      </c>
      <c r="M87" s="295">
        <v>0</v>
      </c>
      <c r="N87" s="295">
        <v>0</v>
      </c>
      <c r="O87" s="295">
        <v>0</v>
      </c>
      <c r="P87" s="295">
        <v>2</v>
      </c>
      <c r="Q87" s="295">
        <v>0</v>
      </c>
      <c r="R87" s="295">
        <v>0</v>
      </c>
      <c r="S87" s="295">
        <v>3</v>
      </c>
      <c r="T87" s="295">
        <v>0</v>
      </c>
      <c r="U87" s="295">
        <v>4</v>
      </c>
      <c r="V87" s="295">
        <v>0</v>
      </c>
      <c r="W87" s="295">
        <v>0</v>
      </c>
      <c r="X87" s="295">
        <v>0</v>
      </c>
      <c r="Y87" s="295">
        <v>9</v>
      </c>
      <c r="Z87" s="295">
        <v>0</v>
      </c>
      <c r="AA87" s="295">
        <v>2</v>
      </c>
      <c r="AB87" s="295">
        <v>1</v>
      </c>
      <c r="AC87" s="295">
        <v>1</v>
      </c>
      <c r="AD87" s="295">
        <v>124</v>
      </c>
      <c r="AE87" s="295">
        <v>7</v>
      </c>
      <c r="AF87" s="295">
        <v>0</v>
      </c>
      <c r="AG87" s="295">
        <v>0</v>
      </c>
    </row>
    <row r="88" spans="2:33">
      <c r="B88" s="265" t="s">
        <v>377</v>
      </c>
      <c r="C88" s="265" t="s">
        <v>39</v>
      </c>
      <c r="D88" s="265" t="s">
        <v>475</v>
      </c>
      <c r="E88" s="269" t="s">
        <v>146</v>
      </c>
      <c r="F88" s="265" t="s">
        <v>65</v>
      </c>
      <c r="G88" s="295">
        <v>734</v>
      </c>
      <c r="H88" s="295">
        <v>2</v>
      </c>
      <c r="I88" s="295">
        <v>28</v>
      </c>
      <c r="J88" s="295">
        <v>150</v>
      </c>
      <c r="K88" s="295">
        <v>116</v>
      </c>
      <c r="L88" s="295">
        <v>2</v>
      </c>
      <c r="M88" s="295">
        <v>0</v>
      </c>
      <c r="N88" s="295">
        <v>0</v>
      </c>
      <c r="O88" s="295">
        <v>0</v>
      </c>
      <c r="P88" s="295">
        <v>10</v>
      </c>
      <c r="Q88" s="295">
        <v>8</v>
      </c>
      <c r="R88" s="295">
        <v>11</v>
      </c>
      <c r="S88" s="295">
        <v>103</v>
      </c>
      <c r="T88" s="295">
        <v>7</v>
      </c>
      <c r="U88" s="295">
        <v>13</v>
      </c>
      <c r="V88" s="295">
        <v>0</v>
      </c>
      <c r="W88" s="295">
        <v>0</v>
      </c>
      <c r="X88" s="295">
        <v>0</v>
      </c>
      <c r="Y88" s="295">
        <v>78</v>
      </c>
      <c r="Z88" s="295">
        <v>4</v>
      </c>
      <c r="AA88" s="295">
        <v>2</v>
      </c>
      <c r="AB88" s="295">
        <v>7</v>
      </c>
      <c r="AC88" s="295">
        <v>3</v>
      </c>
      <c r="AD88" s="295">
        <v>167</v>
      </c>
      <c r="AE88" s="295">
        <v>22</v>
      </c>
      <c r="AF88" s="295">
        <v>1</v>
      </c>
      <c r="AG88" s="295">
        <v>0</v>
      </c>
    </row>
    <row r="89" spans="2:33">
      <c r="B89" s="265" t="s">
        <v>379</v>
      </c>
      <c r="C89" s="265" t="s">
        <v>39</v>
      </c>
      <c r="D89" s="265" t="s">
        <v>477</v>
      </c>
      <c r="E89" s="269" t="s">
        <v>148</v>
      </c>
      <c r="F89" s="265" t="s">
        <v>65</v>
      </c>
      <c r="G89" s="295">
        <v>236</v>
      </c>
      <c r="H89" s="295">
        <v>0</v>
      </c>
      <c r="I89" s="295">
        <v>10</v>
      </c>
      <c r="J89" s="295">
        <v>20</v>
      </c>
      <c r="K89" s="295">
        <v>53</v>
      </c>
      <c r="L89" s="295">
        <v>0</v>
      </c>
      <c r="M89" s="295">
        <v>0</v>
      </c>
      <c r="N89" s="295">
        <v>0</v>
      </c>
      <c r="O89" s="295">
        <v>0</v>
      </c>
      <c r="P89" s="295">
        <v>2</v>
      </c>
      <c r="Q89" s="295">
        <v>0</v>
      </c>
      <c r="R89" s="295">
        <v>0</v>
      </c>
      <c r="S89" s="295">
        <v>3</v>
      </c>
      <c r="T89" s="295">
        <v>0</v>
      </c>
      <c r="U89" s="295">
        <v>4</v>
      </c>
      <c r="V89" s="295">
        <v>0</v>
      </c>
      <c r="W89" s="295">
        <v>0</v>
      </c>
      <c r="X89" s="295">
        <v>0</v>
      </c>
      <c r="Y89" s="295">
        <v>9</v>
      </c>
      <c r="Z89" s="295">
        <v>0</v>
      </c>
      <c r="AA89" s="295">
        <v>2</v>
      </c>
      <c r="AB89" s="295">
        <v>1</v>
      </c>
      <c r="AC89" s="295">
        <v>1</v>
      </c>
      <c r="AD89" s="295">
        <v>124</v>
      </c>
      <c r="AE89" s="295">
        <v>7</v>
      </c>
      <c r="AF89" s="295">
        <v>0</v>
      </c>
      <c r="AG89" s="295">
        <v>0</v>
      </c>
    </row>
    <row r="90" spans="2:33">
      <c r="B90" s="265" t="s">
        <v>381</v>
      </c>
      <c r="C90" s="265" t="s">
        <v>39</v>
      </c>
      <c r="D90" s="265" t="s">
        <v>479</v>
      </c>
      <c r="E90" s="269" t="s">
        <v>149</v>
      </c>
      <c r="F90" s="265" t="s">
        <v>65</v>
      </c>
      <c r="G90" s="295">
        <v>734</v>
      </c>
      <c r="H90" s="295">
        <v>2</v>
      </c>
      <c r="I90" s="295">
        <v>28</v>
      </c>
      <c r="J90" s="295">
        <v>150</v>
      </c>
      <c r="K90" s="295">
        <v>116</v>
      </c>
      <c r="L90" s="295">
        <v>2</v>
      </c>
      <c r="M90" s="295">
        <v>0</v>
      </c>
      <c r="N90" s="295">
        <v>0</v>
      </c>
      <c r="O90" s="295">
        <v>0</v>
      </c>
      <c r="P90" s="295">
        <v>10</v>
      </c>
      <c r="Q90" s="295">
        <v>8</v>
      </c>
      <c r="R90" s="295">
        <v>11</v>
      </c>
      <c r="S90" s="295">
        <v>103</v>
      </c>
      <c r="T90" s="295">
        <v>7</v>
      </c>
      <c r="U90" s="295">
        <v>13</v>
      </c>
      <c r="V90" s="295">
        <v>0</v>
      </c>
      <c r="W90" s="295">
        <v>0</v>
      </c>
      <c r="X90" s="295">
        <v>0</v>
      </c>
      <c r="Y90" s="295">
        <v>78</v>
      </c>
      <c r="Z90" s="295">
        <v>4</v>
      </c>
      <c r="AA90" s="295">
        <v>2</v>
      </c>
      <c r="AB90" s="295">
        <v>7</v>
      </c>
      <c r="AC90" s="295">
        <v>3</v>
      </c>
      <c r="AD90" s="295">
        <v>167</v>
      </c>
      <c r="AE90" s="295">
        <v>22</v>
      </c>
      <c r="AF90" s="295">
        <v>1</v>
      </c>
      <c r="AG90" s="295">
        <v>0</v>
      </c>
    </row>
    <row r="91" spans="2:33">
      <c r="B91" s="265" t="s">
        <v>383</v>
      </c>
      <c r="C91" s="265" t="s">
        <v>39</v>
      </c>
      <c r="D91" s="265" t="s">
        <v>481</v>
      </c>
      <c r="E91" s="269" t="s">
        <v>150</v>
      </c>
      <c r="F91" s="265" t="s">
        <v>65</v>
      </c>
      <c r="G91" s="295">
        <v>236</v>
      </c>
      <c r="H91" s="295">
        <v>0</v>
      </c>
      <c r="I91" s="295">
        <v>10</v>
      </c>
      <c r="J91" s="295">
        <v>20</v>
      </c>
      <c r="K91" s="295">
        <v>53</v>
      </c>
      <c r="L91" s="295">
        <v>0</v>
      </c>
      <c r="M91" s="295">
        <v>0</v>
      </c>
      <c r="N91" s="295">
        <v>0</v>
      </c>
      <c r="O91" s="295">
        <v>0</v>
      </c>
      <c r="P91" s="295">
        <v>2</v>
      </c>
      <c r="Q91" s="295">
        <v>0</v>
      </c>
      <c r="R91" s="295">
        <v>0</v>
      </c>
      <c r="S91" s="295">
        <v>3</v>
      </c>
      <c r="T91" s="295">
        <v>0</v>
      </c>
      <c r="U91" s="295">
        <v>4</v>
      </c>
      <c r="V91" s="295">
        <v>0</v>
      </c>
      <c r="W91" s="295">
        <v>0</v>
      </c>
      <c r="X91" s="295">
        <v>0</v>
      </c>
      <c r="Y91" s="295">
        <v>9</v>
      </c>
      <c r="Z91" s="295">
        <v>0</v>
      </c>
      <c r="AA91" s="295">
        <v>2</v>
      </c>
      <c r="AB91" s="295">
        <v>1</v>
      </c>
      <c r="AC91" s="295">
        <v>1</v>
      </c>
      <c r="AD91" s="295">
        <v>124</v>
      </c>
      <c r="AE91" s="295">
        <v>7</v>
      </c>
      <c r="AF91" s="295">
        <v>0</v>
      </c>
      <c r="AG91" s="295">
        <v>0</v>
      </c>
    </row>
    <row r="92" spans="2:33">
      <c r="B92" s="265" t="s">
        <v>385</v>
      </c>
      <c r="C92" s="265" t="s">
        <v>147</v>
      </c>
      <c r="D92" s="265" t="s">
        <v>483</v>
      </c>
      <c r="E92" s="269" t="s">
        <v>5820</v>
      </c>
      <c r="F92" s="265" t="s">
        <v>65</v>
      </c>
      <c r="G92" s="295">
        <v>243</v>
      </c>
      <c r="H92" s="295">
        <v>1</v>
      </c>
      <c r="I92" s="295">
        <v>4</v>
      </c>
      <c r="J92" s="295">
        <v>3</v>
      </c>
      <c r="K92" s="295">
        <v>2</v>
      </c>
      <c r="L92" s="295">
        <v>0</v>
      </c>
      <c r="M92" s="295">
        <v>0</v>
      </c>
      <c r="N92" s="295">
        <v>0</v>
      </c>
      <c r="O92" s="295">
        <v>0</v>
      </c>
      <c r="P92" s="295">
        <v>13</v>
      </c>
      <c r="Q92" s="295">
        <v>5</v>
      </c>
      <c r="R92" s="295">
        <v>34</v>
      </c>
      <c r="S92" s="295">
        <v>114</v>
      </c>
      <c r="T92" s="295">
        <v>2</v>
      </c>
      <c r="U92" s="295">
        <v>34</v>
      </c>
      <c r="V92" s="295">
        <v>0</v>
      </c>
      <c r="W92" s="295">
        <v>0</v>
      </c>
      <c r="X92" s="295">
        <v>0</v>
      </c>
      <c r="Y92" s="295">
        <v>12</v>
      </c>
      <c r="Z92" s="295">
        <v>0</v>
      </c>
      <c r="AA92" s="295">
        <v>1</v>
      </c>
      <c r="AB92" s="295">
        <v>9</v>
      </c>
      <c r="AC92" s="295">
        <v>1</v>
      </c>
      <c r="AD92" s="295">
        <v>0</v>
      </c>
      <c r="AE92" s="295">
        <v>0</v>
      </c>
      <c r="AF92" s="295">
        <v>6</v>
      </c>
      <c r="AG92" s="295">
        <v>2</v>
      </c>
    </row>
    <row r="93" spans="2:33">
      <c r="B93" s="265" t="s">
        <v>386</v>
      </c>
      <c r="C93" s="265" t="s">
        <v>142</v>
      </c>
      <c r="D93" s="265" t="s">
        <v>487</v>
      </c>
      <c r="E93" s="269" t="s">
        <v>151</v>
      </c>
      <c r="F93" s="265" t="s">
        <v>65</v>
      </c>
      <c r="G93" s="295">
        <v>4091</v>
      </c>
      <c r="H93" s="295">
        <v>6</v>
      </c>
      <c r="I93" s="295">
        <v>161</v>
      </c>
      <c r="J93" s="295">
        <v>367</v>
      </c>
      <c r="K93" s="295">
        <v>932</v>
      </c>
      <c r="L93" s="295">
        <v>0</v>
      </c>
      <c r="M93" s="295">
        <v>0</v>
      </c>
      <c r="N93" s="295">
        <v>0</v>
      </c>
      <c r="O93" s="295">
        <v>0</v>
      </c>
      <c r="P93" s="295">
        <v>27</v>
      </c>
      <c r="Q93" s="295">
        <v>2</v>
      </c>
      <c r="R93" s="295">
        <v>0</v>
      </c>
      <c r="S93" s="295">
        <v>58</v>
      </c>
      <c r="T93" s="295">
        <v>0</v>
      </c>
      <c r="U93" s="295">
        <v>65</v>
      </c>
      <c r="V93" s="295">
        <v>0</v>
      </c>
      <c r="W93" s="295">
        <v>0</v>
      </c>
      <c r="X93" s="295">
        <v>0</v>
      </c>
      <c r="Y93" s="295">
        <v>166</v>
      </c>
      <c r="Z93" s="295">
        <v>1</v>
      </c>
      <c r="AA93" s="295">
        <v>29</v>
      </c>
      <c r="AB93" s="295">
        <v>17</v>
      </c>
      <c r="AC93" s="295">
        <v>14</v>
      </c>
      <c r="AD93" s="295">
        <v>2136</v>
      </c>
      <c r="AE93" s="295">
        <v>103</v>
      </c>
      <c r="AF93" s="295">
        <v>7</v>
      </c>
      <c r="AG93" s="295">
        <v>0</v>
      </c>
    </row>
    <row r="94" spans="2:33">
      <c r="B94" s="265" t="s">
        <v>387</v>
      </c>
      <c r="C94" s="265" t="s">
        <v>147</v>
      </c>
      <c r="D94" s="265" t="s">
        <v>489</v>
      </c>
      <c r="E94" s="269" t="s">
        <v>5090</v>
      </c>
      <c r="F94" s="265" t="s">
        <v>65</v>
      </c>
      <c r="G94" s="295">
        <v>139</v>
      </c>
      <c r="H94" s="295">
        <v>4</v>
      </c>
      <c r="I94" s="295">
        <v>50</v>
      </c>
      <c r="J94" s="295">
        <v>27</v>
      </c>
      <c r="K94" s="295">
        <v>24</v>
      </c>
      <c r="L94" s="295">
        <v>0</v>
      </c>
      <c r="M94" s="295">
        <v>0</v>
      </c>
      <c r="N94" s="295">
        <v>0</v>
      </c>
      <c r="O94" s="295">
        <v>0</v>
      </c>
      <c r="P94" s="295">
        <v>1</v>
      </c>
      <c r="Q94" s="295">
        <v>0</v>
      </c>
      <c r="R94" s="295">
        <v>1</v>
      </c>
      <c r="S94" s="295">
        <v>19</v>
      </c>
      <c r="T94" s="295">
        <v>2</v>
      </c>
      <c r="U94" s="295">
        <v>1</v>
      </c>
      <c r="V94" s="295">
        <v>0</v>
      </c>
      <c r="W94" s="295">
        <v>1</v>
      </c>
      <c r="X94" s="295">
        <v>0</v>
      </c>
      <c r="Y94" s="295">
        <v>5</v>
      </c>
      <c r="Z94" s="295">
        <v>0</v>
      </c>
      <c r="AA94" s="295">
        <v>0</v>
      </c>
      <c r="AB94" s="295">
        <v>0</v>
      </c>
      <c r="AC94" s="295">
        <v>2</v>
      </c>
      <c r="AD94" s="295">
        <v>2</v>
      </c>
      <c r="AE94" s="295">
        <v>0</v>
      </c>
      <c r="AF94" s="295">
        <v>0</v>
      </c>
      <c r="AG94" s="295">
        <v>0</v>
      </c>
    </row>
    <row r="95" spans="2:33">
      <c r="B95" s="265" t="s">
        <v>389</v>
      </c>
      <c r="C95" s="265" t="s">
        <v>40</v>
      </c>
      <c r="D95" s="265" t="s">
        <v>491</v>
      </c>
      <c r="E95" s="269" t="s">
        <v>234</v>
      </c>
      <c r="F95" s="265" t="s">
        <v>65</v>
      </c>
      <c r="G95" s="295">
        <v>95</v>
      </c>
      <c r="H95" s="295">
        <v>0</v>
      </c>
      <c r="I95" s="295">
        <v>14</v>
      </c>
      <c r="J95" s="295">
        <v>0</v>
      </c>
      <c r="K95" s="295">
        <v>7</v>
      </c>
      <c r="L95" s="295">
        <v>0</v>
      </c>
      <c r="M95" s="295">
        <v>0</v>
      </c>
      <c r="N95" s="295">
        <v>0</v>
      </c>
      <c r="O95" s="295">
        <v>0</v>
      </c>
      <c r="P95" s="295">
        <v>3</v>
      </c>
      <c r="Q95" s="295">
        <v>0</v>
      </c>
      <c r="R95" s="295">
        <v>5</v>
      </c>
      <c r="S95" s="295">
        <v>31</v>
      </c>
      <c r="T95" s="295">
        <v>0</v>
      </c>
      <c r="U95" s="295">
        <v>6</v>
      </c>
      <c r="V95" s="295">
        <v>0</v>
      </c>
      <c r="W95" s="295">
        <v>0</v>
      </c>
      <c r="X95" s="295">
        <v>0</v>
      </c>
      <c r="Y95" s="295">
        <v>18</v>
      </c>
      <c r="Z95" s="295">
        <v>0</v>
      </c>
      <c r="AA95" s="295">
        <v>2</v>
      </c>
      <c r="AB95" s="295">
        <v>2</v>
      </c>
      <c r="AC95" s="295">
        <v>2</v>
      </c>
      <c r="AD95" s="295">
        <v>3</v>
      </c>
      <c r="AE95" s="295">
        <v>0</v>
      </c>
      <c r="AF95" s="295">
        <v>1</v>
      </c>
      <c r="AG95" s="295">
        <v>1</v>
      </c>
    </row>
    <row r="96" spans="2:33">
      <c r="B96" s="265" t="s">
        <v>391</v>
      </c>
      <c r="C96" s="265" t="s">
        <v>4558</v>
      </c>
      <c r="D96" s="265" t="s">
        <v>4975</v>
      </c>
      <c r="E96" s="269" t="s">
        <v>4976</v>
      </c>
      <c r="F96" s="265" t="s">
        <v>65</v>
      </c>
      <c r="G96" s="295">
        <v>1211</v>
      </c>
      <c r="H96" s="295">
        <v>8</v>
      </c>
      <c r="I96" s="295">
        <v>109</v>
      </c>
      <c r="J96" s="295">
        <v>151</v>
      </c>
      <c r="K96" s="295">
        <v>149</v>
      </c>
      <c r="L96" s="295">
        <v>12</v>
      </c>
      <c r="M96" s="295">
        <v>0</v>
      </c>
      <c r="N96" s="295">
        <v>0</v>
      </c>
      <c r="O96" s="295">
        <v>32</v>
      </c>
      <c r="P96" s="295">
        <v>15</v>
      </c>
      <c r="Q96" s="295">
        <v>19</v>
      </c>
      <c r="R96" s="295">
        <v>21</v>
      </c>
      <c r="S96" s="295">
        <v>185</v>
      </c>
      <c r="T96" s="295">
        <v>31</v>
      </c>
      <c r="U96" s="295">
        <v>23</v>
      </c>
      <c r="V96" s="295">
        <v>0</v>
      </c>
      <c r="W96" s="295">
        <v>0</v>
      </c>
      <c r="X96" s="295">
        <v>0</v>
      </c>
      <c r="Y96" s="295">
        <v>236</v>
      </c>
      <c r="Z96" s="295">
        <v>6</v>
      </c>
      <c r="AA96" s="295">
        <v>11</v>
      </c>
      <c r="AB96" s="295">
        <v>6</v>
      </c>
      <c r="AC96" s="295">
        <v>23</v>
      </c>
      <c r="AD96" s="295">
        <v>110</v>
      </c>
      <c r="AE96" s="295">
        <v>63</v>
      </c>
      <c r="AF96" s="295">
        <v>1</v>
      </c>
      <c r="AG96" s="295">
        <v>0</v>
      </c>
    </row>
    <row r="97" spans="2:33">
      <c r="B97" s="265" t="s">
        <v>392</v>
      </c>
      <c r="C97" s="265" t="s">
        <v>4558</v>
      </c>
      <c r="D97" s="265" t="s">
        <v>4978</v>
      </c>
      <c r="E97" s="269" t="s">
        <v>4979</v>
      </c>
      <c r="F97" s="265" t="s">
        <v>65</v>
      </c>
      <c r="G97" s="295">
        <v>32</v>
      </c>
      <c r="H97" s="295">
        <v>1</v>
      </c>
      <c r="I97" s="295">
        <v>16</v>
      </c>
      <c r="J97" s="295">
        <v>0</v>
      </c>
      <c r="K97" s="295">
        <v>2</v>
      </c>
      <c r="L97" s="295">
        <v>0</v>
      </c>
      <c r="M97" s="295">
        <v>0</v>
      </c>
      <c r="N97" s="295">
        <v>0</v>
      </c>
      <c r="O97" s="295">
        <v>0</v>
      </c>
      <c r="P97" s="295">
        <v>0</v>
      </c>
      <c r="Q97" s="295">
        <v>0</v>
      </c>
      <c r="R97" s="295">
        <v>0</v>
      </c>
      <c r="S97" s="295">
        <v>3</v>
      </c>
      <c r="T97" s="295">
        <v>0</v>
      </c>
      <c r="U97" s="295">
        <v>1</v>
      </c>
      <c r="V97" s="295">
        <v>0</v>
      </c>
      <c r="W97" s="295">
        <v>0</v>
      </c>
      <c r="X97" s="295">
        <v>0</v>
      </c>
      <c r="Y97" s="295">
        <v>0</v>
      </c>
      <c r="Z97" s="295">
        <v>0</v>
      </c>
      <c r="AA97" s="295">
        <v>0</v>
      </c>
      <c r="AB97" s="295">
        <v>0</v>
      </c>
      <c r="AC97" s="295">
        <v>0</v>
      </c>
      <c r="AD97" s="295">
        <v>0</v>
      </c>
      <c r="AE97" s="295">
        <v>9</v>
      </c>
      <c r="AF97" s="295">
        <v>0</v>
      </c>
      <c r="AG97" s="295">
        <v>0</v>
      </c>
    </row>
    <row r="98" spans="2:33">
      <c r="B98" s="265" t="s">
        <v>394</v>
      </c>
      <c r="C98" s="265" t="s">
        <v>4558</v>
      </c>
      <c r="D98" s="265" t="s">
        <v>4981</v>
      </c>
      <c r="E98" s="269" t="s">
        <v>4982</v>
      </c>
      <c r="F98" s="265" t="s">
        <v>65</v>
      </c>
      <c r="G98" s="295">
        <v>290</v>
      </c>
      <c r="H98" s="295">
        <v>0</v>
      </c>
      <c r="I98" s="295">
        <v>5</v>
      </c>
      <c r="J98" s="295">
        <v>89</v>
      </c>
      <c r="K98" s="295">
        <v>49</v>
      </c>
      <c r="L98" s="295">
        <v>0</v>
      </c>
      <c r="M98" s="295">
        <v>0</v>
      </c>
      <c r="N98" s="295">
        <v>0</v>
      </c>
      <c r="O98" s="295">
        <v>0</v>
      </c>
      <c r="P98" s="295">
        <v>3</v>
      </c>
      <c r="Q98" s="295">
        <v>2</v>
      </c>
      <c r="R98" s="295">
        <v>2</v>
      </c>
      <c r="S98" s="295">
        <v>29</v>
      </c>
      <c r="T98" s="295">
        <v>0</v>
      </c>
      <c r="U98" s="295">
        <v>8</v>
      </c>
      <c r="V98" s="295">
        <v>0</v>
      </c>
      <c r="W98" s="295">
        <v>0</v>
      </c>
      <c r="X98" s="295">
        <v>0</v>
      </c>
      <c r="Y98" s="295">
        <v>63</v>
      </c>
      <c r="Z98" s="295">
        <v>7</v>
      </c>
      <c r="AA98" s="295">
        <v>11</v>
      </c>
      <c r="AB98" s="295">
        <v>4</v>
      </c>
      <c r="AC98" s="295">
        <v>0</v>
      </c>
      <c r="AD98" s="295">
        <v>0</v>
      </c>
      <c r="AE98" s="295">
        <v>17</v>
      </c>
      <c r="AF98" s="295">
        <v>0</v>
      </c>
      <c r="AG98" s="295">
        <v>1</v>
      </c>
    </row>
    <row r="99" spans="2:33">
      <c r="B99" s="265" t="s">
        <v>395</v>
      </c>
      <c r="C99" s="265" t="s">
        <v>4558</v>
      </c>
      <c r="D99" s="265" t="s">
        <v>4983</v>
      </c>
      <c r="E99" s="269" t="s">
        <v>4984</v>
      </c>
      <c r="F99" s="265" t="s">
        <v>65</v>
      </c>
      <c r="G99" s="295">
        <v>123</v>
      </c>
      <c r="H99" s="295">
        <v>0</v>
      </c>
      <c r="I99" s="295">
        <v>2</v>
      </c>
      <c r="J99" s="295">
        <v>27</v>
      </c>
      <c r="K99" s="295">
        <v>27</v>
      </c>
      <c r="L99" s="295">
        <v>0</v>
      </c>
      <c r="M99" s="295">
        <v>0</v>
      </c>
      <c r="N99" s="295">
        <v>0</v>
      </c>
      <c r="O99" s="295">
        <v>0</v>
      </c>
      <c r="P99" s="295">
        <v>2</v>
      </c>
      <c r="Q99" s="295">
        <v>0</v>
      </c>
      <c r="R99" s="295">
        <v>0</v>
      </c>
      <c r="S99" s="295">
        <v>16</v>
      </c>
      <c r="T99" s="295">
        <v>0</v>
      </c>
      <c r="U99" s="295">
        <v>2</v>
      </c>
      <c r="V99" s="295">
        <v>0</v>
      </c>
      <c r="W99" s="295">
        <v>0</v>
      </c>
      <c r="X99" s="295">
        <v>0</v>
      </c>
      <c r="Y99" s="295">
        <v>21</v>
      </c>
      <c r="Z99" s="295">
        <v>1</v>
      </c>
      <c r="AA99" s="295">
        <v>3</v>
      </c>
      <c r="AB99" s="295">
        <v>2</v>
      </c>
      <c r="AC99" s="295">
        <v>0</v>
      </c>
      <c r="AD99" s="295">
        <v>16</v>
      </c>
      <c r="AE99" s="295">
        <v>4</v>
      </c>
      <c r="AF99" s="295">
        <v>0</v>
      </c>
      <c r="AG99" s="295">
        <v>0</v>
      </c>
    </row>
    <row r="100" spans="2:33">
      <c r="B100" s="265" t="s">
        <v>397</v>
      </c>
      <c r="C100" s="265" t="s">
        <v>4558</v>
      </c>
      <c r="D100" s="265" t="s">
        <v>4985</v>
      </c>
      <c r="E100" s="269" t="s">
        <v>4986</v>
      </c>
      <c r="F100" s="265" t="s">
        <v>65</v>
      </c>
      <c r="G100" s="295">
        <v>107</v>
      </c>
      <c r="H100" s="295">
        <v>1</v>
      </c>
      <c r="I100" s="295">
        <v>7</v>
      </c>
      <c r="J100" s="295">
        <v>7</v>
      </c>
      <c r="K100" s="295">
        <v>7</v>
      </c>
      <c r="L100" s="295">
        <v>0</v>
      </c>
      <c r="M100" s="295">
        <v>0</v>
      </c>
      <c r="N100" s="295">
        <v>0</v>
      </c>
      <c r="O100" s="295">
        <v>0</v>
      </c>
      <c r="P100" s="295">
        <v>2</v>
      </c>
      <c r="Q100" s="295">
        <v>0</v>
      </c>
      <c r="R100" s="295">
        <v>2</v>
      </c>
      <c r="S100" s="295">
        <v>48</v>
      </c>
      <c r="T100" s="295">
        <v>0</v>
      </c>
      <c r="U100" s="295">
        <v>1</v>
      </c>
      <c r="V100" s="295">
        <v>0</v>
      </c>
      <c r="W100" s="295">
        <v>0</v>
      </c>
      <c r="X100" s="295">
        <v>0</v>
      </c>
      <c r="Y100" s="295">
        <v>13</v>
      </c>
      <c r="Z100" s="295">
        <v>7</v>
      </c>
      <c r="AA100" s="295">
        <v>3</v>
      </c>
      <c r="AB100" s="295">
        <v>4</v>
      </c>
      <c r="AC100" s="295">
        <v>0</v>
      </c>
      <c r="AD100" s="295">
        <v>0</v>
      </c>
      <c r="AE100" s="295">
        <v>3</v>
      </c>
      <c r="AF100" s="295">
        <v>1</v>
      </c>
      <c r="AG100" s="295">
        <v>1</v>
      </c>
    </row>
    <row r="101" spans="2:33">
      <c r="B101" s="265" t="s">
        <v>399</v>
      </c>
      <c r="C101" s="265" t="s">
        <v>4558</v>
      </c>
      <c r="D101" s="265" t="s">
        <v>4987</v>
      </c>
      <c r="E101" s="269" t="s">
        <v>4988</v>
      </c>
      <c r="F101" s="265" t="s">
        <v>65</v>
      </c>
      <c r="G101" s="295">
        <v>16</v>
      </c>
      <c r="H101" s="295">
        <v>0</v>
      </c>
      <c r="I101" s="295">
        <v>0</v>
      </c>
      <c r="J101" s="295">
        <v>10</v>
      </c>
      <c r="K101" s="295">
        <v>4</v>
      </c>
      <c r="L101" s="295">
        <v>0</v>
      </c>
      <c r="M101" s="295">
        <v>0</v>
      </c>
      <c r="N101" s="295">
        <v>0</v>
      </c>
      <c r="O101" s="295">
        <v>0</v>
      </c>
      <c r="P101" s="295">
        <v>0</v>
      </c>
      <c r="Q101" s="295">
        <v>0</v>
      </c>
      <c r="R101" s="295">
        <v>0</v>
      </c>
      <c r="S101" s="295">
        <v>0</v>
      </c>
      <c r="T101" s="295">
        <v>0</v>
      </c>
      <c r="U101" s="295">
        <v>0</v>
      </c>
      <c r="V101" s="295">
        <v>0</v>
      </c>
      <c r="W101" s="295">
        <v>0</v>
      </c>
      <c r="X101" s="295">
        <v>0</v>
      </c>
      <c r="Y101" s="295">
        <v>2</v>
      </c>
      <c r="Z101" s="295">
        <v>0</v>
      </c>
      <c r="AA101" s="295">
        <v>0</v>
      </c>
      <c r="AB101" s="295">
        <v>0</v>
      </c>
      <c r="AC101" s="295">
        <v>0</v>
      </c>
      <c r="AD101" s="295">
        <v>0</v>
      </c>
      <c r="AE101" s="295">
        <v>0</v>
      </c>
      <c r="AF101" s="295">
        <v>0</v>
      </c>
      <c r="AG101" s="295">
        <v>0</v>
      </c>
    </row>
    <row r="102" spans="2:33">
      <c r="B102" s="265" t="s">
        <v>400</v>
      </c>
      <c r="C102" s="265" t="s">
        <v>4558</v>
      </c>
      <c r="D102" s="265" t="s">
        <v>4989</v>
      </c>
      <c r="E102" s="269" t="s">
        <v>4990</v>
      </c>
      <c r="F102" s="265" t="s">
        <v>65</v>
      </c>
      <c r="G102" s="295">
        <v>178</v>
      </c>
      <c r="H102" s="295">
        <v>6</v>
      </c>
      <c r="I102" s="295">
        <v>24</v>
      </c>
      <c r="J102" s="295">
        <v>11</v>
      </c>
      <c r="K102" s="295">
        <v>22</v>
      </c>
      <c r="L102" s="295">
        <v>0</v>
      </c>
      <c r="M102" s="295">
        <v>0</v>
      </c>
      <c r="N102" s="295">
        <v>0</v>
      </c>
      <c r="O102" s="295">
        <v>0</v>
      </c>
      <c r="P102" s="295">
        <v>2</v>
      </c>
      <c r="Q102" s="295">
        <v>1</v>
      </c>
      <c r="R102" s="295">
        <v>28</v>
      </c>
      <c r="S102" s="295">
        <v>38</v>
      </c>
      <c r="T102" s="295">
        <v>3</v>
      </c>
      <c r="U102" s="295">
        <v>5</v>
      </c>
      <c r="V102" s="295">
        <v>0</v>
      </c>
      <c r="W102" s="295">
        <v>0</v>
      </c>
      <c r="X102" s="295">
        <v>0</v>
      </c>
      <c r="Y102" s="295">
        <v>1</v>
      </c>
      <c r="Z102" s="295">
        <v>0</v>
      </c>
      <c r="AA102" s="295">
        <v>0</v>
      </c>
      <c r="AB102" s="295">
        <v>0</v>
      </c>
      <c r="AC102" s="295">
        <v>19</v>
      </c>
      <c r="AD102" s="295">
        <v>15</v>
      </c>
      <c r="AE102" s="295">
        <v>3</v>
      </c>
      <c r="AF102" s="295">
        <v>0</v>
      </c>
      <c r="AG102" s="295">
        <v>0</v>
      </c>
    </row>
    <row r="103" spans="2:33">
      <c r="B103" s="265" t="s">
        <v>401</v>
      </c>
      <c r="C103" s="265" t="s">
        <v>4558</v>
      </c>
      <c r="D103" s="265" t="s">
        <v>4991</v>
      </c>
      <c r="E103" s="269" t="s">
        <v>4992</v>
      </c>
      <c r="F103" s="265" t="s">
        <v>65</v>
      </c>
      <c r="G103" s="295">
        <v>63</v>
      </c>
      <c r="H103" s="295">
        <v>2</v>
      </c>
      <c r="I103" s="295">
        <v>7</v>
      </c>
      <c r="J103" s="295">
        <v>3</v>
      </c>
      <c r="K103" s="295">
        <v>8</v>
      </c>
      <c r="L103" s="295">
        <v>0</v>
      </c>
      <c r="M103" s="295">
        <v>0</v>
      </c>
      <c r="N103" s="295">
        <v>0</v>
      </c>
      <c r="O103" s="295">
        <v>0</v>
      </c>
      <c r="P103" s="295">
        <v>3</v>
      </c>
      <c r="Q103" s="295">
        <v>1</v>
      </c>
      <c r="R103" s="295">
        <v>3</v>
      </c>
      <c r="S103" s="295">
        <v>19</v>
      </c>
      <c r="T103" s="295">
        <v>2</v>
      </c>
      <c r="U103" s="295">
        <v>1</v>
      </c>
      <c r="V103" s="295">
        <v>0</v>
      </c>
      <c r="W103" s="295">
        <v>0</v>
      </c>
      <c r="X103" s="295">
        <v>0</v>
      </c>
      <c r="Y103" s="295">
        <v>0</v>
      </c>
      <c r="Z103" s="295">
        <v>0</v>
      </c>
      <c r="AA103" s="295">
        <v>0</v>
      </c>
      <c r="AB103" s="295">
        <v>2</v>
      </c>
      <c r="AC103" s="295">
        <v>11</v>
      </c>
      <c r="AD103" s="295">
        <v>1</v>
      </c>
      <c r="AE103" s="295">
        <v>0</v>
      </c>
      <c r="AF103" s="295">
        <v>0</v>
      </c>
      <c r="AG103" s="295">
        <v>0</v>
      </c>
    </row>
    <row r="104" spans="2:33">
      <c r="B104" s="265" t="s">
        <v>402</v>
      </c>
      <c r="C104" s="265" t="s">
        <v>142</v>
      </c>
      <c r="D104" s="265" t="s">
        <v>4997</v>
      </c>
      <c r="E104" s="269" t="s">
        <v>5105</v>
      </c>
      <c r="F104" s="265" t="s">
        <v>65</v>
      </c>
      <c r="G104" s="295">
        <v>245</v>
      </c>
      <c r="H104" s="295">
        <v>0</v>
      </c>
      <c r="I104" s="295">
        <v>9</v>
      </c>
      <c r="J104" s="295">
        <v>27</v>
      </c>
      <c r="K104" s="295">
        <v>57</v>
      </c>
      <c r="L104" s="295">
        <v>0</v>
      </c>
      <c r="M104" s="295">
        <v>0</v>
      </c>
      <c r="N104" s="295">
        <v>0</v>
      </c>
      <c r="O104" s="295">
        <v>0</v>
      </c>
      <c r="P104" s="295">
        <v>2</v>
      </c>
      <c r="Q104" s="295">
        <v>0</v>
      </c>
      <c r="R104" s="295">
        <v>0</v>
      </c>
      <c r="S104" s="295">
        <v>5</v>
      </c>
      <c r="T104" s="295">
        <v>0</v>
      </c>
      <c r="U104" s="295">
        <v>4</v>
      </c>
      <c r="V104" s="295">
        <v>0</v>
      </c>
      <c r="W104" s="295">
        <v>0</v>
      </c>
      <c r="X104" s="295">
        <v>0</v>
      </c>
      <c r="Y104" s="295">
        <v>10</v>
      </c>
      <c r="Z104" s="295">
        <v>0</v>
      </c>
      <c r="AA104" s="295">
        <v>2</v>
      </c>
      <c r="AB104" s="295">
        <v>1</v>
      </c>
      <c r="AC104" s="295">
        <v>1</v>
      </c>
      <c r="AD104" s="295">
        <v>121</v>
      </c>
      <c r="AE104" s="295">
        <v>6</v>
      </c>
      <c r="AF104" s="295">
        <v>0</v>
      </c>
      <c r="AG104" s="295">
        <v>0</v>
      </c>
    </row>
    <row r="105" spans="2:33">
      <c r="B105" s="265" t="s">
        <v>403</v>
      </c>
      <c r="C105" s="265" t="s">
        <v>147</v>
      </c>
      <c r="D105" s="265" t="s">
        <v>5125</v>
      </c>
      <c r="E105" s="269" t="s">
        <v>5087</v>
      </c>
      <c r="F105" s="265" t="s">
        <v>65</v>
      </c>
      <c r="G105" s="295">
        <v>135</v>
      </c>
      <c r="H105" s="295">
        <v>4</v>
      </c>
      <c r="I105" s="295">
        <v>50</v>
      </c>
      <c r="J105" s="295">
        <v>27</v>
      </c>
      <c r="K105" s="295">
        <v>24</v>
      </c>
      <c r="L105" s="295">
        <v>0</v>
      </c>
      <c r="M105" s="295">
        <v>0</v>
      </c>
      <c r="N105" s="295">
        <v>0</v>
      </c>
      <c r="O105" s="295">
        <v>0</v>
      </c>
      <c r="P105" s="295">
        <v>1</v>
      </c>
      <c r="Q105" s="295">
        <v>0</v>
      </c>
      <c r="R105" s="295">
        <v>1</v>
      </c>
      <c r="S105" s="295">
        <v>15</v>
      </c>
      <c r="T105" s="295">
        <v>2</v>
      </c>
      <c r="U105" s="295">
        <v>1</v>
      </c>
      <c r="V105" s="295">
        <v>0</v>
      </c>
      <c r="W105" s="295">
        <v>1</v>
      </c>
      <c r="X105" s="295">
        <v>0</v>
      </c>
      <c r="Y105" s="295">
        <v>5</v>
      </c>
      <c r="Z105" s="295">
        <v>0</v>
      </c>
      <c r="AA105" s="295">
        <v>0</v>
      </c>
      <c r="AB105" s="295">
        <v>0</v>
      </c>
      <c r="AC105" s="295">
        <v>2</v>
      </c>
      <c r="AD105" s="295">
        <v>2</v>
      </c>
      <c r="AE105" s="295">
        <v>0</v>
      </c>
      <c r="AF105" s="295">
        <v>0</v>
      </c>
      <c r="AG105" s="295">
        <v>0</v>
      </c>
    </row>
    <row r="106" spans="2:33">
      <c r="B106" s="265" t="s">
        <v>404</v>
      </c>
      <c r="C106" s="265" t="s">
        <v>41</v>
      </c>
      <c r="D106" s="265" t="s">
        <v>5126</v>
      </c>
      <c r="E106" s="269" t="s">
        <v>5080</v>
      </c>
      <c r="F106" s="265" t="s">
        <v>65</v>
      </c>
      <c r="G106" s="295">
        <v>1107</v>
      </c>
      <c r="H106" s="295">
        <v>19</v>
      </c>
      <c r="I106" s="295">
        <v>41</v>
      </c>
      <c r="J106" s="295">
        <v>126</v>
      </c>
      <c r="K106" s="295">
        <v>61</v>
      </c>
      <c r="L106" s="295">
        <v>5</v>
      </c>
      <c r="M106" s="295">
        <v>0</v>
      </c>
      <c r="N106" s="295">
        <v>0</v>
      </c>
      <c r="O106" s="295">
        <v>0</v>
      </c>
      <c r="P106" s="295">
        <v>15</v>
      </c>
      <c r="Q106" s="295">
        <v>15</v>
      </c>
      <c r="R106" s="295">
        <v>190</v>
      </c>
      <c r="S106" s="295">
        <v>366</v>
      </c>
      <c r="T106" s="295">
        <v>10</v>
      </c>
      <c r="U106" s="295">
        <v>54</v>
      </c>
      <c r="V106" s="295">
        <v>0</v>
      </c>
      <c r="W106" s="295">
        <v>6</v>
      </c>
      <c r="X106" s="295">
        <v>0</v>
      </c>
      <c r="Y106" s="295">
        <v>30</v>
      </c>
      <c r="Z106" s="295">
        <v>5</v>
      </c>
      <c r="AA106" s="295">
        <v>0</v>
      </c>
      <c r="AB106" s="295">
        <v>16</v>
      </c>
      <c r="AC106" s="295">
        <v>77</v>
      </c>
      <c r="AD106" s="295">
        <v>63</v>
      </c>
      <c r="AE106" s="295">
        <v>1</v>
      </c>
      <c r="AF106" s="295">
        <v>4</v>
      </c>
      <c r="AG106" s="295">
        <v>3</v>
      </c>
    </row>
    <row r="107" spans="2:33">
      <c r="B107" s="265" t="s">
        <v>405</v>
      </c>
      <c r="C107" s="265" t="s">
        <v>125</v>
      </c>
      <c r="D107" s="265" t="s">
        <v>5128</v>
      </c>
      <c r="E107" s="269" t="s">
        <v>5097</v>
      </c>
      <c r="F107" s="265" t="s">
        <v>65</v>
      </c>
      <c r="G107" s="295">
        <v>2542</v>
      </c>
      <c r="H107" s="295">
        <v>8</v>
      </c>
      <c r="I107" s="295">
        <v>20</v>
      </c>
      <c r="J107" s="295">
        <v>163</v>
      </c>
      <c r="K107" s="295">
        <v>508</v>
      </c>
      <c r="L107" s="295">
        <v>0</v>
      </c>
      <c r="M107" s="295">
        <v>0</v>
      </c>
      <c r="N107" s="295">
        <v>0</v>
      </c>
      <c r="O107" s="295">
        <v>0</v>
      </c>
      <c r="P107" s="295">
        <v>13</v>
      </c>
      <c r="Q107" s="295">
        <v>0</v>
      </c>
      <c r="R107" s="295">
        <v>0</v>
      </c>
      <c r="S107" s="295">
        <v>281</v>
      </c>
      <c r="T107" s="295">
        <v>7</v>
      </c>
      <c r="U107" s="295">
        <v>17</v>
      </c>
      <c r="V107" s="295">
        <v>0</v>
      </c>
      <c r="W107" s="295">
        <v>2</v>
      </c>
      <c r="X107" s="295">
        <v>41</v>
      </c>
      <c r="Y107" s="295">
        <v>248</v>
      </c>
      <c r="Z107" s="295">
        <v>99</v>
      </c>
      <c r="AA107" s="295">
        <v>22</v>
      </c>
      <c r="AB107" s="295">
        <v>9</v>
      </c>
      <c r="AC107" s="295">
        <v>28</v>
      </c>
      <c r="AD107" s="295">
        <v>1068</v>
      </c>
      <c r="AE107" s="295">
        <v>0</v>
      </c>
      <c r="AF107" s="295">
        <v>8</v>
      </c>
      <c r="AG107" s="295">
        <v>0</v>
      </c>
    </row>
    <row r="108" spans="2:33">
      <c r="B108" s="265" t="s">
        <v>406</v>
      </c>
      <c r="C108" s="265" t="s">
        <v>125</v>
      </c>
      <c r="D108" s="265" t="s">
        <v>5129</v>
      </c>
      <c r="E108" s="269" t="s">
        <v>5097</v>
      </c>
      <c r="F108" s="265" t="s">
        <v>65</v>
      </c>
      <c r="G108" s="295">
        <v>2988</v>
      </c>
      <c r="H108" s="295">
        <v>10</v>
      </c>
      <c r="I108" s="295">
        <v>20</v>
      </c>
      <c r="J108" s="295">
        <v>208</v>
      </c>
      <c r="K108" s="295">
        <v>635</v>
      </c>
      <c r="L108" s="295">
        <v>0</v>
      </c>
      <c r="M108" s="295">
        <v>0</v>
      </c>
      <c r="N108" s="295">
        <v>0</v>
      </c>
      <c r="O108" s="295">
        <v>0</v>
      </c>
      <c r="P108" s="295">
        <v>14</v>
      </c>
      <c r="Q108" s="295">
        <v>0</v>
      </c>
      <c r="R108" s="295">
        <v>0</v>
      </c>
      <c r="S108" s="295">
        <v>265</v>
      </c>
      <c r="T108" s="295">
        <v>9</v>
      </c>
      <c r="U108" s="295">
        <v>17</v>
      </c>
      <c r="V108" s="295">
        <v>0</v>
      </c>
      <c r="W108" s="295">
        <v>2</v>
      </c>
      <c r="X108" s="295">
        <v>41</v>
      </c>
      <c r="Y108" s="295">
        <v>248</v>
      </c>
      <c r="Z108" s="295">
        <v>99</v>
      </c>
      <c r="AA108" s="295">
        <v>22</v>
      </c>
      <c r="AB108" s="295">
        <v>7</v>
      </c>
      <c r="AC108" s="295">
        <v>28</v>
      </c>
      <c r="AD108" s="295">
        <v>1355</v>
      </c>
      <c r="AE108" s="295">
        <v>0</v>
      </c>
      <c r="AF108" s="295">
        <v>8</v>
      </c>
      <c r="AG108" s="295">
        <v>0</v>
      </c>
    </row>
    <row r="109" spans="2:33">
      <c r="B109" s="265" t="s">
        <v>66</v>
      </c>
      <c r="C109" s="265" t="s">
        <v>125</v>
      </c>
      <c r="D109" s="265" t="s">
        <v>5130</v>
      </c>
      <c r="E109" s="269" t="s">
        <v>5098</v>
      </c>
      <c r="F109" s="265" t="s">
        <v>65</v>
      </c>
      <c r="G109" s="295">
        <v>2908</v>
      </c>
      <c r="H109" s="295">
        <v>8</v>
      </c>
      <c r="I109" s="295">
        <v>28</v>
      </c>
      <c r="J109" s="295">
        <v>181</v>
      </c>
      <c r="K109" s="295">
        <v>547</v>
      </c>
      <c r="L109" s="295">
        <v>0</v>
      </c>
      <c r="M109" s="295">
        <v>0</v>
      </c>
      <c r="N109" s="295">
        <v>0</v>
      </c>
      <c r="O109" s="295">
        <v>0</v>
      </c>
      <c r="P109" s="295">
        <v>15</v>
      </c>
      <c r="Q109" s="295">
        <v>0</v>
      </c>
      <c r="R109" s="295">
        <v>0</v>
      </c>
      <c r="S109" s="295">
        <v>358</v>
      </c>
      <c r="T109" s="295">
        <v>7</v>
      </c>
      <c r="U109" s="295">
        <v>22</v>
      </c>
      <c r="V109" s="295">
        <v>0</v>
      </c>
      <c r="W109" s="295">
        <v>2</v>
      </c>
      <c r="X109" s="295">
        <v>56</v>
      </c>
      <c r="Y109" s="295">
        <v>320</v>
      </c>
      <c r="Z109" s="295">
        <v>137</v>
      </c>
      <c r="AA109" s="295">
        <v>30</v>
      </c>
      <c r="AB109" s="295">
        <v>8</v>
      </c>
      <c r="AC109" s="295">
        <v>38</v>
      </c>
      <c r="AD109" s="295">
        <v>1144</v>
      </c>
      <c r="AE109" s="295">
        <v>0</v>
      </c>
      <c r="AF109" s="295">
        <v>7</v>
      </c>
      <c r="AG109" s="295">
        <v>0</v>
      </c>
    </row>
    <row r="110" spans="2:33">
      <c r="B110" s="265" t="s">
        <v>408</v>
      </c>
      <c r="C110" s="265" t="s">
        <v>125</v>
      </c>
      <c r="D110" s="265" t="s">
        <v>5131</v>
      </c>
      <c r="E110" s="269" t="s">
        <v>5099</v>
      </c>
      <c r="F110" s="265" t="s">
        <v>65</v>
      </c>
      <c r="G110" s="295">
        <v>500</v>
      </c>
      <c r="H110" s="295">
        <v>0</v>
      </c>
      <c r="I110" s="295">
        <v>5</v>
      </c>
      <c r="J110" s="295">
        <v>44</v>
      </c>
      <c r="K110" s="295">
        <v>63</v>
      </c>
      <c r="L110" s="295">
        <v>0</v>
      </c>
      <c r="M110" s="295">
        <v>0</v>
      </c>
      <c r="N110" s="295">
        <v>0</v>
      </c>
      <c r="O110" s="295">
        <v>0</v>
      </c>
      <c r="P110" s="295">
        <v>2</v>
      </c>
      <c r="Q110" s="295">
        <v>0</v>
      </c>
      <c r="R110" s="295">
        <v>10</v>
      </c>
      <c r="S110" s="295">
        <v>125</v>
      </c>
      <c r="T110" s="295">
        <v>7</v>
      </c>
      <c r="U110" s="295">
        <v>0</v>
      </c>
      <c r="V110" s="295">
        <v>0</v>
      </c>
      <c r="W110" s="295">
        <v>0</v>
      </c>
      <c r="X110" s="295">
        <v>11</v>
      </c>
      <c r="Y110" s="295">
        <v>5</v>
      </c>
      <c r="Z110" s="295">
        <v>11</v>
      </c>
      <c r="AA110" s="295">
        <v>10</v>
      </c>
      <c r="AB110" s="295">
        <v>9</v>
      </c>
      <c r="AC110" s="295">
        <v>0</v>
      </c>
      <c r="AD110" s="295">
        <v>193</v>
      </c>
      <c r="AE110" s="295">
        <v>0</v>
      </c>
      <c r="AF110" s="295">
        <v>2</v>
      </c>
      <c r="AG110" s="295">
        <v>3</v>
      </c>
    </row>
    <row r="111" spans="2:33">
      <c r="B111" s="265" t="s">
        <v>409</v>
      </c>
      <c r="C111" s="265" t="s">
        <v>125</v>
      </c>
      <c r="D111" s="265" t="s">
        <v>5132</v>
      </c>
      <c r="E111" s="269" t="s">
        <v>5099</v>
      </c>
      <c r="F111" s="265" t="s">
        <v>65</v>
      </c>
      <c r="G111" s="295">
        <v>528</v>
      </c>
      <c r="H111" s="295">
        <v>0</v>
      </c>
      <c r="I111" s="295">
        <v>5</v>
      </c>
      <c r="J111" s="295">
        <v>54</v>
      </c>
      <c r="K111" s="295">
        <v>70</v>
      </c>
      <c r="L111" s="295">
        <v>0</v>
      </c>
      <c r="M111" s="295">
        <v>0</v>
      </c>
      <c r="N111" s="295">
        <v>0</v>
      </c>
      <c r="O111" s="295">
        <v>0</v>
      </c>
      <c r="P111" s="295">
        <v>2</v>
      </c>
      <c r="Q111" s="295">
        <v>0</v>
      </c>
      <c r="R111" s="295">
        <v>10</v>
      </c>
      <c r="S111" s="295">
        <v>135</v>
      </c>
      <c r="T111" s="295">
        <v>7</v>
      </c>
      <c r="U111" s="295">
        <v>0</v>
      </c>
      <c r="V111" s="295">
        <v>0</v>
      </c>
      <c r="W111" s="295">
        <v>0</v>
      </c>
      <c r="X111" s="295">
        <v>11</v>
      </c>
      <c r="Y111" s="295">
        <v>5</v>
      </c>
      <c r="Z111" s="295">
        <v>11</v>
      </c>
      <c r="AA111" s="295">
        <v>10</v>
      </c>
      <c r="AB111" s="295">
        <v>10</v>
      </c>
      <c r="AC111" s="295">
        <v>0</v>
      </c>
      <c r="AD111" s="295">
        <v>193</v>
      </c>
      <c r="AE111" s="295">
        <v>0</v>
      </c>
      <c r="AF111" s="295">
        <v>2</v>
      </c>
      <c r="AG111" s="295">
        <v>3</v>
      </c>
    </row>
    <row r="112" spans="2:33">
      <c r="B112" s="265" t="s">
        <v>410</v>
      </c>
      <c r="C112" s="265" t="s">
        <v>125</v>
      </c>
      <c r="D112" s="265" t="s">
        <v>5133</v>
      </c>
      <c r="E112" s="269" t="s">
        <v>5100</v>
      </c>
      <c r="F112" s="265" t="s">
        <v>65</v>
      </c>
      <c r="G112" s="295">
        <v>662</v>
      </c>
      <c r="H112" s="295">
        <v>0</v>
      </c>
      <c r="I112" s="295">
        <v>7</v>
      </c>
      <c r="J112" s="295">
        <v>51</v>
      </c>
      <c r="K112" s="295">
        <v>81</v>
      </c>
      <c r="L112" s="295">
        <v>0</v>
      </c>
      <c r="M112" s="295">
        <v>0</v>
      </c>
      <c r="N112" s="295">
        <v>0</v>
      </c>
      <c r="O112" s="295">
        <v>0</v>
      </c>
      <c r="P112" s="295">
        <v>2</v>
      </c>
      <c r="Q112" s="295">
        <v>0</v>
      </c>
      <c r="R112" s="295">
        <v>14</v>
      </c>
      <c r="S112" s="295">
        <v>164</v>
      </c>
      <c r="T112" s="295">
        <v>9</v>
      </c>
      <c r="U112" s="295">
        <v>0</v>
      </c>
      <c r="V112" s="295">
        <v>0</v>
      </c>
      <c r="W112" s="295">
        <v>0</v>
      </c>
      <c r="X112" s="295">
        <v>15</v>
      </c>
      <c r="Y112" s="295">
        <v>7</v>
      </c>
      <c r="Z112" s="295">
        <v>15</v>
      </c>
      <c r="AA112" s="295">
        <v>14</v>
      </c>
      <c r="AB112" s="295">
        <v>10</v>
      </c>
      <c r="AC112" s="295">
        <v>0</v>
      </c>
      <c r="AD112" s="295">
        <v>266</v>
      </c>
      <c r="AE112" s="295">
        <v>0</v>
      </c>
      <c r="AF112" s="295">
        <v>2</v>
      </c>
      <c r="AG112" s="295">
        <v>5</v>
      </c>
    </row>
    <row r="113" spans="2:33">
      <c r="B113" s="265" t="s">
        <v>411</v>
      </c>
      <c r="C113" s="265" t="s">
        <v>45</v>
      </c>
      <c r="D113" s="265" t="s">
        <v>5136</v>
      </c>
      <c r="E113" s="269" t="s">
        <v>5122</v>
      </c>
      <c r="F113" s="265" t="s">
        <v>65</v>
      </c>
      <c r="G113" s="295">
        <v>3501</v>
      </c>
      <c r="H113" s="295">
        <v>89</v>
      </c>
      <c r="I113" s="295">
        <v>528</v>
      </c>
      <c r="J113" s="295">
        <v>399</v>
      </c>
      <c r="K113" s="295">
        <v>293</v>
      </c>
      <c r="L113" s="295">
        <v>11</v>
      </c>
      <c r="M113" s="295">
        <v>0</v>
      </c>
      <c r="N113" s="295">
        <v>0</v>
      </c>
      <c r="O113" s="295">
        <v>0</v>
      </c>
      <c r="P113" s="295">
        <v>160</v>
      </c>
      <c r="Q113" s="295">
        <v>34</v>
      </c>
      <c r="R113" s="295">
        <v>167</v>
      </c>
      <c r="S113" s="295">
        <v>754</v>
      </c>
      <c r="T113" s="295">
        <v>24</v>
      </c>
      <c r="U113" s="295">
        <v>49</v>
      </c>
      <c r="V113" s="295">
        <v>0</v>
      </c>
      <c r="W113" s="295">
        <v>0</v>
      </c>
      <c r="X113" s="295">
        <v>0</v>
      </c>
      <c r="Y113" s="295">
        <v>446</v>
      </c>
      <c r="Z113" s="295">
        <v>23</v>
      </c>
      <c r="AA113" s="295">
        <v>17</v>
      </c>
      <c r="AB113" s="295">
        <v>10</v>
      </c>
      <c r="AC113" s="295">
        <v>360</v>
      </c>
      <c r="AD113" s="295">
        <v>131</v>
      </c>
      <c r="AE113" s="295">
        <v>4</v>
      </c>
      <c r="AF113" s="295">
        <v>2</v>
      </c>
      <c r="AG113" s="295">
        <v>0</v>
      </c>
    </row>
    <row r="114" spans="2:33">
      <c r="B114" s="265" t="s">
        <v>412</v>
      </c>
      <c r="C114" s="265" t="s">
        <v>38</v>
      </c>
      <c r="D114" s="265" t="s">
        <v>5138</v>
      </c>
      <c r="E114" s="269" t="s">
        <v>5123</v>
      </c>
      <c r="F114" s="265" t="s">
        <v>65</v>
      </c>
      <c r="G114" s="295">
        <v>353</v>
      </c>
      <c r="H114" s="295">
        <v>4</v>
      </c>
      <c r="I114" s="295">
        <v>18</v>
      </c>
      <c r="J114" s="295">
        <v>88</v>
      </c>
      <c r="K114" s="295">
        <v>32</v>
      </c>
      <c r="L114" s="295">
        <v>0</v>
      </c>
      <c r="M114" s="295">
        <v>0</v>
      </c>
      <c r="N114" s="295">
        <v>0</v>
      </c>
      <c r="O114" s="295">
        <v>0</v>
      </c>
      <c r="P114" s="295">
        <v>3</v>
      </c>
      <c r="Q114" s="295">
        <v>1</v>
      </c>
      <c r="R114" s="295">
        <v>19</v>
      </c>
      <c r="S114" s="295">
        <v>86</v>
      </c>
      <c r="T114" s="295">
        <v>0</v>
      </c>
      <c r="U114" s="295">
        <v>10</v>
      </c>
      <c r="V114" s="295">
        <v>0</v>
      </c>
      <c r="W114" s="295">
        <v>0</v>
      </c>
      <c r="X114" s="295">
        <v>0</v>
      </c>
      <c r="Y114" s="295">
        <v>56</v>
      </c>
      <c r="Z114" s="295">
        <v>0</v>
      </c>
      <c r="AA114" s="295">
        <v>7</v>
      </c>
      <c r="AB114" s="295">
        <v>2</v>
      </c>
      <c r="AC114" s="295">
        <v>6</v>
      </c>
      <c r="AD114" s="295">
        <v>18</v>
      </c>
      <c r="AE114" s="295">
        <v>2</v>
      </c>
      <c r="AF114" s="295">
        <v>1</v>
      </c>
      <c r="AG114" s="295">
        <v>0</v>
      </c>
    </row>
    <row r="115" spans="2:33">
      <c r="B115" s="265" t="s">
        <v>172</v>
      </c>
      <c r="C115" s="265" t="s">
        <v>96</v>
      </c>
      <c r="D115" s="265" t="s">
        <v>5140</v>
      </c>
      <c r="E115" s="269" t="s">
        <v>5830</v>
      </c>
      <c r="F115" s="265" t="s">
        <v>65</v>
      </c>
      <c r="G115" s="295">
        <v>301</v>
      </c>
      <c r="H115" s="295">
        <v>1</v>
      </c>
      <c r="I115" s="295">
        <v>2</v>
      </c>
      <c r="J115" s="295">
        <v>33</v>
      </c>
      <c r="K115" s="295">
        <v>19</v>
      </c>
      <c r="L115" s="295">
        <v>0</v>
      </c>
      <c r="M115" s="295">
        <v>0</v>
      </c>
      <c r="N115" s="295">
        <v>0</v>
      </c>
      <c r="O115" s="295">
        <v>0</v>
      </c>
      <c r="P115" s="295">
        <v>6</v>
      </c>
      <c r="Q115" s="295">
        <v>0</v>
      </c>
      <c r="R115" s="295">
        <v>19</v>
      </c>
      <c r="S115" s="295">
        <v>179</v>
      </c>
      <c r="T115" s="295">
        <v>1</v>
      </c>
      <c r="U115" s="295">
        <v>19</v>
      </c>
      <c r="V115" s="295">
        <v>0</v>
      </c>
      <c r="W115" s="295">
        <v>0</v>
      </c>
      <c r="X115" s="295">
        <v>0</v>
      </c>
      <c r="Y115" s="295">
        <v>11</v>
      </c>
      <c r="Z115" s="295">
        <v>0</v>
      </c>
      <c r="AA115" s="295">
        <v>0</v>
      </c>
      <c r="AB115" s="295">
        <v>7</v>
      </c>
      <c r="AC115" s="295">
        <v>0</v>
      </c>
      <c r="AD115" s="295">
        <v>0</v>
      </c>
      <c r="AE115" s="295">
        <v>2</v>
      </c>
      <c r="AF115" s="295">
        <v>1</v>
      </c>
      <c r="AG115" s="295">
        <v>1</v>
      </c>
    </row>
    <row r="116" spans="2:33">
      <c r="B116" s="265" t="s">
        <v>414</v>
      </c>
      <c r="C116" s="265" t="s">
        <v>96</v>
      </c>
      <c r="D116" s="265" t="s">
        <v>5142</v>
      </c>
      <c r="E116" s="269" t="s">
        <v>5832</v>
      </c>
      <c r="F116" s="265" t="s">
        <v>65</v>
      </c>
      <c r="G116" s="295">
        <v>366</v>
      </c>
      <c r="H116" s="295">
        <v>1</v>
      </c>
      <c r="I116" s="295">
        <v>9</v>
      </c>
      <c r="J116" s="295">
        <v>21</v>
      </c>
      <c r="K116" s="295">
        <v>25</v>
      </c>
      <c r="L116" s="295">
        <v>0</v>
      </c>
      <c r="M116" s="295">
        <v>0</v>
      </c>
      <c r="N116" s="295">
        <v>0</v>
      </c>
      <c r="O116" s="295">
        <v>0</v>
      </c>
      <c r="P116" s="295">
        <v>4</v>
      </c>
      <c r="Q116" s="295">
        <v>1</v>
      </c>
      <c r="R116" s="295">
        <v>20</v>
      </c>
      <c r="S116" s="295">
        <v>230</v>
      </c>
      <c r="T116" s="295">
        <v>0</v>
      </c>
      <c r="U116" s="295">
        <v>18</v>
      </c>
      <c r="V116" s="295">
        <v>0</v>
      </c>
      <c r="W116" s="295">
        <v>2</v>
      </c>
      <c r="X116" s="295">
        <v>0</v>
      </c>
      <c r="Y116" s="295">
        <v>0</v>
      </c>
      <c r="Z116" s="295">
        <v>0</v>
      </c>
      <c r="AA116" s="295">
        <v>0</v>
      </c>
      <c r="AB116" s="295">
        <v>7</v>
      </c>
      <c r="AC116" s="295">
        <v>0</v>
      </c>
      <c r="AD116" s="295">
        <v>3</v>
      </c>
      <c r="AE116" s="295">
        <v>24</v>
      </c>
      <c r="AF116" s="295">
        <v>1</v>
      </c>
      <c r="AG116" s="295">
        <v>0</v>
      </c>
    </row>
    <row r="117" spans="2:33">
      <c r="B117" s="265" t="s">
        <v>415</v>
      </c>
      <c r="C117" s="265" t="s">
        <v>96</v>
      </c>
      <c r="D117" s="265" t="s">
        <v>5144</v>
      </c>
      <c r="E117" s="269" t="s">
        <v>5834</v>
      </c>
      <c r="F117" s="265" t="s">
        <v>65</v>
      </c>
      <c r="G117" s="295">
        <v>145</v>
      </c>
      <c r="H117" s="295">
        <v>0</v>
      </c>
      <c r="I117" s="295">
        <v>0</v>
      </c>
      <c r="J117" s="295">
        <v>0</v>
      </c>
      <c r="K117" s="295">
        <v>0</v>
      </c>
      <c r="L117" s="295">
        <v>0</v>
      </c>
      <c r="M117" s="295">
        <v>0</v>
      </c>
      <c r="N117" s="295">
        <v>0</v>
      </c>
      <c r="O117" s="295">
        <v>0</v>
      </c>
      <c r="P117" s="295">
        <v>7</v>
      </c>
      <c r="Q117" s="295">
        <v>0</v>
      </c>
      <c r="R117" s="295">
        <v>15</v>
      </c>
      <c r="S117" s="295">
        <v>81</v>
      </c>
      <c r="T117" s="295">
        <v>0</v>
      </c>
      <c r="U117" s="295">
        <v>17</v>
      </c>
      <c r="V117" s="295">
        <v>0</v>
      </c>
      <c r="W117" s="295">
        <v>0</v>
      </c>
      <c r="X117" s="295">
        <v>0</v>
      </c>
      <c r="Y117" s="295">
        <v>19</v>
      </c>
      <c r="Z117" s="295">
        <v>0</v>
      </c>
      <c r="AA117" s="295">
        <v>1</v>
      </c>
      <c r="AB117" s="295">
        <v>3</v>
      </c>
      <c r="AC117" s="295">
        <v>0</v>
      </c>
      <c r="AD117" s="295">
        <v>0</v>
      </c>
      <c r="AE117" s="295">
        <v>0</v>
      </c>
      <c r="AF117" s="295">
        <v>1</v>
      </c>
      <c r="AG117" s="295">
        <v>1</v>
      </c>
    </row>
    <row r="118" spans="2:33">
      <c r="B118" s="265" t="s">
        <v>417</v>
      </c>
      <c r="C118" s="265" t="s">
        <v>79</v>
      </c>
      <c r="D118" s="265" t="s">
        <v>5146</v>
      </c>
      <c r="E118" s="269" t="s">
        <v>5108</v>
      </c>
      <c r="F118" s="265" t="s">
        <v>65</v>
      </c>
      <c r="G118" s="295">
        <v>8914</v>
      </c>
      <c r="H118" s="295">
        <v>183</v>
      </c>
      <c r="I118" s="295">
        <v>694</v>
      </c>
      <c r="J118" s="295">
        <v>989</v>
      </c>
      <c r="K118" s="295">
        <v>711</v>
      </c>
      <c r="L118" s="295">
        <v>1</v>
      </c>
      <c r="M118" s="295">
        <v>0</v>
      </c>
      <c r="N118" s="295">
        <v>0</v>
      </c>
      <c r="O118" s="295">
        <v>3</v>
      </c>
      <c r="P118" s="295">
        <v>91</v>
      </c>
      <c r="Q118" s="295">
        <v>13</v>
      </c>
      <c r="R118" s="295">
        <v>356</v>
      </c>
      <c r="S118" s="295">
        <v>4244</v>
      </c>
      <c r="T118" s="295">
        <v>0</v>
      </c>
      <c r="U118" s="295">
        <v>106</v>
      </c>
      <c r="V118" s="295">
        <v>0</v>
      </c>
      <c r="W118" s="295">
        <v>0</v>
      </c>
      <c r="X118" s="295">
        <v>0</v>
      </c>
      <c r="Y118" s="295">
        <v>13</v>
      </c>
      <c r="Z118" s="295">
        <v>0</v>
      </c>
      <c r="AA118" s="295">
        <v>7</v>
      </c>
      <c r="AB118" s="295">
        <v>11</v>
      </c>
      <c r="AC118" s="295">
        <v>252</v>
      </c>
      <c r="AD118" s="295">
        <v>1060</v>
      </c>
      <c r="AE118" s="295">
        <v>173</v>
      </c>
      <c r="AF118" s="295">
        <v>6</v>
      </c>
      <c r="AG118" s="295">
        <v>1</v>
      </c>
    </row>
    <row r="119" spans="2:33">
      <c r="B119" s="265" t="s">
        <v>419</v>
      </c>
      <c r="C119" s="265" t="s">
        <v>79</v>
      </c>
      <c r="D119" s="265" t="s">
        <v>5148</v>
      </c>
      <c r="E119" s="269" t="s">
        <v>5109</v>
      </c>
      <c r="F119" s="265" t="s">
        <v>65</v>
      </c>
      <c r="G119" s="295">
        <v>542</v>
      </c>
      <c r="H119" s="295">
        <v>13</v>
      </c>
      <c r="I119" s="295">
        <v>35</v>
      </c>
      <c r="J119" s="295">
        <v>82</v>
      </c>
      <c r="K119" s="295">
        <v>36</v>
      </c>
      <c r="L119" s="295">
        <v>0</v>
      </c>
      <c r="M119" s="295">
        <v>0</v>
      </c>
      <c r="N119" s="295">
        <v>0</v>
      </c>
      <c r="O119" s="295">
        <v>0</v>
      </c>
      <c r="P119" s="295">
        <v>13</v>
      </c>
      <c r="Q119" s="295">
        <v>2</v>
      </c>
      <c r="R119" s="295">
        <v>27</v>
      </c>
      <c r="S119" s="295">
        <v>201</v>
      </c>
      <c r="T119" s="295">
        <v>1</v>
      </c>
      <c r="U119" s="295">
        <v>25</v>
      </c>
      <c r="V119" s="295">
        <v>0</v>
      </c>
      <c r="W119" s="295">
        <v>0</v>
      </c>
      <c r="X119" s="295">
        <v>0</v>
      </c>
      <c r="Y119" s="295">
        <v>56</v>
      </c>
      <c r="Z119" s="295">
        <v>0</v>
      </c>
      <c r="AA119" s="295">
        <v>1</v>
      </c>
      <c r="AB119" s="295">
        <v>7</v>
      </c>
      <c r="AC119" s="295">
        <v>29</v>
      </c>
      <c r="AD119" s="295">
        <v>7</v>
      </c>
      <c r="AE119" s="295">
        <v>2</v>
      </c>
      <c r="AF119" s="295">
        <v>2</v>
      </c>
      <c r="AG119" s="295">
        <v>3</v>
      </c>
    </row>
    <row r="120" spans="2:33">
      <c r="B120" s="265" t="s">
        <v>420</v>
      </c>
      <c r="C120" s="265" t="s">
        <v>79</v>
      </c>
      <c r="D120" s="265" t="s">
        <v>5150</v>
      </c>
      <c r="E120" s="269" t="s">
        <v>5110</v>
      </c>
      <c r="F120" s="265" t="s">
        <v>65</v>
      </c>
      <c r="G120" s="295">
        <v>334</v>
      </c>
      <c r="H120" s="295">
        <v>10</v>
      </c>
      <c r="I120" s="295">
        <v>38</v>
      </c>
      <c r="J120" s="295">
        <v>92</v>
      </c>
      <c r="K120" s="295">
        <v>59</v>
      </c>
      <c r="L120" s="295">
        <v>10</v>
      </c>
      <c r="M120" s="295">
        <v>0</v>
      </c>
      <c r="N120" s="295">
        <v>0</v>
      </c>
      <c r="O120" s="295">
        <v>0</v>
      </c>
      <c r="P120" s="295">
        <v>1</v>
      </c>
      <c r="Q120" s="295">
        <v>1</v>
      </c>
      <c r="R120" s="295">
        <v>11</v>
      </c>
      <c r="S120" s="295">
        <v>54</v>
      </c>
      <c r="T120" s="295">
        <v>1</v>
      </c>
      <c r="U120" s="295">
        <v>5</v>
      </c>
      <c r="V120" s="295">
        <v>0</v>
      </c>
      <c r="W120" s="295">
        <v>0</v>
      </c>
      <c r="X120" s="295">
        <v>0</v>
      </c>
      <c r="Y120" s="295">
        <v>7</v>
      </c>
      <c r="Z120" s="295">
        <v>0</v>
      </c>
      <c r="AA120" s="295">
        <v>0</v>
      </c>
      <c r="AB120" s="295">
        <v>1</v>
      </c>
      <c r="AC120" s="295">
        <v>12</v>
      </c>
      <c r="AD120" s="295">
        <v>27</v>
      </c>
      <c r="AE120" s="295">
        <v>5</v>
      </c>
      <c r="AF120" s="295">
        <v>0</v>
      </c>
      <c r="AG120" s="295">
        <v>0</v>
      </c>
    </row>
    <row r="121" spans="2:33">
      <c r="B121" s="265" t="s">
        <v>422</v>
      </c>
      <c r="C121" s="265" t="s">
        <v>46</v>
      </c>
      <c r="D121" s="265" t="s">
        <v>5152</v>
      </c>
      <c r="E121" s="269" t="s">
        <v>5112</v>
      </c>
      <c r="F121" s="265" t="s">
        <v>65</v>
      </c>
      <c r="G121" s="295">
        <v>1610</v>
      </c>
      <c r="H121" s="295">
        <v>49</v>
      </c>
      <c r="I121" s="295">
        <v>451</v>
      </c>
      <c r="J121" s="295">
        <v>226</v>
      </c>
      <c r="K121" s="295">
        <v>124</v>
      </c>
      <c r="L121" s="295">
        <v>7</v>
      </c>
      <c r="M121" s="295">
        <v>0</v>
      </c>
      <c r="N121" s="295">
        <v>0</v>
      </c>
      <c r="O121" s="295">
        <v>0</v>
      </c>
      <c r="P121" s="295">
        <v>30</v>
      </c>
      <c r="Q121" s="295">
        <v>31</v>
      </c>
      <c r="R121" s="295">
        <v>48</v>
      </c>
      <c r="S121" s="295">
        <v>236</v>
      </c>
      <c r="T121" s="295">
        <v>32</v>
      </c>
      <c r="U121" s="295">
        <v>15</v>
      </c>
      <c r="V121" s="295">
        <v>0</v>
      </c>
      <c r="W121" s="295">
        <v>0</v>
      </c>
      <c r="X121" s="295">
        <v>0</v>
      </c>
      <c r="Y121" s="295">
        <v>198</v>
      </c>
      <c r="Z121" s="295">
        <v>29</v>
      </c>
      <c r="AA121" s="295">
        <v>5</v>
      </c>
      <c r="AB121" s="295">
        <v>2</v>
      </c>
      <c r="AC121" s="295">
        <v>44</v>
      </c>
      <c r="AD121" s="295">
        <v>79</v>
      </c>
      <c r="AE121" s="295">
        <v>4</v>
      </c>
      <c r="AF121" s="295">
        <v>0</v>
      </c>
      <c r="AG121" s="295">
        <v>0</v>
      </c>
    </row>
    <row r="122" spans="2:33">
      <c r="B122" s="265" t="s">
        <v>424</v>
      </c>
      <c r="C122" s="265" t="s">
        <v>46</v>
      </c>
      <c r="D122" s="265" t="s">
        <v>5153</v>
      </c>
      <c r="E122" s="269" t="s">
        <v>5113</v>
      </c>
      <c r="F122" s="265" t="s">
        <v>65</v>
      </c>
      <c r="G122" s="295">
        <v>838</v>
      </c>
      <c r="H122" s="295">
        <v>29</v>
      </c>
      <c r="I122" s="295">
        <v>126</v>
      </c>
      <c r="J122" s="295">
        <v>317</v>
      </c>
      <c r="K122" s="295">
        <v>45</v>
      </c>
      <c r="L122" s="295">
        <v>63</v>
      </c>
      <c r="M122" s="295">
        <v>0</v>
      </c>
      <c r="N122" s="295">
        <v>0</v>
      </c>
      <c r="O122" s="295">
        <v>0</v>
      </c>
      <c r="P122" s="295">
        <v>17</v>
      </c>
      <c r="Q122" s="295">
        <v>0</v>
      </c>
      <c r="R122" s="295">
        <v>29</v>
      </c>
      <c r="S122" s="295">
        <v>121</v>
      </c>
      <c r="T122" s="295">
        <v>0</v>
      </c>
      <c r="U122" s="295">
        <v>18</v>
      </c>
      <c r="V122" s="295">
        <v>0</v>
      </c>
      <c r="W122" s="295">
        <v>0</v>
      </c>
      <c r="X122" s="295">
        <v>0</v>
      </c>
      <c r="Y122" s="295">
        <v>47</v>
      </c>
      <c r="Z122" s="295">
        <v>0</v>
      </c>
      <c r="AA122" s="295">
        <v>2</v>
      </c>
      <c r="AB122" s="295">
        <v>2</v>
      </c>
      <c r="AC122" s="295">
        <v>18</v>
      </c>
      <c r="AD122" s="295">
        <v>2</v>
      </c>
      <c r="AE122" s="295">
        <v>0</v>
      </c>
      <c r="AF122" s="295">
        <v>1</v>
      </c>
      <c r="AG122" s="295">
        <v>1</v>
      </c>
    </row>
    <row r="123" spans="2:33">
      <c r="B123" s="265" t="s">
        <v>426</v>
      </c>
      <c r="C123" s="265" t="s">
        <v>46</v>
      </c>
      <c r="D123" s="265" t="s">
        <v>5155</v>
      </c>
      <c r="E123" s="269" t="s">
        <v>5111</v>
      </c>
      <c r="F123" s="265" t="s">
        <v>65</v>
      </c>
      <c r="G123" s="295">
        <v>341</v>
      </c>
      <c r="H123" s="295">
        <v>13</v>
      </c>
      <c r="I123" s="295">
        <v>212</v>
      </c>
      <c r="J123" s="295">
        <v>31</v>
      </c>
      <c r="K123" s="295">
        <v>16</v>
      </c>
      <c r="L123" s="295">
        <v>0</v>
      </c>
      <c r="M123" s="295">
        <v>0</v>
      </c>
      <c r="N123" s="295">
        <v>0</v>
      </c>
      <c r="O123" s="295">
        <v>0</v>
      </c>
      <c r="P123" s="295">
        <v>1</v>
      </c>
      <c r="Q123" s="295">
        <v>0</v>
      </c>
      <c r="R123" s="295">
        <v>0</v>
      </c>
      <c r="S123" s="295">
        <v>0</v>
      </c>
      <c r="T123" s="295">
        <v>2</v>
      </c>
      <c r="U123" s="295">
        <v>0</v>
      </c>
      <c r="V123" s="295">
        <v>0</v>
      </c>
      <c r="W123" s="295">
        <v>1</v>
      </c>
      <c r="X123" s="295">
        <v>0</v>
      </c>
      <c r="Y123" s="295">
        <v>8</v>
      </c>
      <c r="Z123" s="295">
        <v>0</v>
      </c>
      <c r="AA123" s="295">
        <v>0</v>
      </c>
      <c r="AB123" s="295">
        <v>0</v>
      </c>
      <c r="AC123" s="295">
        <v>16</v>
      </c>
      <c r="AD123" s="295">
        <v>41</v>
      </c>
      <c r="AE123" s="295">
        <v>0</v>
      </c>
      <c r="AF123" s="295">
        <v>0</v>
      </c>
      <c r="AG123" s="295">
        <v>0</v>
      </c>
    </row>
    <row r="124" spans="2:33">
      <c r="B124" s="265" t="s">
        <v>428</v>
      </c>
      <c r="C124" s="265" t="s">
        <v>46</v>
      </c>
      <c r="D124" s="265" t="s">
        <v>5157</v>
      </c>
      <c r="E124" s="269" t="s">
        <v>5115</v>
      </c>
      <c r="F124" s="265" t="s">
        <v>65</v>
      </c>
      <c r="G124" s="295">
        <v>1072</v>
      </c>
      <c r="H124" s="295">
        <v>8</v>
      </c>
      <c r="I124" s="295">
        <v>141</v>
      </c>
      <c r="J124" s="295">
        <v>124</v>
      </c>
      <c r="K124" s="295">
        <v>71</v>
      </c>
      <c r="L124" s="295">
        <v>0</v>
      </c>
      <c r="M124" s="295">
        <v>0</v>
      </c>
      <c r="N124" s="295">
        <v>0</v>
      </c>
      <c r="O124" s="295">
        <v>0</v>
      </c>
      <c r="P124" s="295">
        <v>2</v>
      </c>
      <c r="Q124" s="295">
        <v>0</v>
      </c>
      <c r="R124" s="295">
        <v>60</v>
      </c>
      <c r="S124" s="295">
        <v>177</v>
      </c>
      <c r="T124" s="295">
        <v>0</v>
      </c>
      <c r="U124" s="295">
        <v>22</v>
      </c>
      <c r="V124" s="295">
        <v>0</v>
      </c>
      <c r="W124" s="295">
        <v>0</v>
      </c>
      <c r="X124" s="295">
        <v>0</v>
      </c>
      <c r="Y124" s="295">
        <v>0</v>
      </c>
      <c r="Z124" s="295">
        <v>0</v>
      </c>
      <c r="AA124" s="295">
        <v>0</v>
      </c>
      <c r="AB124" s="295">
        <v>4</v>
      </c>
      <c r="AC124" s="295">
        <v>0</v>
      </c>
      <c r="AD124" s="295">
        <v>460</v>
      </c>
      <c r="AE124" s="295">
        <v>3</v>
      </c>
      <c r="AF124" s="295">
        <v>0</v>
      </c>
      <c r="AG124" s="295">
        <v>0</v>
      </c>
    </row>
    <row r="125" spans="2:33">
      <c r="B125" s="265" t="s">
        <v>430</v>
      </c>
      <c r="C125" s="265" t="s">
        <v>46</v>
      </c>
      <c r="D125" s="265" t="s">
        <v>5159</v>
      </c>
      <c r="E125" s="269" t="s">
        <v>5116</v>
      </c>
      <c r="F125" s="265" t="s">
        <v>65</v>
      </c>
      <c r="G125" s="295">
        <v>198</v>
      </c>
      <c r="H125" s="295">
        <v>0</v>
      </c>
      <c r="I125" s="295">
        <v>8</v>
      </c>
      <c r="J125" s="295">
        <v>11</v>
      </c>
      <c r="K125" s="295">
        <v>18</v>
      </c>
      <c r="L125" s="295">
        <v>0</v>
      </c>
      <c r="M125" s="295">
        <v>0</v>
      </c>
      <c r="N125" s="295">
        <v>0</v>
      </c>
      <c r="O125" s="295">
        <v>0</v>
      </c>
      <c r="P125" s="295">
        <v>2</v>
      </c>
      <c r="Q125" s="295">
        <v>0</v>
      </c>
      <c r="R125" s="295">
        <v>5</v>
      </c>
      <c r="S125" s="295">
        <v>101</v>
      </c>
      <c r="T125" s="295">
        <v>1</v>
      </c>
      <c r="U125" s="295">
        <v>0</v>
      </c>
      <c r="V125" s="295">
        <v>0</v>
      </c>
      <c r="W125" s="295">
        <v>0</v>
      </c>
      <c r="X125" s="295">
        <v>0</v>
      </c>
      <c r="Y125" s="295">
        <v>8</v>
      </c>
      <c r="Z125" s="295">
        <v>0</v>
      </c>
      <c r="AA125" s="295">
        <v>0</v>
      </c>
      <c r="AB125" s="295">
        <v>6</v>
      </c>
      <c r="AC125" s="295">
        <v>0</v>
      </c>
      <c r="AD125" s="295">
        <v>18</v>
      </c>
      <c r="AE125" s="295">
        <v>19</v>
      </c>
      <c r="AF125" s="295">
        <v>0</v>
      </c>
      <c r="AG125" s="295">
        <v>1</v>
      </c>
    </row>
    <row r="126" spans="2:33">
      <c r="B126" s="265" t="s">
        <v>432</v>
      </c>
      <c r="C126" s="265" t="s">
        <v>46</v>
      </c>
      <c r="D126" s="265" t="s">
        <v>5161</v>
      </c>
      <c r="E126" s="269" t="s">
        <v>5117</v>
      </c>
      <c r="F126" s="265" t="s">
        <v>65</v>
      </c>
      <c r="G126" s="295">
        <v>1098</v>
      </c>
      <c r="H126" s="295">
        <v>38</v>
      </c>
      <c r="I126" s="295">
        <v>82</v>
      </c>
      <c r="J126" s="295">
        <v>158</v>
      </c>
      <c r="K126" s="295">
        <v>131</v>
      </c>
      <c r="L126" s="295">
        <v>0</v>
      </c>
      <c r="M126" s="295">
        <v>0</v>
      </c>
      <c r="N126" s="295">
        <v>0</v>
      </c>
      <c r="O126" s="295">
        <v>0</v>
      </c>
      <c r="P126" s="295">
        <v>7</v>
      </c>
      <c r="Q126" s="295">
        <v>8</v>
      </c>
      <c r="R126" s="295">
        <v>9</v>
      </c>
      <c r="S126" s="295">
        <v>125</v>
      </c>
      <c r="T126" s="295">
        <v>1</v>
      </c>
      <c r="U126" s="295">
        <v>13</v>
      </c>
      <c r="V126" s="295">
        <v>0</v>
      </c>
      <c r="W126" s="295">
        <v>0</v>
      </c>
      <c r="X126" s="295">
        <v>0</v>
      </c>
      <c r="Y126" s="295">
        <v>289</v>
      </c>
      <c r="Z126" s="295">
        <v>53</v>
      </c>
      <c r="AA126" s="295">
        <v>14</v>
      </c>
      <c r="AB126" s="295">
        <v>3</v>
      </c>
      <c r="AC126" s="295">
        <v>105</v>
      </c>
      <c r="AD126" s="295">
        <v>52</v>
      </c>
      <c r="AE126" s="295">
        <v>10</v>
      </c>
      <c r="AF126" s="295">
        <v>0</v>
      </c>
      <c r="AG126" s="295">
        <v>0</v>
      </c>
    </row>
    <row r="127" spans="2:33">
      <c r="B127" s="265" t="s">
        <v>171</v>
      </c>
      <c r="C127" s="265" t="s">
        <v>46</v>
      </c>
      <c r="D127" s="265" t="s">
        <v>5163</v>
      </c>
      <c r="E127" s="269" t="s">
        <v>5118</v>
      </c>
      <c r="F127" s="265" t="s">
        <v>65</v>
      </c>
      <c r="G127" s="295">
        <v>251</v>
      </c>
      <c r="H127" s="295">
        <v>0</v>
      </c>
      <c r="I127" s="295">
        <v>1</v>
      </c>
      <c r="J127" s="295">
        <v>15</v>
      </c>
      <c r="K127" s="295">
        <v>9</v>
      </c>
      <c r="L127" s="295">
        <v>0</v>
      </c>
      <c r="M127" s="295">
        <v>0</v>
      </c>
      <c r="N127" s="295">
        <v>0</v>
      </c>
      <c r="O127" s="295">
        <v>0</v>
      </c>
      <c r="P127" s="295">
        <v>4</v>
      </c>
      <c r="Q127" s="295">
        <v>2</v>
      </c>
      <c r="R127" s="295">
        <v>11</v>
      </c>
      <c r="S127" s="295">
        <v>142</v>
      </c>
      <c r="T127" s="295">
        <v>1</v>
      </c>
      <c r="U127" s="295">
        <v>11</v>
      </c>
      <c r="V127" s="295">
        <v>0</v>
      </c>
      <c r="W127" s="295">
        <v>0</v>
      </c>
      <c r="X127" s="295">
        <v>0</v>
      </c>
      <c r="Y127" s="295">
        <v>39</v>
      </c>
      <c r="Z127" s="295">
        <v>0</v>
      </c>
      <c r="AA127" s="295">
        <v>4</v>
      </c>
      <c r="AB127" s="295">
        <v>5</v>
      </c>
      <c r="AC127" s="295">
        <v>0</v>
      </c>
      <c r="AD127" s="295">
        <v>0</v>
      </c>
      <c r="AE127" s="295">
        <v>6</v>
      </c>
      <c r="AF127" s="295">
        <v>0</v>
      </c>
      <c r="AG127" s="295">
        <v>1</v>
      </c>
    </row>
    <row r="128" spans="2:33">
      <c r="B128" s="265" t="s">
        <v>434</v>
      </c>
      <c r="C128" s="265" t="s">
        <v>46</v>
      </c>
      <c r="D128" s="265" t="s">
        <v>5165</v>
      </c>
      <c r="E128" s="269" t="s">
        <v>5119</v>
      </c>
      <c r="F128" s="265" t="s">
        <v>65</v>
      </c>
      <c r="G128" s="295">
        <v>97</v>
      </c>
      <c r="H128" s="295">
        <v>1</v>
      </c>
      <c r="I128" s="295">
        <v>5</v>
      </c>
      <c r="J128" s="295">
        <v>1</v>
      </c>
      <c r="K128" s="295">
        <v>2</v>
      </c>
      <c r="L128" s="295">
        <v>0</v>
      </c>
      <c r="M128" s="295">
        <v>0</v>
      </c>
      <c r="N128" s="295">
        <v>0</v>
      </c>
      <c r="O128" s="295">
        <v>0</v>
      </c>
      <c r="P128" s="295">
        <v>11</v>
      </c>
      <c r="Q128" s="295">
        <v>25</v>
      </c>
      <c r="R128" s="295">
        <v>0</v>
      </c>
      <c r="S128" s="295">
        <v>29</v>
      </c>
      <c r="T128" s="295">
        <v>13</v>
      </c>
      <c r="U128" s="295">
        <v>0</v>
      </c>
      <c r="V128" s="295">
        <v>0</v>
      </c>
      <c r="W128" s="295">
        <v>0</v>
      </c>
      <c r="X128" s="295">
        <v>0</v>
      </c>
      <c r="Y128" s="295">
        <v>4</v>
      </c>
      <c r="Z128" s="295">
        <v>0</v>
      </c>
      <c r="AA128" s="295">
        <v>0</v>
      </c>
      <c r="AB128" s="295">
        <v>0</v>
      </c>
      <c r="AC128" s="295">
        <v>6</v>
      </c>
      <c r="AD128" s="295">
        <v>0</v>
      </c>
      <c r="AE128" s="295">
        <v>0</v>
      </c>
      <c r="AF128" s="295">
        <v>0</v>
      </c>
      <c r="AG128" s="295">
        <v>0</v>
      </c>
    </row>
    <row r="129" spans="2:33">
      <c r="B129" s="265" t="s">
        <v>436</v>
      </c>
      <c r="C129" s="265" t="s">
        <v>46</v>
      </c>
      <c r="D129" s="265" t="s">
        <v>5167</v>
      </c>
      <c r="E129" s="269" t="s">
        <v>5120</v>
      </c>
      <c r="F129" s="265" t="s">
        <v>65</v>
      </c>
      <c r="G129" s="295">
        <v>51</v>
      </c>
      <c r="H129" s="295">
        <v>1</v>
      </c>
      <c r="I129" s="295">
        <v>18</v>
      </c>
      <c r="J129" s="295">
        <v>3</v>
      </c>
      <c r="K129" s="295">
        <v>8</v>
      </c>
      <c r="L129" s="295">
        <v>0</v>
      </c>
      <c r="M129" s="295">
        <v>0</v>
      </c>
      <c r="N129" s="295">
        <v>0</v>
      </c>
      <c r="O129" s="295">
        <v>0</v>
      </c>
      <c r="P129" s="295">
        <v>2</v>
      </c>
      <c r="Q129" s="295">
        <v>0</v>
      </c>
      <c r="R129" s="295">
        <v>0</v>
      </c>
      <c r="S129" s="295">
        <v>2</v>
      </c>
      <c r="T129" s="295">
        <v>2</v>
      </c>
      <c r="U129" s="295">
        <v>2</v>
      </c>
      <c r="V129" s="295">
        <v>0</v>
      </c>
      <c r="W129" s="295">
        <v>0</v>
      </c>
      <c r="X129" s="295">
        <v>0</v>
      </c>
      <c r="Y129" s="295">
        <v>9</v>
      </c>
      <c r="Z129" s="295">
        <v>0</v>
      </c>
      <c r="AA129" s="295">
        <v>0</v>
      </c>
      <c r="AB129" s="295">
        <v>0</v>
      </c>
      <c r="AC129" s="295">
        <v>4</v>
      </c>
      <c r="AD129" s="295">
        <v>0</v>
      </c>
      <c r="AE129" s="295">
        <v>0</v>
      </c>
      <c r="AF129" s="295">
        <v>0</v>
      </c>
      <c r="AG129" s="295">
        <v>0</v>
      </c>
    </row>
    <row r="130" spans="2:33">
      <c r="B130" s="265" t="s">
        <v>438</v>
      </c>
      <c r="C130" s="265" t="s">
        <v>46</v>
      </c>
      <c r="D130" s="265" t="s">
        <v>5169</v>
      </c>
      <c r="E130" s="269" t="s">
        <v>5121</v>
      </c>
      <c r="F130" s="265" t="s">
        <v>65</v>
      </c>
      <c r="G130" s="295">
        <v>564</v>
      </c>
      <c r="H130" s="295">
        <v>12</v>
      </c>
      <c r="I130" s="295">
        <v>63</v>
      </c>
      <c r="J130" s="295">
        <v>112</v>
      </c>
      <c r="K130" s="295">
        <v>32</v>
      </c>
      <c r="L130" s="295">
        <v>0</v>
      </c>
      <c r="M130" s="295">
        <v>0</v>
      </c>
      <c r="N130" s="295">
        <v>0</v>
      </c>
      <c r="O130" s="295">
        <v>0</v>
      </c>
      <c r="P130" s="295">
        <v>16</v>
      </c>
      <c r="Q130" s="295">
        <v>2</v>
      </c>
      <c r="R130" s="295">
        <v>31</v>
      </c>
      <c r="S130" s="295">
        <v>124</v>
      </c>
      <c r="T130" s="295">
        <v>0</v>
      </c>
      <c r="U130" s="295">
        <v>21</v>
      </c>
      <c r="V130" s="295">
        <v>0</v>
      </c>
      <c r="W130" s="295">
        <v>0</v>
      </c>
      <c r="X130" s="295">
        <v>0</v>
      </c>
      <c r="Y130" s="295">
        <v>59</v>
      </c>
      <c r="Z130" s="295">
        <v>0</v>
      </c>
      <c r="AA130" s="295">
        <v>3</v>
      </c>
      <c r="AB130" s="295">
        <v>3</v>
      </c>
      <c r="AC130" s="295">
        <v>7</v>
      </c>
      <c r="AD130" s="295">
        <v>76</v>
      </c>
      <c r="AE130" s="295">
        <v>0</v>
      </c>
      <c r="AF130" s="295">
        <v>2</v>
      </c>
      <c r="AG130" s="295">
        <v>1</v>
      </c>
    </row>
    <row r="131" spans="2:33">
      <c r="B131" s="265" t="s">
        <v>440</v>
      </c>
      <c r="C131" s="265" t="s">
        <v>46</v>
      </c>
      <c r="D131" s="265" t="s">
        <v>5171</v>
      </c>
      <c r="E131" s="269" t="s">
        <v>5114</v>
      </c>
      <c r="F131" s="265" t="s">
        <v>65</v>
      </c>
      <c r="G131" s="295">
        <v>394</v>
      </c>
      <c r="H131" s="295">
        <v>14</v>
      </c>
      <c r="I131" s="295">
        <v>62</v>
      </c>
      <c r="J131" s="295">
        <v>43</v>
      </c>
      <c r="K131" s="295">
        <v>62</v>
      </c>
      <c r="L131" s="295">
        <v>2</v>
      </c>
      <c r="M131" s="295">
        <v>0</v>
      </c>
      <c r="N131" s="295">
        <v>0</v>
      </c>
      <c r="O131" s="295">
        <v>0</v>
      </c>
      <c r="P131" s="295">
        <v>3</v>
      </c>
      <c r="Q131" s="295">
        <v>0</v>
      </c>
      <c r="R131" s="295">
        <v>41</v>
      </c>
      <c r="S131" s="295">
        <v>53</v>
      </c>
      <c r="T131" s="295">
        <v>1</v>
      </c>
      <c r="U131" s="295">
        <v>5</v>
      </c>
      <c r="V131" s="295">
        <v>0</v>
      </c>
      <c r="W131" s="295">
        <v>1</v>
      </c>
      <c r="X131" s="295">
        <v>0</v>
      </c>
      <c r="Y131" s="295">
        <v>3</v>
      </c>
      <c r="Z131" s="295">
        <v>0</v>
      </c>
      <c r="AA131" s="295">
        <v>0</v>
      </c>
      <c r="AB131" s="295">
        <v>0</v>
      </c>
      <c r="AC131" s="295">
        <v>53</v>
      </c>
      <c r="AD131" s="295">
        <v>51</v>
      </c>
      <c r="AE131" s="295">
        <v>0</v>
      </c>
      <c r="AF131" s="295">
        <v>0</v>
      </c>
      <c r="AG131" s="295">
        <v>0</v>
      </c>
    </row>
    <row r="132" spans="2:33">
      <c r="B132" s="265" t="s">
        <v>442</v>
      </c>
      <c r="C132" s="265" t="s">
        <v>5106</v>
      </c>
      <c r="D132" s="265" t="s">
        <v>5173</v>
      </c>
      <c r="E132" s="269" t="s">
        <v>5838</v>
      </c>
      <c r="F132" s="265" t="s">
        <v>65</v>
      </c>
      <c r="G132" s="295">
        <v>2632</v>
      </c>
      <c r="H132" s="295">
        <v>9</v>
      </c>
      <c r="I132" s="295">
        <v>105</v>
      </c>
      <c r="J132" s="295">
        <v>452</v>
      </c>
      <c r="K132" s="295">
        <v>411</v>
      </c>
      <c r="L132" s="295">
        <v>8</v>
      </c>
      <c r="M132" s="295">
        <v>0</v>
      </c>
      <c r="N132" s="295">
        <v>0</v>
      </c>
      <c r="O132" s="295">
        <v>0</v>
      </c>
      <c r="P132" s="295">
        <v>37</v>
      </c>
      <c r="Q132" s="295">
        <v>31</v>
      </c>
      <c r="R132" s="295">
        <v>37</v>
      </c>
      <c r="S132" s="295">
        <v>395</v>
      </c>
      <c r="T132" s="295">
        <v>28</v>
      </c>
      <c r="U132" s="295">
        <v>41</v>
      </c>
      <c r="V132" s="295">
        <v>0</v>
      </c>
      <c r="W132" s="295">
        <v>0</v>
      </c>
      <c r="X132" s="295">
        <v>0</v>
      </c>
      <c r="Y132" s="295">
        <v>304</v>
      </c>
      <c r="Z132" s="295">
        <v>17</v>
      </c>
      <c r="AA132" s="295">
        <v>9</v>
      </c>
      <c r="AB132" s="295">
        <v>27</v>
      </c>
      <c r="AC132" s="295">
        <v>14</v>
      </c>
      <c r="AD132" s="295">
        <v>614</v>
      </c>
      <c r="AE132" s="295">
        <v>88</v>
      </c>
      <c r="AF132" s="295">
        <v>4</v>
      </c>
      <c r="AG132" s="295">
        <v>1</v>
      </c>
    </row>
    <row r="133" spans="2:33">
      <c r="B133" s="265" t="s">
        <v>443</v>
      </c>
      <c r="C133" s="265" t="s">
        <v>142</v>
      </c>
      <c r="D133" s="265" t="s">
        <v>5178</v>
      </c>
      <c r="E133" s="269" t="s">
        <v>5107</v>
      </c>
      <c r="F133" s="265" t="s">
        <v>65</v>
      </c>
      <c r="G133" s="295">
        <v>2343</v>
      </c>
      <c r="H133" s="295">
        <v>3</v>
      </c>
      <c r="I133" s="295">
        <v>91</v>
      </c>
      <c r="J133" s="295">
        <v>256</v>
      </c>
      <c r="K133" s="295">
        <v>539</v>
      </c>
      <c r="L133" s="295">
        <v>0</v>
      </c>
      <c r="M133" s="295">
        <v>0</v>
      </c>
      <c r="N133" s="295">
        <v>0</v>
      </c>
      <c r="O133" s="295">
        <v>0</v>
      </c>
      <c r="P133" s="295">
        <v>23</v>
      </c>
      <c r="Q133" s="295">
        <v>1</v>
      </c>
      <c r="R133" s="295">
        <v>0</v>
      </c>
      <c r="S133" s="295">
        <v>45</v>
      </c>
      <c r="T133" s="295">
        <v>0</v>
      </c>
      <c r="U133" s="295">
        <v>38</v>
      </c>
      <c r="V133" s="295">
        <v>0</v>
      </c>
      <c r="W133" s="295">
        <v>0</v>
      </c>
      <c r="X133" s="295">
        <v>0</v>
      </c>
      <c r="Y133" s="295">
        <v>92</v>
      </c>
      <c r="Z133" s="295">
        <v>0</v>
      </c>
      <c r="AA133" s="295">
        <v>16</v>
      </c>
      <c r="AB133" s="295">
        <v>12</v>
      </c>
      <c r="AC133" s="295">
        <v>9</v>
      </c>
      <c r="AD133" s="295">
        <v>1152</v>
      </c>
      <c r="AE133" s="295">
        <v>62</v>
      </c>
      <c r="AF133" s="295">
        <v>4</v>
      </c>
      <c r="AG133" s="295">
        <v>0</v>
      </c>
    </row>
    <row r="134" spans="2:33">
      <c r="B134" s="265" t="s">
        <v>444</v>
      </c>
      <c r="C134" s="265" t="s">
        <v>125</v>
      </c>
      <c r="D134" s="265" t="s">
        <v>5181</v>
      </c>
      <c r="E134" s="269" t="s">
        <v>5102</v>
      </c>
      <c r="F134" s="265" t="s">
        <v>65</v>
      </c>
      <c r="G134" s="295">
        <v>1013</v>
      </c>
      <c r="H134" s="295">
        <v>0</v>
      </c>
      <c r="I134" s="295">
        <v>17</v>
      </c>
      <c r="J134" s="295">
        <v>130</v>
      </c>
      <c r="K134" s="295">
        <v>250</v>
      </c>
      <c r="L134" s="295">
        <v>0</v>
      </c>
      <c r="M134" s="295">
        <v>0</v>
      </c>
      <c r="N134" s="295">
        <v>0</v>
      </c>
      <c r="O134" s="295">
        <v>0</v>
      </c>
      <c r="P134" s="295">
        <v>23</v>
      </c>
      <c r="Q134" s="295">
        <v>0</v>
      </c>
      <c r="R134" s="295">
        <v>0</v>
      </c>
      <c r="S134" s="295">
        <v>115</v>
      </c>
      <c r="T134" s="295">
        <v>7</v>
      </c>
      <c r="U134" s="295">
        <v>0</v>
      </c>
      <c r="V134" s="295">
        <v>0</v>
      </c>
      <c r="W134" s="295">
        <v>0</v>
      </c>
      <c r="X134" s="295">
        <v>8</v>
      </c>
      <c r="Y134" s="295">
        <v>165</v>
      </c>
      <c r="Z134" s="295">
        <v>6</v>
      </c>
      <c r="AA134" s="295">
        <v>10</v>
      </c>
      <c r="AB134" s="295">
        <v>10</v>
      </c>
      <c r="AC134" s="295">
        <v>0</v>
      </c>
      <c r="AD134" s="295">
        <v>268</v>
      </c>
      <c r="AE134" s="295">
        <v>0</v>
      </c>
      <c r="AF134" s="295">
        <v>2</v>
      </c>
      <c r="AG134" s="295">
        <v>2</v>
      </c>
    </row>
    <row r="135" spans="2:33">
      <c r="B135" s="265" t="s">
        <v>446</v>
      </c>
      <c r="C135" s="265" t="s">
        <v>125</v>
      </c>
      <c r="D135" s="265" t="s">
        <v>5183</v>
      </c>
      <c r="E135" s="269" t="s">
        <v>5102</v>
      </c>
      <c r="F135" s="265" t="s">
        <v>65</v>
      </c>
      <c r="G135" s="295">
        <v>1013</v>
      </c>
      <c r="H135" s="295">
        <v>0</v>
      </c>
      <c r="I135" s="295">
        <v>17</v>
      </c>
      <c r="J135" s="295">
        <v>130</v>
      </c>
      <c r="K135" s="295">
        <v>250</v>
      </c>
      <c r="L135" s="295">
        <v>0</v>
      </c>
      <c r="M135" s="295">
        <v>0</v>
      </c>
      <c r="N135" s="295">
        <v>0</v>
      </c>
      <c r="O135" s="295">
        <v>0</v>
      </c>
      <c r="P135" s="295">
        <v>23</v>
      </c>
      <c r="Q135" s="295">
        <v>0</v>
      </c>
      <c r="R135" s="295">
        <v>0</v>
      </c>
      <c r="S135" s="295">
        <v>115</v>
      </c>
      <c r="T135" s="295">
        <v>7</v>
      </c>
      <c r="U135" s="295">
        <v>0</v>
      </c>
      <c r="V135" s="295">
        <v>0</v>
      </c>
      <c r="W135" s="295">
        <v>0</v>
      </c>
      <c r="X135" s="295">
        <v>8</v>
      </c>
      <c r="Y135" s="295">
        <v>165</v>
      </c>
      <c r="Z135" s="295">
        <v>6</v>
      </c>
      <c r="AA135" s="295">
        <v>10</v>
      </c>
      <c r="AB135" s="295">
        <v>10</v>
      </c>
      <c r="AC135" s="295">
        <v>0</v>
      </c>
      <c r="AD135" s="295">
        <v>268</v>
      </c>
      <c r="AE135" s="295">
        <v>0</v>
      </c>
      <c r="AF135" s="295">
        <v>2</v>
      </c>
      <c r="AG135" s="295">
        <v>2</v>
      </c>
    </row>
    <row r="136" spans="2:33">
      <c r="B136" s="265" t="s">
        <v>447</v>
      </c>
      <c r="C136" s="265" t="s">
        <v>125</v>
      </c>
      <c r="D136" s="265" t="s">
        <v>5185</v>
      </c>
      <c r="E136" s="269" t="s">
        <v>5103</v>
      </c>
      <c r="F136" s="265" t="s">
        <v>65</v>
      </c>
      <c r="G136" s="295">
        <v>1387</v>
      </c>
      <c r="H136" s="295">
        <v>0</v>
      </c>
      <c r="I136" s="295">
        <v>23</v>
      </c>
      <c r="J136" s="295">
        <v>179</v>
      </c>
      <c r="K136" s="295">
        <v>345</v>
      </c>
      <c r="L136" s="295">
        <v>0</v>
      </c>
      <c r="M136" s="295">
        <v>0</v>
      </c>
      <c r="N136" s="295">
        <v>0</v>
      </c>
      <c r="O136" s="295">
        <v>0</v>
      </c>
      <c r="P136" s="295">
        <v>32</v>
      </c>
      <c r="Q136" s="295">
        <v>0</v>
      </c>
      <c r="R136" s="295">
        <v>0</v>
      </c>
      <c r="S136" s="295">
        <v>153</v>
      </c>
      <c r="T136" s="295">
        <v>9</v>
      </c>
      <c r="U136" s="295">
        <v>0</v>
      </c>
      <c r="V136" s="295">
        <v>0</v>
      </c>
      <c r="W136" s="295">
        <v>0</v>
      </c>
      <c r="X136" s="295">
        <v>12</v>
      </c>
      <c r="Y136" s="295">
        <v>227</v>
      </c>
      <c r="Z136" s="295">
        <v>8</v>
      </c>
      <c r="AA136" s="295">
        <v>14</v>
      </c>
      <c r="AB136" s="295">
        <v>12</v>
      </c>
      <c r="AC136" s="295">
        <v>0</v>
      </c>
      <c r="AD136" s="295">
        <v>369</v>
      </c>
      <c r="AE136" s="295">
        <v>0</v>
      </c>
      <c r="AF136" s="295">
        <v>2</v>
      </c>
      <c r="AG136" s="295">
        <v>2</v>
      </c>
    </row>
    <row r="137" spans="2:33">
      <c r="B137" s="265" t="s">
        <v>448</v>
      </c>
      <c r="C137" s="265" t="s">
        <v>125</v>
      </c>
      <c r="D137" s="265" t="s">
        <v>5236</v>
      </c>
      <c r="E137" s="269" t="s">
        <v>5233</v>
      </c>
      <c r="F137" s="265" t="s">
        <v>65</v>
      </c>
      <c r="G137" s="295">
        <v>755</v>
      </c>
      <c r="H137" s="295">
        <v>0</v>
      </c>
      <c r="I137" s="295">
        <v>30</v>
      </c>
      <c r="J137" s="295">
        <v>38</v>
      </c>
      <c r="K137" s="295">
        <v>68</v>
      </c>
      <c r="L137" s="295">
        <v>0</v>
      </c>
      <c r="M137" s="295">
        <v>0</v>
      </c>
      <c r="N137" s="295">
        <v>0</v>
      </c>
      <c r="O137" s="295">
        <v>0</v>
      </c>
      <c r="P137" s="295">
        <v>6</v>
      </c>
      <c r="Q137" s="295">
        <v>0</v>
      </c>
      <c r="R137" s="295">
        <v>12</v>
      </c>
      <c r="S137" s="295">
        <v>128</v>
      </c>
      <c r="T137" s="295">
        <v>22</v>
      </c>
      <c r="U137" s="295">
        <v>0</v>
      </c>
      <c r="V137" s="295">
        <v>0</v>
      </c>
      <c r="W137" s="295">
        <v>0</v>
      </c>
      <c r="X137" s="295">
        <v>3</v>
      </c>
      <c r="Y137" s="295">
        <v>190</v>
      </c>
      <c r="Z137" s="295">
        <v>6</v>
      </c>
      <c r="AA137" s="295">
        <v>30</v>
      </c>
      <c r="AB137" s="295">
        <v>12</v>
      </c>
      <c r="AC137" s="295">
        <v>0</v>
      </c>
      <c r="AD137" s="295">
        <v>132</v>
      </c>
      <c r="AE137" s="295">
        <v>75</v>
      </c>
      <c r="AF137" s="295">
        <v>1</v>
      </c>
      <c r="AG137" s="295">
        <v>2</v>
      </c>
    </row>
    <row r="138" spans="2:33">
      <c r="B138" s="265" t="s">
        <v>449</v>
      </c>
      <c r="C138" s="265" t="s">
        <v>125</v>
      </c>
      <c r="D138" s="265" t="s">
        <v>5238</v>
      </c>
      <c r="E138" s="269" t="s">
        <v>5233</v>
      </c>
      <c r="F138" s="265" t="s">
        <v>65</v>
      </c>
      <c r="G138" s="295">
        <v>754</v>
      </c>
      <c r="H138" s="295">
        <v>0</v>
      </c>
      <c r="I138" s="295">
        <v>30</v>
      </c>
      <c r="J138" s="295">
        <v>38</v>
      </c>
      <c r="K138" s="295">
        <v>68</v>
      </c>
      <c r="L138" s="295">
        <v>0</v>
      </c>
      <c r="M138" s="295">
        <v>0</v>
      </c>
      <c r="N138" s="295">
        <v>0</v>
      </c>
      <c r="O138" s="295">
        <v>0</v>
      </c>
      <c r="P138" s="295">
        <v>6</v>
      </c>
      <c r="Q138" s="295">
        <v>0</v>
      </c>
      <c r="R138" s="295">
        <v>12</v>
      </c>
      <c r="S138" s="295">
        <v>127</v>
      </c>
      <c r="T138" s="295">
        <v>22</v>
      </c>
      <c r="U138" s="295">
        <v>0</v>
      </c>
      <c r="V138" s="295">
        <v>0</v>
      </c>
      <c r="W138" s="295">
        <v>0</v>
      </c>
      <c r="X138" s="295">
        <v>3</v>
      </c>
      <c r="Y138" s="295">
        <v>190</v>
      </c>
      <c r="Z138" s="295">
        <v>6</v>
      </c>
      <c r="AA138" s="295">
        <v>30</v>
      </c>
      <c r="AB138" s="295">
        <v>12</v>
      </c>
      <c r="AC138" s="295">
        <v>0</v>
      </c>
      <c r="AD138" s="295">
        <v>132</v>
      </c>
      <c r="AE138" s="295">
        <v>75</v>
      </c>
      <c r="AF138" s="295">
        <v>1</v>
      </c>
      <c r="AG138" s="295">
        <v>2</v>
      </c>
    </row>
    <row r="139" spans="2:33">
      <c r="B139" s="265" t="s">
        <v>450</v>
      </c>
      <c r="C139" s="265" t="s">
        <v>125</v>
      </c>
      <c r="D139" s="265" t="s">
        <v>5240</v>
      </c>
      <c r="E139" s="269" t="s">
        <v>5234</v>
      </c>
      <c r="F139" s="265" t="s">
        <v>65</v>
      </c>
      <c r="G139" s="295">
        <v>1040</v>
      </c>
      <c r="H139" s="295">
        <v>0</v>
      </c>
      <c r="I139" s="295">
        <v>42</v>
      </c>
      <c r="J139" s="295">
        <v>52</v>
      </c>
      <c r="K139" s="295">
        <v>94</v>
      </c>
      <c r="L139" s="295">
        <v>0</v>
      </c>
      <c r="M139" s="295">
        <v>0</v>
      </c>
      <c r="N139" s="295">
        <v>0</v>
      </c>
      <c r="O139" s="295">
        <v>0</v>
      </c>
      <c r="P139" s="295">
        <v>9</v>
      </c>
      <c r="Q139" s="295">
        <v>0</v>
      </c>
      <c r="R139" s="295">
        <v>17</v>
      </c>
      <c r="S139" s="295">
        <v>176</v>
      </c>
      <c r="T139" s="295">
        <v>30</v>
      </c>
      <c r="U139" s="295">
        <v>0</v>
      </c>
      <c r="V139" s="295">
        <v>0</v>
      </c>
      <c r="W139" s="295">
        <v>0</v>
      </c>
      <c r="X139" s="295">
        <v>3</v>
      </c>
      <c r="Y139" s="295">
        <v>262</v>
      </c>
      <c r="Z139" s="295">
        <v>8</v>
      </c>
      <c r="AA139" s="295">
        <v>41</v>
      </c>
      <c r="AB139" s="295">
        <v>17</v>
      </c>
      <c r="AC139" s="295">
        <v>0</v>
      </c>
      <c r="AD139" s="295">
        <v>182</v>
      </c>
      <c r="AE139" s="295">
        <v>103</v>
      </c>
      <c r="AF139" s="295">
        <v>1</v>
      </c>
      <c r="AG139" s="295">
        <v>3</v>
      </c>
    </row>
    <row r="140" spans="2:33">
      <c r="B140" s="265" t="s">
        <v>452</v>
      </c>
      <c r="C140" s="265" t="s">
        <v>125</v>
      </c>
      <c r="D140" s="265" t="s">
        <v>5255</v>
      </c>
      <c r="E140" s="269" t="s">
        <v>5246</v>
      </c>
      <c r="F140" s="265" t="s">
        <v>65</v>
      </c>
      <c r="G140" s="295">
        <v>1134</v>
      </c>
      <c r="H140" s="295">
        <v>0</v>
      </c>
      <c r="I140" s="295">
        <v>33</v>
      </c>
      <c r="J140" s="295">
        <v>58</v>
      </c>
      <c r="K140" s="295">
        <v>306</v>
      </c>
      <c r="L140" s="295">
        <v>0</v>
      </c>
      <c r="M140" s="295">
        <v>0</v>
      </c>
      <c r="N140" s="295">
        <v>0</v>
      </c>
      <c r="O140" s="295">
        <v>0</v>
      </c>
      <c r="P140" s="295">
        <v>54</v>
      </c>
      <c r="Q140" s="295">
        <v>0</v>
      </c>
      <c r="R140" s="295">
        <v>0</v>
      </c>
      <c r="S140" s="295">
        <v>135</v>
      </c>
      <c r="T140" s="295">
        <v>0</v>
      </c>
      <c r="U140" s="295">
        <v>3</v>
      </c>
      <c r="V140" s="295">
        <v>0</v>
      </c>
      <c r="W140" s="295">
        <v>0</v>
      </c>
      <c r="X140" s="295">
        <v>17</v>
      </c>
      <c r="Y140" s="295">
        <v>195</v>
      </c>
      <c r="Z140" s="295">
        <v>96</v>
      </c>
      <c r="AA140" s="295">
        <v>60</v>
      </c>
      <c r="AB140" s="295">
        <v>23</v>
      </c>
      <c r="AC140" s="295">
        <v>0</v>
      </c>
      <c r="AD140" s="295">
        <v>154</v>
      </c>
      <c r="AE140" s="295">
        <v>0</v>
      </c>
      <c r="AF140" s="295">
        <v>0</v>
      </c>
      <c r="AG140" s="295">
        <v>0</v>
      </c>
    </row>
    <row r="141" spans="2:33">
      <c r="B141" s="265" t="s">
        <v>454</v>
      </c>
      <c r="C141" s="265" t="s">
        <v>125</v>
      </c>
      <c r="D141" s="265" t="s">
        <v>5257</v>
      </c>
      <c r="E141" s="269" t="s">
        <v>5246</v>
      </c>
      <c r="F141" s="265" t="s">
        <v>65</v>
      </c>
      <c r="G141" s="295">
        <v>1134</v>
      </c>
      <c r="H141" s="295">
        <v>0</v>
      </c>
      <c r="I141" s="295">
        <v>33</v>
      </c>
      <c r="J141" s="295">
        <v>58</v>
      </c>
      <c r="K141" s="295">
        <v>306</v>
      </c>
      <c r="L141" s="295">
        <v>0</v>
      </c>
      <c r="M141" s="295">
        <v>0</v>
      </c>
      <c r="N141" s="295">
        <v>0</v>
      </c>
      <c r="O141" s="295">
        <v>0</v>
      </c>
      <c r="P141" s="295">
        <v>54</v>
      </c>
      <c r="Q141" s="295">
        <v>0</v>
      </c>
      <c r="R141" s="295">
        <v>0</v>
      </c>
      <c r="S141" s="295">
        <v>135</v>
      </c>
      <c r="T141" s="295">
        <v>0</v>
      </c>
      <c r="U141" s="295">
        <v>3</v>
      </c>
      <c r="V141" s="295">
        <v>0</v>
      </c>
      <c r="W141" s="295">
        <v>0</v>
      </c>
      <c r="X141" s="295">
        <v>17</v>
      </c>
      <c r="Y141" s="295">
        <v>195</v>
      </c>
      <c r="Z141" s="295">
        <v>96</v>
      </c>
      <c r="AA141" s="295">
        <v>60</v>
      </c>
      <c r="AB141" s="295">
        <v>23</v>
      </c>
      <c r="AC141" s="295">
        <v>0</v>
      </c>
      <c r="AD141" s="295">
        <v>154</v>
      </c>
      <c r="AE141" s="295">
        <v>0</v>
      </c>
      <c r="AF141" s="295">
        <v>0</v>
      </c>
      <c r="AG141" s="295">
        <v>0</v>
      </c>
    </row>
    <row r="142" spans="2:33">
      <c r="B142" s="265" t="s">
        <v>456</v>
      </c>
      <c r="C142" s="265" t="s">
        <v>125</v>
      </c>
      <c r="D142" s="265" t="s">
        <v>5259</v>
      </c>
      <c r="E142" s="269" t="s">
        <v>5247</v>
      </c>
      <c r="F142" s="265" t="s">
        <v>65</v>
      </c>
      <c r="G142" s="295">
        <v>1567</v>
      </c>
      <c r="H142" s="295">
        <v>0</v>
      </c>
      <c r="I142" s="295">
        <v>46</v>
      </c>
      <c r="J142" s="295">
        <v>81</v>
      </c>
      <c r="K142" s="295">
        <v>422</v>
      </c>
      <c r="L142" s="295">
        <v>0</v>
      </c>
      <c r="M142" s="295">
        <v>0</v>
      </c>
      <c r="N142" s="295">
        <v>0</v>
      </c>
      <c r="O142" s="295">
        <v>0</v>
      </c>
      <c r="P142" s="295">
        <v>75</v>
      </c>
      <c r="Q142" s="295">
        <v>0</v>
      </c>
      <c r="R142" s="295">
        <v>0</v>
      </c>
      <c r="S142" s="295">
        <v>186</v>
      </c>
      <c r="T142" s="295">
        <v>0</v>
      </c>
      <c r="U142" s="295">
        <v>4</v>
      </c>
      <c r="V142" s="295">
        <v>0</v>
      </c>
      <c r="W142" s="295">
        <v>0</v>
      </c>
      <c r="X142" s="295">
        <v>23</v>
      </c>
      <c r="Y142" s="295">
        <v>269</v>
      </c>
      <c r="Z142" s="295">
        <v>133</v>
      </c>
      <c r="AA142" s="295">
        <v>83</v>
      </c>
      <c r="AB142" s="295">
        <v>32</v>
      </c>
      <c r="AC142" s="295">
        <v>0</v>
      </c>
      <c r="AD142" s="295">
        <v>213</v>
      </c>
      <c r="AE142" s="295">
        <v>0</v>
      </c>
      <c r="AF142" s="295">
        <v>0</v>
      </c>
      <c r="AG142" s="295">
        <v>0</v>
      </c>
    </row>
    <row r="143" spans="2:33">
      <c r="B143" s="265" t="s">
        <v>458</v>
      </c>
      <c r="C143" s="265" t="s">
        <v>4558</v>
      </c>
      <c r="D143" s="265" t="s">
        <v>5492</v>
      </c>
      <c r="E143" s="269" t="s">
        <v>5475</v>
      </c>
      <c r="F143" s="265" t="s">
        <v>65</v>
      </c>
      <c r="G143" s="295">
        <v>723</v>
      </c>
      <c r="H143" s="295">
        <v>9</v>
      </c>
      <c r="I143" s="295">
        <v>8</v>
      </c>
      <c r="J143" s="295">
        <v>87</v>
      </c>
      <c r="K143" s="295">
        <v>24</v>
      </c>
      <c r="L143" s="295">
        <v>0</v>
      </c>
      <c r="M143" s="295">
        <v>0</v>
      </c>
      <c r="N143" s="295">
        <v>0</v>
      </c>
      <c r="O143" s="295">
        <v>0</v>
      </c>
      <c r="P143" s="295">
        <v>7</v>
      </c>
      <c r="Q143" s="295">
        <v>15</v>
      </c>
      <c r="R143" s="295">
        <v>148</v>
      </c>
      <c r="S143" s="295">
        <v>288</v>
      </c>
      <c r="T143" s="295">
        <v>8</v>
      </c>
      <c r="U143" s="295">
        <v>24</v>
      </c>
      <c r="V143" s="295">
        <v>0</v>
      </c>
      <c r="W143" s="295">
        <v>3</v>
      </c>
      <c r="X143" s="295">
        <v>0</v>
      </c>
      <c r="Y143" s="295">
        <v>16</v>
      </c>
      <c r="Z143" s="295">
        <v>5</v>
      </c>
      <c r="AA143" s="295">
        <v>0</v>
      </c>
      <c r="AB143" s="295">
        <v>7</v>
      </c>
      <c r="AC143" s="295">
        <v>66</v>
      </c>
      <c r="AD143" s="295">
        <v>0</v>
      </c>
      <c r="AE143" s="295">
        <v>0</v>
      </c>
      <c r="AF143" s="295">
        <v>5</v>
      </c>
      <c r="AG143" s="295">
        <v>3</v>
      </c>
    </row>
    <row r="144" spans="2:33">
      <c r="B144" s="265" t="s">
        <v>460</v>
      </c>
      <c r="C144" s="265" t="s">
        <v>45</v>
      </c>
      <c r="D144" s="265" t="s">
        <v>5293</v>
      </c>
      <c r="E144" s="269" t="s">
        <v>5421</v>
      </c>
      <c r="F144" s="265" t="s">
        <v>65</v>
      </c>
      <c r="G144" s="295">
        <v>629</v>
      </c>
      <c r="H144" s="295">
        <v>14</v>
      </c>
      <c r="I144" s="295">
        <v>36</v>
      </c>
      <c r="J144" s="295">
        <v>60</v>
      </c>
      <c r="K144" s="295">
        <v>45</v>
      </c>
      <c r="L144" s="295">
        <v>3</v>
      </c>
      <c r="M144" s="295">
        <v>0</v>
      </c>
      <c r="N144" s="295">
        <v>0</v>
      </c>
      <c r="O144" s="295">
        <v>0</v>
      </c>
      <c r="P144" s="295">
        <v>32</v>
      </c>
      <c r="Q144" s="295">
        <v>1</v>
      </c>
      <c r="R144" s="295">
        <v>47</v>
      </c>
      <c r="S144" s="295">
        <v>194</v>
      </c>
      <c r="T144" s="295">
        <v>0</v>
      </c>
      <c r="U144" s="295">
        <v>15</v>
      </c>
      <c r="V144" s="295">
        <v>0</v>
      </c>
      <c r="W144" s="295">
        <v>0</v>
      </c>
      <c r="X144" s="295">
        <v>0</v>
      </c>
      <c r="Y144" s="295">
        <v>96</v>
      </c>
      <c r="Z144" s="295">
        <v>9</v>
      </c>
      <c r="AA144" s="295">
        <v>4</v>
      </c>
      <c r="AB144" s="295">
        <v>2</v>
      </c>
      <c r="AC144" s="295">
        <v>64</v>
      </c>
      <c r="AD144" s="295">
        <v>6</v>
      </c>
      <c r="AE144" s="295">
        <v>1</v>
      </c>
      <c r="AF144" s="295">
        <v>0</v>
      </c>
      <c r="AG144" s="295">
        <v>0</v>
      </c>
    </row>
    <row r="145" spans="2:33">
      <c r="B145" s="265" t="s">
        <v>462</v>
      </c>
      <c r="C145" s="265" t="s">
        <v>4558</v>
      </c>
      <c r="D145" s="265" t="s">
        <v>5294</v>
      </c>
      <c r="E145" s="269" t="s">
        <v>5285</v>
      </c>
      <c r="F145" s="265" t="s">
        <v>65</v>
      </c>
      <c r="G145" s="295">
        <v>1243</v>
      </c>
      <c r="H145" s="295">
        <v>18</v>
      </c>
      <c r="I145" s="295">
        <v>85</v>
      </c>
      <c r="J145" s="295">
        <v>198</v>
      </c>
      <c r="K145" s="295">
        <v>88</v>
      </c>
      <c r="L145" s="295">
        <v>0</v>
      </c>
      <c r="M145" s="295">
        <v>0</v>
      </c>
      <c r="N145" s="295">
        <v>32</v>
      </c>
      <c r="O145" s="295">
        <v>0</v>
      </c>
      <c r="P145" s="295">
        <v>55</v>
      </c>
      <c r="Q145" s="295">
        <v>6</v>
      </c>
      <c r="R145" s="295">
        <v>69</v>
      </c>
      <c r="S145" s="295">
        <v>380</v>
      </c>
      <c r="T145" s="295">
        <v>7</v>
      </c>
      <c r="U145" s="295">
        <v>39</v>
      </c>
      <c r="V145" s="295">
        <v>0</v>
      </c>
      <c r="W145" s="295">
        <v>2</v>
      </c>
      <c r="X145" s="295">
        <v>0</v>
      </c>
      <c r="Y145" s="295">
        <v>112</v>
      </c>
      <c r="Z145" s="295">
        <v>1</v>
      </c>
      <c r="AA145" s="295">
        <v>1</v>
      </c>
      <c r="AB145" s="295">
        <v>12</v>
      </c>
      <c r="AC145" s="295">
        <v>46</v>
      </c>
      <c r="AD145" s="295">
        <v>74</v>
      </c>
      <c r="AE145" s="295">
        <v>11</v>
      </c>
      <c r="AF145" s="295">
        <v>5</v>
      </c>
      <c r="AG145" s="295">
        <v>2</v>
      </c>
    </row>
    <row r="146" spans="2:33">
      <c r="B146" s="265" t="s">
        <v>464</v>
      </c>
      <c r="C146" s="265" t="s">
        <v>4558</v>
      </c>
      <c r="D146" s="265" t="s">
        <v>5295</v>
      </c>
      <c r="E146" s="269" t="s">
        <v>5286</v>
      </c>
      <c r="F146" s="265" t="s">
        <v>65</v>
      </c>
      <c r="G146" s="295">
        <v>2400</v>
      </c>
      <c r="H146" s="295">
        <v>23</v>
      </c>
      <c r="I146" s="295">
        <v>55</v>
      </c>
      <c r="J146" s="295">
        <v>183</v>
      </c>
      <c r="K146" s="295">
        <v>91</v>
      </c>
      <c r="L146" s="295">
        <v>0</v>
      </c>
      <c r="M146" s="295">
        <v>0</v>
      </c>
      <c r="N146" s="295">
        <v>0</v>
      </c>
      <c r="O146" s="295">
        <v>0</v>
      </c>
      <c r="P146" s="295">
        <v>43</v>
      </c>
      <c r="Q146" s="295">
        <v>9</v>
      </c>
      <c r="R146" s="295">
        <v>369</v>
      </c>
      <c r="S146" s="295">
        <v>1144</v>
      </c>
      <c r="T146" s="295">
        <v>0</v>
      </c>
      <c r="U146" s="295">
        <v>204</v>
      </c>
      <c r="V146" s="295">
        <v>0</v>
      </c>
      <c r="W146" s="295">
        <v>10</v>
      </c>
      <c r="X146" s="295">
        <v>0</v>
      </c>
      <c r="Y146" s="295">
        <v>88</v>
      </c>
      <c r="Z146" s="295">
        <v>0</v>
      </c>
      <c r="AA146" s="295">
        <v>6</v>
      </c>
      <c r="AB146" s="295">
        <v>59</v>
      </c>
      <c r="AC146" s="295">
        <v>10</v>
      </c>
      <c r="AD146" s="295">
        <v>2</v>
      </c>
      <c r="AE146" s="295">
        <v>9</v>
      </c>
      <c r="AF146" s="295">
        <v>65</v>
      </c>
      <c r="AG146" s="295">
        <v>30</v>
      </c>
    </row>
    <row r="147" spans="2:33">
      <c r="B147" s="265" t="s">
        <v>466</v>
      </c>
      <c r="C147" s="265" t="s">
        <v>4558</v>
      </c>
      <c r="D147" s="265" t="s">
        <v>5296</v>
      </c>
      <c r="E147" s="269" t="s">
        <v>5287</v>
      </c>
      <c r="F147" s="265" t="s">
        <v>65</v>
      </c>
      <c r="G147" s="295">
        <v>2233</v>
      </c>
      <c r="H147" s="295">
        <v>57</v>
      </c>
      <c r="I147" s="295">
        <v>376</v>
      </c>
      <c r="J147" s="295">
        <v>266</v>
      </c>
      <c r="K147" s="295">
        <v>197</v>
      </c>
      <c r="L147" s="295">
        <v>21</v>
      </c>
      <c r="M147" s="295">
        <v>0</v>
      </c>
      <c r="N147" s="295">
        <v>0</v>
      </c>
      <c r="O147" s="295">
        <v>0</v>
      </c>
      <c r="P147" s="295">
        <v>48</v>
      </c>
      <c r="Q147" s="295">
        <v>16</v>
      </c>
      <c r="R147" s="295">
        <v>155</v>
      </c>
      <c r="S147" s="295">
        <v>652</v>
      </c>
      <c r="T147" s="295">
        <v>13</v>
      </c>
      <c r="U147" s="295">
        <v>87</v>
      </c>
      <c r="V147" s="295">
        <v>0</v>
      </c>
      <c r="W147" s="295">
        <v>7</v>
      </c>
      <c r="X147" s="295">
        <v>0</v>
      </c>
      <c r="Y147" s="295">
        <v>125</v>
      </c>
      <c r="Z147" s="295">
        <v>2</v>
      </c>
      <c r="AA147" s="295">
        <v>3</v>
      </c>
      <c r="AB147" s="295">
        <v>43</v>
      </c>
      <c r="AC147" s="295">
        <v>79</v>
      </c>
      <c r="AD147" s="295">
        <v>40</v>
      </c>
      <c r="AE147" s="295">
        <v>12</v>
      </c>
      <c r="AF147" s="295">
        <v>18</v>
      </c>
      <c r="AG147" s="295">
        <v>16</v>
      </c>
    </row>
    <row r="148" spans="2:33">
      <c r="B148" s="265" t="s">
        <v>468</v>
      </c>
      <c r="C148" s="265" t="s">
        <v>4558</v>
      </c>
      <c r="D148" s="265" t="s">
        <v>5297</v>
      </c>
      <c r="E148" s="269" t="s">
        <v>5288</v>
      </c>
      <c r="F148" s="265" t="s">
        <v>65</v>
      </c>
      <c r="G148" s="295">
        <v>1936</v>
      </c>
      <c r="H148" s="295">
        <v>41</v>
      </c>
      <c r="I148" s="295">
        <v>305</v>
      </c>
      <c r="J148" s="295">
        <v>288</v>
      </c>
      <c r="K148" s="295">
        <v>276</v>
      </c>
      <c r="L148" s="295">
        <v>2</v>
      </c>
      <c r="M148" s="295">
        <v>0</v>
      </c>
      <c r="N148" s="295">
        <v>0</v>
      </c>
      <c r="O148" s="295">
        <v>0</v>
      </c>
      <c r="P148" s="295">
        <v>22</v>
      </c>
      <c r="Q148" s="295">
        <v>29</v>
      </c>
      <c r="R148" s="295">
        <v>257</v>
      </c>
      <c r="S148" s="295">
        <v>439</v>
      </c>
      <c r="T148" s="295">
        <v>15</v>
      </c>
      <c r="U148" s="295">
        <v>68</v>
      </c>
      <c r="V148" s="295">
        <v>0</v>
      </c>
      <c r="W148" s="295">
        <v>31</v>
      </c>
      <c r="X148" s="295">
        <v>0</v>
      </c>
      <c r="Y148" s="295">
        <v>19</v>
      </c>
      <c r="Z148" s="295">
        <v>26</v>
      </c>
      <c r="AA148" s="295">
        <v>0</v>
      </c>
      <c r="AB148" s="295">
        <v>22</v>
      </c>
      <c r="AC148" s="295">
        <v>66</v>
      </c>
      <c r="AD148" s="295">
        <v>0</v>
      </c>
      <c r="AE148" s="295">
        <v>18</v>
      </c>
      <c r="AF148" s="295">
        <v>12</v>
      </c>
      <c r="AG148" s="295">
        <v>0</v>
      </c>
    </row>
    <row r="149" spans="2:33">
      <c r="B149" s="265" t="s">
        <v>470</v>
      </c>
      <c r="C149" s="265" t="s">
        <v>39</v>
      </c>
      <c r="D149" s="265" t="s">
        <v>5298</v>
      </c>
      <c r="E149" s="269" t="s">
        <v>5289</v>
      </c>
      <c r="F149" s="265" t="s">
        <v>65</v>
      </c>
      <c r="G149" s="295">
        <v>230</v>
      </c>
      <c r="H149" s="295">
        <v>0</v>
      </c>
      <c r="I149" s="295">
        <v>10</v>
      </c>
      <c r="J149" s="295">
        <v>20</v>
      </c>
      <c r="K149" s="295">
        <v>53</v>
      </c>
      <c r="L149" s="295">
        <v>0</v>
      </c>
      <c r="M149" s="295">
        <v>0</v>
      </c>
      <c r="N149" s="295">
        <v>0</v>
      </c>
      <c r="O149" s="295">
        <v>0</v>
      </c>
      <c r="P149" s="295">
        <v>2</v>
      </c>
      <c r="Q149" s="295">
        <v>0</v>
      </c>
      <c r="R149" s="295">
        <v>0</v>
      </c>
      <c r="S149" s="295">
        <v>3</v>
      </c>
      <c r="T149" s="295">
        <v>0</v>
      </c>
      <c r="U149" s="295">
        <v>4</v>
      </c>
      <c r="V149" s="295">
        <v>0</v>
      </c>
      <c r="W149" s="295">
        <v>0</v>
      </c>
      <c r="X149" s="295">
        <v>0</v>
      </c>
      <c r="Y149" s="295">
        <v>9</v>
      </c>
      <c r="Z149" s="295">
        <v>0</v>
      </c>
      <c r="AA149" s="295">
        <v>2</v>
      </c>
      <c r="AB149" s="295">
        <v>1</v>
      </c>
      <c r="AC149" s="295">
        <v>1</v>
      </c>
      <c r="AD149" s="295">
        <v>118</v>
      </c>
      <c r="AE149" s="295">
        <v>7</v>
      </c>
      <c r="AF149" s="295">
        <v>0</v>
      </c>
      <c r="AG149" s="295">
        <v>0</v>
      </c>
    </row>
    <row r="150" spans="2:33">
      <c r="B150" s="265" t="s">
        <v>472</v>
      </c>
      <c r="C150" s="265" t="s">
        <v>147</v>
      </c>
      <c r="D150" s="265" t="s">
        <v>5291</v>
      </c>
      <c r="E150" s="269" t="s">
        <v>5274</v>
      </c>
      <c r="F150" s="265" t="s">
        <v>65</v>
      </c>
      <c r="G150" s="295">
        <v>2</v>
      </c>
      <c r="H150" s="295">
        <v>0</v>
      </c>
      <c r="I150" s="295">
        <v>0</v>
      </c>
      <c r="J150" s="295">
        <v>0</v>
      </c>
      <c r="K150" s="295">
        <v>0</v>
      </c>
      <c r="L150" s="295">
        <v>0</v>
      </c>
      <c r="M150" s="295">
        <v>0</v>
      </c>
      <c r="N150" s="295">
        <v>0</v>
      </c>
      <c r="O150" s="295">
        <v>0</v>
      </c>
      <c r="P150" s="295">
        <v>0</v>
      </c>
      <c r="Q150" s="295">
        <v>0</v>
      </c>
      <c r="R150" s="295">
        <v>1</v>
      </c>
      <c r="S150" s="295">
        <v>1</v>
      </c>
      <c r="T150" s="295">
        <v>0</v>
      </c>
      <c r="U150" s="295">
        <v>0</v>
      </c>
      <c r="V150" s="295">
        <v>0</v>
      </c>
      <c r="W150" s="295">
        <v>0</v>
      </c>
      <c r="X150" s="295">
        <v>0</v>
      </c>
      <c r="Y150" s="295">
        <v>0</v>
      </c>
      <c r="Z150" s="295">
        <v>0</v>
      </c>
      <c r="AA150" s="295">
        <v>0</v>
      </c>
      <c r="AB150" s="295">
        <v>0</v>
      </c>
      <c r="AC150" s="295">
        <v>0</v>
      </c>
      <c r="AD150" s="295">
        <v>0</v>
      </c>
      <c r="AE150" s="295">
        <v>0</v>
      </c>
      <c r="AF150" s="295">
        <v>0</v>
      </c>
      <c r="AG150" s="295">
        <v>0</v>
      </c>
    </row>
    <row r="151" spans="2:33">
      <c r="B151" s="265" t="s">
        <v>474</v>
      </c>
      <c r="C151" s="265" t="s">
        <v>44</v>
      </c>
      <c r="D151" s="265" t="s">
        <v>5299</v>
      </c>
      <c r="E151" s="269" t="s">
        <v>5277</v>
      </c>
      <c r="F151" s="265" t="s">
        <v>65</v>
      </c>
      <c r="G151" s="295">
        <v>1427</v>
      </c>
      <c r="H151" s="295">
        <v>1</v>
      </c>
      <c r="I151" s="295">
        <v>14</v>
      </c>
      <c r="J151" s="295">
        <v>145</v>
      </c>
      <c r="K151" s="295">
        <v>361</v>
      </c>
      <c r="L151" s="295">
        <v>290</v>
      </c>
      <c r="M151" s="295">
        <v>0</v>
      </c>
      <c r="N151" s="295">
        <v>0</v>
      </c>
      <c r="O151" s="295">
        <v>0</v>
      </c>
      <c r="P151" s="295">
        <v>7</v>
      </c>
      <c r="Q151" s="295">
        <v>2</v>
      </c>
      <c r="R151" s="295">
        <v>0</v>
      </c>
      <c r="S151" s="295">
        <v>16</v>
      </c>
      <c r="T151" s="295">
        <v>6</v>
      </c>
      <c r="U151" s="295">
        <v>0</v>
      </c>
      <c r="V151" s="295">
        <v>0</v>
      </c>
      <c r="W151" s="295">
        <v>0</v>
      </c>
      <c r="X151" s="295">
        <v>7</v>
      </c>
      <c r="Y151" s="295">
        <v>80</v>
      </c>
      <c r="Z151" s="295">
        <v>0</v>
      </c>
      <c r="AA151" s="295">
        <v>2</v>
      </c>
      <c r="AB151" s="295">
        <v>0</v>
      </c>
      <c r="AC151" s="295">
        <v>2</v>
      </c>
      <c r="AD151" s="295">
        <v>490</v>
      </c>
      <c r="AE151" s="295">
        <v>4</v>
      </c>
      <c r="AF151" s="295">
        <v>0</v>
      </c>
      <c r="AG151" s="295">
        <v>0</v>
      </c>
    </row>
    <row r="152" spans="2:33">
      <c r="B152" s="265" t="s">
        <v>476</v>
      </c>
      <c r="C152" s="265" t="s">
        <v>44</v>
      </c>
      <c r="D152" s="265" t="s">
        <v>5301</v>
      </c>
      <c r="E152" s="269" t="s">
        <v>5279</v>
      </c>
      <c r="F152" s="265" t="s">
        <v>65</v>
      </c>
      <c r="G152" s="295">
        <v>176</v>
      </c>
      <c r="H152" s="295">
        <v>4</v>
      </c>
      <c r="I152" s="295">
        <v>33</v>
      </c>
      <c r="J152" s="295">
        <v>15</v>
      </c>
      <c r="K152" s="295">
        <v>5</v>
      </c>
      <c r="L152" s="295">
        <v>0</v>
      </c>
      <c r="M152" s="295">
        <v>0</v>
      </c>
      <c r="N152" s="295">
        <v>0</v>
      </c>
      <c r="O152" s="295">
        <v>0</v>
      </c>
      <c r="P152" s="295">
        <v>0</v>
      </c>
      <c r="Q152" s="295">
        <v>0</v>
      </c>
      <c r="R152" s="295">
        <v>0</v>
      </c>
      <c r="S152" s="295">
        <v>30</v>
      </c>
      <c r="T152" s="295">
        <v>4</v>
      </c>
      <c r="U152" s="295">
        <v>1</v>
      </c>
      <c r="V152" s="295">
        <v>0</v>
      </c>
      <c r="W152" s="295">
        <v>0</v>
      </c>
      <c r="X152" s="295">
        <v>0</v>
      </c>
      <c r="Y152" s="295">
        <v>75</v>
      </c>
      <c r="Z152" s="295">
        <v>0</v>
      </c>
      <c r="AA152" s="295">
        <v>1</v>
      </c>
      <c r="AB152" s="295">
        <v>1</v>
      </c>
      <c r="AC152" s="295">
        <v>3</v>
      </c>
      <c r="AD152" s="295">
        <v>0</v>
      </c>
      <c r="AE152" s="295">
        <v>4</v>
      </c>
      <c r="AF152" s="295">
        <v>0</v>
      </c>
      <c r="AG152" s="295">
        <v>0</v>
      </c>
    </row>
    <row r="153" spans="2:33">
      <c r="B153" s="265" t="s">
        <v>478</v>
      </c>
      <c r="C153" s="265" t="s">
        <v>44</v>
      </c>
      <c r="D153" s="265" t="s">
        <v>5302</v>
      </c>
      <c r="E153" s="269" t="s">
        <v>5822</v>
      </c>
      <c r="F153" s="265" t="s">
        <v>65</v>
      </c>
      <c r="G153" s="295">
        <v>1738</v>
      </c>
      <c r="H153" s="295">
        <v>0</v>
      </c>
      <c r="I153" s="295">
        <v>0</v>
      </c>
      <c r="J153" s="295">
        <v>0</v>
      </c>
      <c r="K153" s="295">
        <v>0</v>
      </c>
      <c r="L153" s="295">
        <v>0</v>
      </c>
      <c r="M153" s="295">
        <v>0</v>
      </c>
      <c r="N153" s="295">
        <v>0</v>
      </c>
      <c r="O153" s="295">
        <v>0</v>
      </c>
      <c r="P153" s="295">
        <v>0</v>
      </c>
      <c r="Q153" s="295">
        <v>0</v>
      </c>
      <c r="R153" s="295">
        <v>0</v>
      </c>
      <c r="S153" s="295">
        <v>0</v>
      </c>
      <c r="T153" s="295">
        <v>0</v>
      </c>
      <c r="U153" s="295">
        <v>21</v>
      </c>
      <c r="V153" s="295">
        <v>0</v>
      </c>
      <c r="W153" s="295">
        <v>0</v>
      </c>
      <c r="X153" s="295">
        <v>0</v>
      </c>
      <c r="Y153" s="295">
        <v>514</v>
      </c>
      <c r="Z153" s="295">
        <v>1095</v>
      </c>
      <c r="AA153" s="295">
        <v>108</v>
      </c>
      <c r="AB153" s="295">
        <v>0</v>
      </c>
      <c r="AC153" s="295">
        <v>0</v>
      </c>
      <c r="AD153" s="295">
        <v>0</v>
      </c>
      <c r="AE153" s="295">
        <v>0</v>
      </c>
      <c r="AF153" s="295">
        <v>0</v>
      </c>
      <c r="AG153" s="295">
        <v>0</v>
      </c>
    </row>
    <row r="154" spans="2:33">
      <c r="B154" s="265" t="s">
        <v>480</v>
      </c>
      <c r="C154" s="265" t="s">
        <v>44</v>
      </c>
      <c r="D154" s="265" t="s">
        <v>5303</v>
      </c>
      <c r="E154" s="269" t="s">
        <v>5280</v>
      </c>
      <c r="F154" s="265" t="s">
        <v>65</v>
      </c>
      <c r="G154" s="295">
        <v>801</v>
      </c>
      <c r="H154" s="295">
        <v>0</v>
      </c>
      <c r="I154" s="295">
        <v>75</v>
      </c>
      <c r="J154" s="295">
        <v>0</v>
      </c>
      <c r="K154" s="295">
        <v>14</v>
      </c>
      <c r="L154" s="295">
        <v>0</v>
      </c>
      <c r="M154" s="295">
        <v>0</v>
      </c>
      <c r="N154" s="295">
        <v>0</v>
      </c>
      <c r="O154" s="295">
        <v>0</v>
      </c>
      <c r="P154" s="295">
        <v>43</v>
      </c>
      <c r="Q154" s="295">
        <v>0</v>
      </c>
      <c r="R154" s="295">
        <v>0</v>
      </c>
      <c r="S154" s="295">
        <v>0</v>
      </c>
      <c r="T154" s="295">
        <v>0</v>
      </c>
      <c r="U154" s="295">
        <v>21</v>
      </c>
      <c r="V154" s="295">
        <v>0</v>
      </c>
      <c r="W154" s="295">
        <v>0</v>
      </c>
      <c r="X154" s="295">
        <v>0</v>
      </c>
      <c r="Y154" s="295">
        <v>560</v>
      </c>
      <c r="Z154" s="295">
        <v>0</v>
      </c>
      <c r="AA154" s="295">
        <v>34</v>
      </c>
      <c r="AB154" s="295">
        <v>0</v>
      </c>
      <c r="AC154" s="295">
        <v>0</v>
      </c>
      <c r="AD154" s="295">
        <v>0</v>
      </c>
      <c r="AE154" s="295">
        <v>54</v>
      </c>
      <c r="AF154" s="295">
        <v>0</v>
      </c>
      <c r="AG154" s="295">
        <v>0</v>
      </c>
    </row>
    <row r="155" spans="2:33">
      <c r="B155" s="265" t="s">
        <v>482</v>
      </c>
      <c r="C155" s="265" t="s">
        <v>44</v>
      </c>
      <c r="D155" s="265" t="s">
        <v>5304</v>
      </c>
      <c r="E155" s="269" t="s">
        <v>5281</v>
      </c>
      <c r="F155" s="265" t="s">
        <v>65</v>
      </c>
      <c r="G155" s="295">
        <v>1436</v>
      </c>
      <c r="H155" s="295">
        <v>0</v>
      </c>
      <c r="I155" s="295">
        <v>56</v>
      </c>
      <c r="J155" s="295">
        <v>69</v>
      </c>
      <c r="K155" s="295">
        <v>84</v>
      </c>
      <c r="L155" s="295">
        <v>0</v>
      </c>
      <c r="M155" s="295">
        <v>0</v>
      </c>
      <c r="N155" s="295">
        <v>0</v>
      </c>
      <c r="O155" s="295">
        <v>0</v>
      </c>
      <c r="P155" s="295">
        <v>55</v>
      </c>
      <c r="Q155" s="295">
        <v>13</v>
      </c>
      <c r="R155" s="295">
        <v>128</v>
      </c>
      <c r="S155" s="295">
        <v>535</v>
      </c>
      <c r="T155" s="295">
        <v>81</v>
      </c>
      <c r="U155" s="295">
        <v>4</v>
      </c>
      <c r="V155" s="295">
        <v>0</v>
      </c>
      <c r="W155" s="295">
        <v>0</v>
      </c>
      <c r="X155" s="295">
        <v>45</v>
      </c>
      <c r="Y155" s="295">
        <v>38</v>
      </c>
      <c r="Z155" s="295">
        <v>0</v>
      </c>
      <c r="AA155" s="295">
        <v>4</v>
      </c>
      <c r="AB155" s="295">
        <v>26</v>
      </c>
      <c r="AC155" s="295">
        <v>0</v>
      </c>
      <c r="AD155" s="295">
        <v>272</v>
      </c>
      <c r="AE155" s="295">
        <v>20</v>
      </c>
      <c r="AF155" s="295">
        <v>3</v>
      </c>
      <c r="AG155" s="295">
        <v>3</v>
      </c>
    </row>
    <row r="156" spans="2:33">
      <c r="B156" s="265" t="s">
        <v>484</v>
      </c>
      <c r="C156" s="265" t="s">
        <v>44</v>
      </c>
      <c r="D156" s="265" t="s">
        <v>5305</v>
      </c>
      <c r="E156" s="269" t="s">
        <v>5282</v>
      </c>
      <c r="F156" s="265" t="s">
        <v>65</v>
      </c>
      <c r="G156" s="295">
        <v>777</v>
      </c>
      <c r="H156" s="295">
        <v>0</v>
      </c>
      <c r="I156" s="295">
        <v>9</v>
      </c>
      <c r="J156" s="295">
        <v>23</v>
      </c>
      <c r="K156" s="295">
        <v>194</v>
      </c>
      <c r="L156" s="295">
        <v>0</v>
      </c>
      <c r="M156" s="295">
        <v>0</v>
      </c>
      <c r="N156" s="295">
        <v>0</v>
      </c>
      <c r="O156" s="295">
        <v>0</v>
      </c>
      <c r="P156" s="295">
        <v>6</v>
      </c>
      <c r="Q156" s="295">
        <v>0</v>
      </c>
      <c r="R156" s="295">
        <v>33</v>
      </c>
      <c r="S156" s="295">
        <v>288</v>
      </c>
      <c r="T156" s="295">
        <v>0</v>
      </c>
      <c r="U156" s="295">
        <v>2</v>
      </c>
      <c r="V156" s="295">
        <v>0</v>
      </c>
      <c r="W156" s="295">
        <v>0</v>
      </c>
      <c r="X156" s="295">
        <v>15</v>
      </c>
      <c r="Y156" s="295">
        <v>83</v>
      </c>
      <c r="Z156" s="295">
        <v>0</v>
      </c>
      <c r="AA156" s="295">
        <v>25</v>
      </c>
      <c r="AB156" s="295">
        <v>21</v>
      </c>
      <c r="AC156" s="295">
        <v>0</v>
      </c>
      <c r="AD156" s="295">
        <v>44</v>
      </c>
      <c r="AE156" s="295">
        <v>28</v>
      </c>
      <c r="AF156" s="295">
        <v>3</v>
      </c>
      <c r="AG156" s="295">
        <v>3</v>
      </c>
    </row>
    <row r="157" spans="2:33">
      <c r="B157" s="265" t="s">
        <v>485</v>
      </c>
      <c r="C157" s="265" t="s">
        <v>44</v>
      </c>
      <c r="D157" s="265" t="s">
        <v>5306</v>
      </c>
      <c r="E157" s="269" t="s">
        <v>5283</v>
      </c>
      <c r="F157" s="265" t="s">
        <v>65</v>
      </c>
      <c r="G157" s="295">
        <v>849</v>
      </c>
      <c r="H157" s="295">
        <v>9</v>
      </c>
      <c r="I157" s="295">
        <v>17</v>
      </c>
      <c r="J157" s="295">
        <v>34</v>
      </c>
      <c r="K157" s="295">
        <v>12</v>
      </c>
      <c r="L157" s="295">
        <v>0</v>
      </c>
      <c r="M157" s="295">
        <v>0</v>
      </c>
      <c r="N157" s="295">
        <v>48</v>
      </c>
      <c r="O157" s="295">
        <v>0</v>
      </c>
      <c r="P157" s="295">
        <v>2</v>
      </c>
      <c r="Q157" s="295">
        <v>0</v>
      </c>
      <c r="R157" s="295">
        <v>3</v>
      </c>
      <c r="S157" s="295">
        <v>9</v>
      </c>
      <c r="T157" s="295">
        <v>2</v>
      </c>
      <c r="U157" s="295">
        <v>29</v>
      </c>
      <c r="V157" s="295">
        <v>0</v>
      </c>
      <c r="W157" s="295">
        <v>0</v>
      </c>
      <c r="X157" s="295">
        <v>0</v>
      </c>
      <c r="Y157" s="295">
        <v>621</v>
      </c>
      <c r="Z157" s="295">
        <v>0</v>
      </c>
      <c r="AA157" s="295">
        <v>50</v>
      </c>
      <c r="AB157" s="295">
        <v>0</v>
      </c>
      <c r="AC157" s="295">
        <v>7</v>
      </c>
      <c r="AD157" s="295">
        <v>6</v>
      </c>
      <c r="AE157" s="295">
        <v>0</v>
      </c>
      <c r="AF157" s="295">
        <v>0</v>
      </c>
      <c r="AG157" s="295">
        <v>0</v>
      </c>
    </row>
    <row r="158" spans="2:33">
      <c r="B158" s="265" t="s">
        <v>486</v>
      </c>
      <c r="C158" s="265" t="s">
        <v>44</v>
      </c>
      <c r="D158" s="265" t="s">
        <v>5307</v>
      </c>
      <c r="E158" s="269" t="s">
        <v>5284</v>
      </c>
      <c r="F158" s="265" t="s">
        <v>65</v>
      </c>
      <c r="G158" s="295">
        <v>404</v>
      </c>
      <c r="H158" s="295">
        <v>3</v>
      </c>
      <c r="I158" s="295">
        <v>7</v>
      </c>
      <c r="J158" s="295">
        <v>14</v>
      </c>
      <c r="K158" s="295">
        <v>27</v>
      </c>
      <c r="L158" s="295">
        <v>0</v>
      </c>
      <c r="M158" s="295">
        <v>0</v>
      </c>
      <c r="N158" s="295">
        <v>0</v>
      </c>
      <c r="O158" s="295">
        <v>0</v>
      </c>
      <c r="P158" s="295">
        <v>6</v>
      </c>
      <c r="Q158" s="295">
        <v>4</v>
      </c>
      <c r="R158" s="295">
        <v>37</v>
      </c>
      <c r="S158" s="295">
        <v>165</v>
      </c>
      <c r="T158" s="295">
        <v>3</v>
      </c>
      <c r="U158" s="295">
        <v>0</v>
      </c>
      <c r="V158" s="295">
        <v>0</v>
      </c>
      <c r="W158" s="295">
        <v>0</v>
      </c>
      <c r="X158" s="295">
        <v>1</v>
      </c>
      <c r="Y158" s="295">
        <v>90</v>
      </c>
      <c r="Z158" s="295">
        <v>0</v>
      </c>
      <c r="AA158" s="295">
        <v>7</v>
      </c>
      <c r="AB158" s="295">
        <v>8</v>
      </c>
      <c r="AC158" s="295">
        <v>2</v>
      </c>
      <c r="AD158" s="295">
        <v>27</v>
      </c>
      <c r="AE158" s="295">
        <v>1</v>
      </c>
      <c r="AF158" s="295">
        <v>2</v>
      </c>
      <c r="AG158" s="295">
        <v>0</v>
      </c>
    </row>
    <row r="159" spans="2:33">
      <c r="B159" s="265" t="s">
        <v>488</v>
      </c>
      <c r="C159" s="265" t="s">
        <v>44</v>
      </c>
      <c r="D159" s="265" t="s">
        <v>5351</v>
      </c>
      <c r="E159" s="269" t="s">
        <v>5349</v>
      </c>
      <c r="F159" s="265" t="s">
        <v>65</v>
      </c>
      <c r="G159" s="295">
        <v>871</v>
      </c>
      <c r="H159" s="295">
        <v>6</v>
      </c>
      <c r="I159" s="295">
        <v>14</v>
      </c>
      <c r="J159" s="295">
        <v>72</v>
      </c>
      <c r="K159" s="295">
        <v>125</v>
      </c>
      <c r="L159" s="295">
        <v>0</v>
      </c>
      <c r="M159" s="295">
        <v>0</v>
      </c>
      <c r="N159" s="295">
        <v>0</v>
      </c>
      <c r="O159" s="295">
        <v>0</v>
      </c>
      <c r="P159" s="295">
        <v>20</v>
      </c>
      <c r="Q159" s="295">
        <v>13</v>
      </c>
      <c r="R159" s="295">
        <v>28</v>
      </c>
      <c r="S159" s="295">
        <v>209</v>
      </c>
      <c r="T159" s="295">
        <v>27</v>
      </c>
      <c r="U159" s="295">
        <v>23</v>
      </c>
      <c r="V159" s="295">
        <v>0</v>
      </c>
      <c r="W159" s="295">
        <v>0</v>
      </c>
      <c r="X159" s="295">
        <v>12</v>
      </c>
      <c r="Y159" s="295">
        <v>138</v>
      </c>
      <c r="Z159" s="295">
        <v>0</v>
      </c>
      <c r="AA159" s="295">
        <v>12</v>
      </c>
      <c r="AB159" s="295">
        <v>18</v>
      </c>
      <c r="AC159" s="295">
        <v>1</v>
      </c>
      <c r="AD159" s="295">
        <v>138</v>
      </c>
      <c r="AE159" s="295">
        <v>10</v>
      </c>
      <c r="AF159" s="295">
        <v>3</v>
      </c>
      <c r="AG159" s="295">
        <v>2</v>
      </c>
    </row>
    <row r="160" spans="2:33">
      <c r="B160" s="265" t="s">
        <v>490</v>
      </c>
      <c r="C160" s="265" t="s">
        <v>44</v>
      </c>
      <c r="D160" s="265" t="s">
        <v>5352</v>
      </c>
      <c r="E160" s="269" t="s">
        <v>5350</v>
      </c>
      <c r="F160" s="265" t="s">
        <v>65</v>
      </c>
      <c r="G160" s="295">
        <v>2533</v>
      </c>
      <c r="H160" s="295">
        <v>37</v>
      </c>
      <c r="I160" s="295">
        <v>78</v>
      </c>
      <c r="J160" s="295">
        <v>456</v>
      </c>
      <c r="K160" s="295">
        <v>490</v>
      </c>
      <c r="L160" s="295">
        <v>6</v>
      </c>
      <c r="M160" s="295">
        <v>0</v>
      </c>
      <c r="N160" s="295">
        <v>0</v>
      </c>
      <c r="O160" s="295">
        <v>0</v>
      </c>
      <c r="P160" s="295">
        <v>31</v>
      </c>
      <c r="Q160" s="295">
        <v>30</v>
      </c>
      <c r="R160" s="295">
        <v>143</v>
      </c>
      <c r="S160" s="295">
        <v>746</v>
      </c>
      <c r="T160" s="295">
        <v>16</v>
      </c>
      <c r="U160" s="295">
        <v>20</v>
      </c>
      <c r="V160" s="295">
        <v>0</v>
      </c>
      <c r="W160" s="295">
        <v>20</v>
      </c>
      <c r="X160" s="295">
        <v>34</v>
      </c>
      <c r="Y160" s="295">
        <v>6</v>
      </c>
      <c r="Z160" s="295">
        <v>0</v>
      </c>
      <c r="AA160" s="295">
        <v>6</v>
      </c>
      <c r="AB160" s="295">
        <v>34</v>
      </c>
      <c r="AC160" s="295">
        <v>15</v>
      </c>
      <c r="AD160" s="295">
        <v>329</v>
      </c>
      <c r="AE160" s="295">
        <v>21</v>
      </c>
      <c r="AF160" s="295">
        <v>4</v>
      </c>
      <c r="AG160" s="295">
        <v>11</v>
      </c>
    </row>
    <row r="161" spans="2:33">
      <c r="B161" s="265" t="s">
        <v>492</v>
      </c>
      <c r="C161" s="265" t="s">
        <v>44</v>
      </c>
      <c r="D161" s="265" t="s">
        <v>5493</v>
      </c>
      <c r="E161" s="269" t="s">
        <v>5423</v>
      </c>
      <c r="F161" s="265" t="s">
        <v>65</v>
      </c>
      <c r="G161" s="295">
        <v>1554</v>
      </c>
      <c r="H161" s="295">
        <v>0</v>
      </c>
      <c r="I161" s="295">
        <v>0</v>
      </c>
      <c r="J161" s="295">
        <v>0</v>
      </c>
      <c r="K161" s="295">
        <v>0</v>
      </c>
      <c r="L161" s="295">
        <v>0</v>
      </c>
      <c r="M161" s="295">
        <v>0</v>
      </c>
      <c r="N161" s="295">
        <v>0</v>
      </c>
      <c r="O161" s="295">
        <v>0</v>
      </c>
      <c r="P161" s="295">
        <v>20</v>
      </c>
      <c r="Q161" s="295">
        <v>0</v>
      </c>
      <c r="R161" s="295">
        <v>68</v>
      </c>
      <c r="S161" s="295">
        <v>1297</v>
      </c>
      <c r="T161" s="295">
        <v>0</v>
      </c>
      <c r="U161" s="295">
        <v>5</v>
      </c>
      <c r="V161" s="295">
        <v>0</v>
      </c>
      <c r="W161" s="295">
        <v>0</v>
      </c>
      <c r="X161" s="295">
        <v>56</v>
      </c>
      <c r="Y161" s="295">
        <v>0</v>
      </c>
      <c r="Z161" s="295">
        <v>0</v>
      </c>
      <c r="AA161" s="295">
        <v>0</v>
      </c>
      <c r="AB161" s="295">
        <v>80</v>
      </c>
      <c r="AC161" s="295">
        <v>0</v>
      </c>
      <c r="AD161" s="295">
        <v>0</v>
      </c>
      <c r="AE161" s="295">
        <v>0</v>
      </c>
      <c r="AF161" s="295">
        <v>16</v>
      </c>
      <c r="AG161" s="295">
        <v>12</v>
      </c>
    </row>
    <row r="162" spans="2:33">
      <c r="B162" s="265" t="s">
        <v>493</v>
      </c>
      <c r="C162" s="265" t="s">
        <v>44</v>
      </c>
      <c r="D162" s="265" t="s">
        <v>5355</v>
      </c>
      <c r="E162" s="269" t="s">
        <v>5353</v>
      </c>
      <c r="F162" s="265" t="s">
        <v>65</v>
      </c>
      <c r="G162" s="295">
        <v>320</v>
      </c>
      <c r="H162" s="295">
        <v>4</v>
      </c>
      <c r="I162" s="295">
        <v>5</v>
      </c>
      <c r="J162" s="295">
        <v>93</v>
      </c>
      <c r="K162" s="295">
        <v>37</v>
      </c>
      <c r="L162" s="295">
        <v>0</v>
      </c>
      <c r="M162" s="295">
        <v>0</v>
      </c>
      <c r="N162" s="295">
        <v>0</v>
      </c>
      <c r="O162" s="295">
        <v>0</v>
      </c>
      <c r="P162" s="295">
        <v>0</v>
      </c>
      <c r="Q162" s="295">
        <v>0</v>
      </c>
      <c r="R162" s="295">
        <v>28</v>
      </c>
      <c r="S162" s="295">
        <v>91</v>
      </c>
      <c r="T162" s="295">
        <v>1</v>
      </c>
      <c r="U162" s="295">
        <v>0</v>
      </c>
      <c r="V162" s="295">
        <v>0</v>
      </c>
      <c r="W162" s="295">
        <v>0</v>
      </c>
      <c r="X162" s="295">
        <v>1</v>
      </c>
      <c r="Y162" s="295">
        <v>45</v>
      </c>
      <c r="Z162" s="295">
        <v>0</v>
      </c>
      <c r="AA162" s="295">
        <v>1</v>
      </c>
      <c r="AB162" s="295">
        <v>4</v>
      </c>
      <c r="AC162" s="295">
        <v>0</v>
      </c>
      <c r="AD162" s="295">
        <v>3</v>
      </c>
      <c r="AE162" s="295">
        <v>5</v>
      </c>
      <c r="AF162" s="295">
        <v>1</v>
      </c>
      <c r="AG162" s="295">
        <v>1</v>
      </c>
    </row>
    <row r="163" spans="2:33">
      <c r="B163" s="265" t="s">
        <v>494</v>
      </c>
      <c r="C163" s="265" t="s">
        <v>34</v>
      </c>
      <c r="D163" s="265" t="s">
        <v>5494</v>
      </c>
      <c r="E163" s="269" t="s">
        <v>5424</v>
      </c>
      <c r="F163" s="265" t="s">
        <v>65</v>
      </c>
      <c r="G163" s="295">
        <v>1026</v>
      </c>
      <c r="H163" s="295">
        <v>28</v>
      </c>
      <c r="I163" s="295">
        <v>41</v>
      </c>
      <c r="J163" s="295">
        <v>0</v>
      </c>
      <c r="K163" s="295">
        <v>263</v>
      </c>
      <c r="L163" s="295">
        <v>0</v>
      </c>
      <c r="M163" s="295">
        <v>0</v>
      </c>
      <c r="N163" s="295">
        <v>0</v>
      </c>
      <c r="O163" s="295">
        <v>0</v>
      </c>
      <c r="P163" s="295">
        <v>0</v>
      </c>
      <c r="Q163" s="295">
        <v>0</v>
      </c>
      <c r="R163" s="295">
        <v>0</v>
      </c>
      <c r="S163" s="295">
        <v>4</v>
      </c>
      <c r="T163" s="295">
        <v>0</v>
      </c>
      <c r="U163" s="295">
        <v>15</v>
      </c>
      <c r="V163" s="295">
        <v>0</v>
      </c>
      <c r="W163" s="295">
        <v>0</v>
      </c>
      <c r="X163" s="295">
        <v>13</v>
      </c>
      <c r="Y163" s="295">
        <v>193</v>
      </c>
      <c r="Z163" s="295">
        <v>0</v>
      </c>
      <c r="AA163" s="295">
        <v>0</v>
      </c>
      <c r="AB163" s="295">
        <v>0</v>
      </c>
      <c r="AC163" s="295">
        <v>89</v>
      </c>
      <c r="AD163" s="295">
        <v>380</v>
      </c>
      <c r="AE163" s="295">
        <v>0</v>
      </c>
      <c r="AF163" s="295">
        <v>0</v>
      </c>
      <c r="AG163" s="295">
        <v>0</v>
      </c>
    </row>
    <row r="164" spans="2:33">
      <c r="B164" s="265" t="s">
        <v>4971</v>
      </c>
      <c r="C164" s="265" t="s">
        <v>34</v>
      </c>
      <c r="D164" s="265" t="s">
        <v>5495</v>
      </c>
      <c r="E164" s="269" t="s">
        <v>5436</v>
      </c>
      <c r="F164" s="265" t="s">
        <v>65</v>
      </c>
      <c r="G164" s="295">
        <v>1026</v>
      </c>
      <c r="H164" s="295">
        <v>28</v>
      </c>
      <c r="I164" s="295">
        <v>41</v>
      </c>
      <c r="J164" s="295">
        <v>0</v>
      </c>
      <c r="K164" s="295">
        <v>263</v>
      </c>
      <c r="L164" s="295">
        <v>0</v>
      </c>
      <c r="M164" s="295">
        <v>0</v>
      </c>
      <c r="N164" s="295">
        <v>0</v>
      </c>
      <c r="O164" s="295">
        <v>0</v>
      </c>
      <c r="P164" s="295">
        <v>0</v>
      </c>
      <c r="Q164" s="295">
        <v>0</v>
      </c>
      <c r="R164" s="295">
        <v>0</v>
      </c>
      <c r="S164" s="295">
        <v>4</v>
      </c>
      <c r="T164" s="295">
        <v>0</v>
      </c>
      <c r="U164" s="295">
        <v>15</v>
      </c>
      <c r="V164" s="295">
        <v>0</v>
      </c>
      <c r="W164" s="295">
        <v>0</v>
      </c>
      <c r="X164" s="295">
        <v>13</v>
      </c>
      <c r="Y164" s="295">
        <v>193</v>
      </c>
      <c r="Z164" s="295">
        <v>0</v>
      </c>
      <c r="AA164" s="295">
        <v>0</v>
      </c>
      <c r="AB164" s="295">
        <v>0</v>
      </c>
      <c r="AC164" s="295">
        <v>89</v>
      </c>
      <c r="AD164" s="295">
        <v>380</v>
      </c>
      <c r="AE164" s="295">
        <v>0</v>
      </c>
      <c r="AF164" s="295">
        <v>0</v>
      </c>
      <c r="AG164" s="295">
        <v>0</v>
      </c>
    </row>
    <row r="165" spans="2:33">
      <c r="B165" s="265" t="s">
        <v>4974</v>
      </c>
      <c r="C165" s="265" t="s">
        <v>34</v>
      </c>
      <c r="D165" s="265" t="s">
        <v>5496</v>
      </c>
      <c r="E165" s="269" t="s">
        <v>5437</v>
      </c>
      <c r="F165" s="265" t="s">
        <v>65</v>
      </c>
      <c r="G165" s="295">
        <v>1026</v>
      </c>
      <c r="H165" s="295">
        <v>28</v>
      </c>
      <c r="I165" s="295">
        <v>41</v>
      </c>
      <c r="J165" s="295">
        <v>0</v>
      </c>
      <c r="K165" s="295">
        <v>263</v>
      </c>
      <c r="L165" s="295">
        <v>0</v>
      </c>
      <c r="M165" s="295">
        <v>0</v>
      </c>
      <c r="N165" s="295">
        <v>0</v>
      </c>
      <c r="O165" s="295">
        <v>0</v>
      </c>
      <c r="P165" s="295">
        <v>0</v>
      </c>
      <c r="Q165" s="295">
        <v>0</v>
      </c>
      <c r="R165" s="295">
        <v>0</v>
      </c>
      <c r="S165" s="295">
        <v>4</v>
      </c>
      <c r="T165" s="295">
        <v>0</v>
      </c>
      <c r="U165" s="295">
        <v>15</v>
      </c>
      <c r="V165" s="295">
        <v>0</v>
      </c>
      <c r="W165" s="295">
        <v>0</v>
      </c>
      <c r="X165" s="295">
        <v>13</v>
      </c>
      <c r="Y165" s="295">
        <v>193</v>
      </c>
      <c r="Z165" s="295">
        <v>0</v>
      </c>
      <c r="AA165" s="295">
        <v>0</v>
      </c>
      <c r="AB165" s="295">
        <v>0</v>
      </c>
      <c r="AC165" s="295">
        <v>89</v>
      </c>
      <c r="AD165" s="295">
        <v>380</v>
      </c>
      <c r="AE165" s="295">
        <v>0</v>
      </c>
      <c r="AF165" s="295">
        <v>0</v>
      </c>
      <c r="AG165" s="295">
        <v>0</v>
      </c>
    </row>
    <row r="166" spans="2:33">
      <c r="B166" s="265" t="s">
        <v>4977</v>
      </c>
      <c r="C166" s="265" t="s">
        <v>34</v>
      </c>
      <c r="D166" s="265" t="s">
        <v>5497</v>
      </c>
      <c r="E166" s="269" t="s">
        <v>5439</v>
      </c>
      <c r="F166" s="265" t="s">
        <v>65</v>
      </c>
      <c r="G166" s="295">
        <v>1050</v>
      </c>
      <c r="H166" s="295">
        <v>29</v>
      </c>
      <c r="I166" s="295">
        <v>41</v>
      </c>
      <c r="J166" s="295">
        <v>0</v>
      </c>
      <c r="K166" s="295">
        <v>269</v>
      </c>
      <c r="L166" s="295">
        <v>0</v>
      </c>
      <c r="M166" s="295">
        <v>0</v>
      </c>
      <c r="N166" s="295">
        <v>0</v>
      </c>
      <c r="O166" s="295">
        <v>0</v>
      </c>
      <c r="P166" s="295">
        <v>0</v>
      </c>
      <c r="Q166" s="295">
        <v>0</v>
      </c>
      <c r="R166" s="295">
        <v>0</v>
      </c>
      <c r="S166" s="295">
        <v>4</v>
      </c>
      <c r="T166" s="295">
        <v>0</v>
      </c>
      <c r="U166" s="295">
        <v>15</v>
      </c>
      <c r="V166" s="295">
        <v>0</v>
      </c>
      <c r="W166" s="295">
        <v>0</v>
      </c>
      <c r="X166" s="295">
        <v>13</v>
      </c>
      <c r="Y166" s="295">
        <v>198</v>
      </c>
      <c r="Z166" s="295">
        <v>0</v>
      </c>
      <c r="AA166" s="295">
        <v>0</v>
      </c>
      <c r="AB166" s="295">
        <v>0</v>
      </c>
      <c r="AC166" s="295">
        <v>91</v>
      </c>
      <c r="AD166" s="295">
        <v>390</v>
      </c>
      <c r="AE166" s="295">
        <v>0</v>
      </c>
      <c r="AF166" s="295">
        <v>0</v>
      </c>
      <c r="AG166" s="295">
        <v>0</v>
      </c>
    </row>
    <row r="167" spans="2:33">
      <c r="B167" s="265" t="s">
        <v>4980</v>
      </c>
      <c r="C167" s="265" t="s">
        <v>44</v>
      </c>
      <c r="D167" s="265" t="s">
        <v>5499</v>
      </c>
      <c r="E167" s="269" t="s">
        <v>5427</v>
      </c>
      <c r="F167" s="265" t="s">
        <v>65</v>
      </c>
      <c r="G167" s="295">
        <v>2352</v>
      </c>
      <c r="H167" s="295">
        <v>20</v>
      </c>
      <c r="I167" s="295">
        <v>45</v>
      </c>
      <c r="J167" s="295">
        <v>485</v>
      </c>
      <c r="K167" s="295">
        <v>200</v>
      </c>
      <c r="L167" s="295">
        <v>0</v>
      </c>
      <c r="M167" s="295">
        <v>0</v>
      </c>
      <c r="N167" s="295">
        <v>0</v>
      </c>
      <c r="O167" s="295">
        <v>0</v>
      </c>
      <c r="P167" s="295">
        <v>2</v>
      </c>
      <c r="Q167" s="295">
        <v>2</v>
      </c>
      <c r="R167" s="295">
        <v>132</v>
      </c>
      <c r="S167" s="295">
        <v>710</v>
      </c>
      <c r="T167" s="295">
        <v>4</v>
      </c>
      <c r="U167" s="295">
        <v>0</v>
      </c>
      <c r="V167" s="295">
        <v>0</v>
      </c>
      <c r="W167" s="295">
        <v>0</v>
      </c>
      <c r="X167" s="295">
        <v>0</v>
      </c>
      <c r="Y167" s="295">
        <v>438</v>
      </c>
      <c r="Z167" s="295">
        <v>0</v>
      </c>
      <c r="AA167" s="295">
        <v>8</v>
      </c>
      <c r="AB167" s="295">
        <v>25</v>
      </c>
      <c r="AC167" s="295">
        <v>191</v>
      </c>
      <c r="AD167" s="295">
        <v>25</v>
      </c>
      <c r="AE167" s="295">
        <v>52</v>
      </c>
      <c r="AF167" s="295">
        <v>5</v>
      </c>
      <c r="AG167" s="295">
        <v>8</v>
      </c>
    </row>
    <row r="168" spans="2:33">
      <c r="B168" s="265" t="s">
        <v>5135</v>
      </c>
      <c r="C168" s="265" t="s">
        <v>44</v>
      </c>
      <c r="D168" s="265" t="s">
        <v>5500</v>
      </c>
      <c r="E168" s="269" t="s">
        <v>5441</v>
      </c>
      <c r="F168" s="265" t="s">
        <v>65</v>
      </c>
      <c r="G168" s="295">
        <v>1355</v>
      </c>
      <c r="H168" s="295">
        <v>0</v>
      </c>
      <c r="I168" s="295">
        <v>16</v>
      </c>
      <c r="J168" s="295">
        <v>0</v>
      </c>
      <c r="K168" s="295">
        <v>0</v>
      </c>
      <c r="L168" s="295">
        <v>0</v>
      </c>
      <c r="M168" s="295">
        <v>0</v>
      </c>
      <c r="N168" s="295">
        <v>0</v>
      </c>
      <c r="O168" s="295">
        <v>0</v>
      </c>
      <c r="P168" s="295">
        <v>0</v>
      </c>
      <c r="Q168" s="295">
        <v>0</v>
      </c>
      <c r="R168" s="295">
        <v>0</v>
      </c>
      <c r="S168" s="295">
        <v>565</v>
      </c>
      <c r="T168" s="295">
        <v>0</v>
      </c>
      <c r="U168" s="295">
        <v>0</v>
      </c>
      <c r="V168" s="295">
        <v>0</v>
      </c>
      <c r="W168" s="295">
        <v>0</v>
      </c>
      <c r="X168" s="295">
        <v>0</v>
      </c>
      <c r="Y168" s="295">
        <v>123</v>
      </c>
      <c r="Z168" s="295">
        <v>0</v>
      </c>
      <c r="AA168" s="295">
        <v>0</v>
      </c>
      <c r="AB168" s="295">
        <v>0</v>
      </c>
      <c r="AC168" s="295">
        <v>587</v>
      </c>
      <c r="AD168" s="295">
        <v>0</v>
      </c>
      <c r="AE168" s="295">
        <v>64</v>
      </c>
      <c r="AF168" s="295">
        <v>0</v>
      </c>
      <c r="AG168" s="295">
        <v>0</v>
      </c>
    </row>
    <row r="169" spans="2:33">
      <c r="B169" s="265" t="s">
        <v>5137</v>
      </c>
      <c r="C169" s="265" t="s">
        <v>44</v>
      </c>
      <c r="D169" s="265" t="s">
        <v>5501</v>
      </c>
      <c r="E169" s="269" t="s">
        <v>5428</v>
      </c>
      <c r="F169" s="265" t="s">
        <v>65</v>
      </c>
      <c r="G169" s="295">
        <v>2067</v>
      </c>
      <c r="H169" s="295">
        <v>57</v>
      </c>
      <c r="I169" s="295">
        <v>361</v>
      </c>
      <c r="J169" s="295">
        <v>151</v>
      </c>
      <c r="K169" s="295">
        <v>292</v>
      </c>
      <c r="L169" s="295">
        <v>0</v>
      </c>
      <c r="M169" s="295">
        <v>0</v>
      </c>
      <c r="N169" s="295">
        <v>0</v>
      </c>
      <c r="O169" s="295">
        <v>0</v>
      </c>
      <c r="P169" s="295">
        <v>45</v>
      </c>
      <c r="Q169" s="295">
        <v>12</v>
      </c>
      <c r="R169" s="295">
        <v>51</v>
      </c>
      <c r="S169" s="295">
        <v>433</v>
      </c>
      <c r="T169" s="295">
        <v>5</v>
      </c>
      <c r="U169" s="295">
        <v>0</v>
      </c>
      <c r="V169" s="295">
        <v>0</v>
      </c>
      <c r="W169" s="295">
        <v>1</v>
      </c>
      <c r="X169" s="295">
        <v>6</v>
      </c>
      <c r="Y169" s="295">
        <v>289</v>
      </c>
      <c r="Z169" s="295">
        <v>0</v>
      </c>
      <c r="AA169" s="295">
        <v>5</v>
      </c>
      <c r="AB169" s="295">
        <v>30</v>
      </c>
      <c r="AC169" s="295">
        <v>125</v>
      </c>
      <c r="AD169" s="295">
        <v>88</v>
      </c>
      <c r="AE169" s="295">
        <v>109</v>
      </c>
      <c r="AF169" s="295">
        <v>5</v>
      </c>
      <c r="AG169" s="295">
        <v>2</v>
      </c>
    </row>
    <row r="170" spans="2:33">
      <c r="B170" s="265" t="s">
        <v>5139</v>
      </c>
      <c r="C170" s="265" t="s">
        <v>44</v>
      </c>
      <c r="D170" s="265" t="s">
        <v>5502</v>
      </c>
      <c r="E170" s="269" t="s">
        <v>5442</v>
      </c>
      <c r="F170" s="265" t="s">
        <v>65</v>
      </c>
      <c r="G170" s="295">
        <v>1384</v>
      </c>
      <c r="H170" s="295">
        <v>16</v>
      </c>
      <c r="I170" s="295">
        <v>27</v>
      </c>
      <c r="J170" s="295">
        <v>197</v>
      </c>
      <c r="K170" s="295">
        <v>41</v>
      </c>
      <c r="L170" s="295">
        <v>0</v>
      </c>
      <c r="M170" s="295">
        <v>0</v>
      </c>
      <c r="N170" s="295">
        <v>0</v>
      </c>
      <c r="O170" s="295">
        <v>0</v>
      </c>
      <c r="P170" s="295">
        <v>3</v>
      </c>
      <c r="Q170" s="295">
        <v>0</v>
      </c>
      <c r="R170" s="295">
        <v>145</v>
      </c>
      <c r="S170" s="295">
        <v>796</v>
      </c>
      <c r="T170" s="295">
        <v>2</v>
      </c>
      <c r="U170" s="295">
        <v>5</v>
      </c>
      <c r="V170" s="295">
        <v>0</v>
      </c>
      <c r="W170" s="295">
        <v>0</v>
      </c>
      <c r="X170" s="295">
        <v>52</v>
      </c>
      <c r="Y170" s="295">
        <v>17</v>
      </c>
      <c r="Z170" s="295">
        <v>0</v>
      </c>
      <c r="AA170" s="295">
        <v>1</v>
      </c>
      <c r="AB170" s="295">
        <v>40</v>
      </c>
      <c r="AC170" s="295">
        <v>0</v>
      </c>
      <c r="AD170" s="295">
        <v>6</v>
      </c>
      <c r="AE170" s="295">
        <v>13</v>
      </c>
      <c r="AF170" s="295">
        <v>9</v>
      </c>
      <c r="AG170" s="295">
        <v>14</v>
      </c>
    </row>
    <row r="171" spans="2:33">
      <c r="B171" s="265" t="s">
        <v>5141</v>
      </c>
      <c r="C171" s="265" t="s">
        <v>44</v>
      </c>
      <c r="D171" s="265" t="s">
        <v>5503</v>
      </c>
      <c r="E171" s="269" t="s">
        <v>5429</v>
      </c>
      <c r="F171" s="265" t="s">
        <v>65</v>
      </c>
      <c r="G171" s="295">
        <v>498</v>
      </c>
      <c r="H171" s="295">
        <v>1</v>
      </c>
      <c r="I171" s="295">
        <v>13</v>
      </c>
      <c r="J171" s="295">
        <v>20</v>
      </c>
      <c r="K171" s="295">
        <v>4</v>
      </c>
      <c r="L171" s="295">
        <v>0</v>
      </c>
      <c r="M171" s="295">
        <v>0</v>
      </c>
      <c r="N171" s="295">
        <v>0</v>
      </c>
      <c r="O171" s="295">
        <v>0</v>
      </c>
      <c r="P171" s="295">
        <v>1</v>
      </c>
      <c r="Q171" s="295">
        <v>0</v>
      </c>
      <c r="R171" s="295">
        <v>108</v>
      </c>
      <c r="S171" s="295">
        <v>286</v>
      </c>
      <c r="T171" s="295">
        <v>0</v>
      </c>
      <c r="U171" s="295">
        <v>0</v>
      </c>
      <c r="V171" s="295">
        <v>0</v>
      </c>
      <c r="W171" s="295">
        <v>3</v>
      </c>
      <c r="X171" s="295">
        <v>34</v>
      </c>
      <c r="Y171" s="295">
        <v>0</v>
      </c>
      <c r="Z171" s="295">
        <v>0</v>
      </c>
      <c r="AA171" s="295">
        <v>0</v>
      </c>
      <c r="AB171" s="295">
        <v>18</v>
      </c>
      <c r="AC171" s="295">
        <v>0</v>
      </c>
      <c r="AD171" s="295">
        <v>0</v>
      </c>
      <c r="AE171" s="295">
        <v>3</v>
      </c>
      <c r="AF171" s="295">
        <v>4</v>
      </c>
      <c r="AG171" s="295">
        <v>3</v>
      </c>
    </row>
    <row r="172" spans="2:33">
      <c r="B172" s="265" t="s">
        <v>5143</v>
      </c>
      <c r="C172" s="265" t="s">
        <v>34</v>
      </c>
      <c r="D172" s="265" t="s">
        <v>5504</v>
      </c>
      <c r="E172" s="269" t="s">
        <v>5430</v>
      </c>
      <c r="F172" s="265" t="s">
        <v>65</v>
      </c>
      <c r="G172" s="295">
        <v>1710</v>
      </c>
      <c r="H172" s="295">
        <v>0</v>
      </c>
      <c r="I172" s="295">
        <v>0</v>
      </c>
      <c r="J172" s="295">
        <v>85</v>
      </c>
      <c r="K172" s="295">
        <v>362</v>
      </c>
      <c r="L172" s="295">
        <v>0</v>
      </c>
      <c r="M172" s="295">
        <v>0</v>
      </c>
      <c r="N172" s="295">
        <v>0</v>
      </c>
      <c r="O172" s="295">
        <v>0</v>
      </c>
      <c r="P172" s="295">
        <v>13</v>
      </c>
      <c r="Q172" s="295">
        <v>0</v>
      </c>
      <c r="R172" s="295">
        <v>0</v>
      </c>
      <c r="S172" s="295">
        <v>17</v>
      </c>
      <c r="T172" s="295">
        <v>0</v>
      </c>
      <c r="U172" s="295">
        <v>0</v>
      </c>
      <c r="V172" s="295">
        <v>0</v>
      </c>
      <c r="W172" s="295">
        <v>0</v>
      </c>
      <c r="X172" s="295">
        <v>64</v>
      </c>
      <c r="Y172" s="295">
        <v>0</v>
      </c>
      <c r="Z172" s="295">
        <v>0</v>
      </c>
      <c r="AA172" s="295">
        <v>0</v>
      </c>
      <c r="AB172" s="295">
        <v>0</v>
      </c>
      <c r="AC172" s="295">
        <v>0</v>
      </c>
      <c r="AD172" s="295">
        <v>1169</v>
      </c>
      <c r="AE172" s="295">
        <v>0</v>
      </c>
      <c r="AF172" s="295">
        <v>0</v>
      </c>
      <c r="AG172" s="295">
        <v>0</v>
      </c>
    </row>
    <row r="173" spans="2:33">
      <c r="B173" s="265" t="s">
        <v>5145</v>
      </c>
      <c r="C173" s="265" t="s">
        <v>34</v>
      </c>
      <c r="D173" s="265" t="s">
        <v>5506</v>
      </c>
      <c r="E173" s="269" t="s">
        <v>5431</v>
      </c>
      <c r="F173" s="265" t="s">
        <v>65</v>
      </c>
      <c r="G173" s="295">
        <v>1192</v>
      </c>
      <c r="H173" s="295">
        <v>11</v>
      </c>
      <c r="I173" s="295">
        <v>70</v>
      </c>
      <c r="J173" s="295">
        <v>49</v>
      </c>
      <c r="K173" s="295">
        <v>161</v>
      </c>
      <c r="L173" s="295">
        <v>0</v>
      </c>
      <c r="M173" s="295">
        <v>0</v>
      </c>
      <c r="N173" s="295">
        <v>0</v>
      </c>
      <c r="O173" s="295">
        <v>0</v>
      </c>
      <c r="P173" s="295">
        <v>44</v>
      </c>
      <c r="Q173" s="295">
        <v>3</v>
      </c>
      <c r="R173" s="295">
        <v>126</v>
      </c>
      <c r="S173" s="295">
        <v>300</v>
      </c>
      <c r="T173" s="295">
        <v>0</v>
      </c>
      <c r="U173" s="295">
        <v>9</v>
      </c>
      <c r="V173" s="295">
        <v>0</v>
      </c>
      <c r="W173" s="295">
        <v>4</v>
      </c>
      <c r="X173" s="295">
        <v>2</v>
      </c>
      <c r="Y173" s="295">
        <v>161</v>
      </c>
      <c r="Z173" s="295">
        <v>26</v>
      </c>
      <c r="AA173" s="295">
        <v>25</v>
      </c>
      <c r="AB173" s="295">
        <v>30</v>
      </c>
      <c r="AC173" s="295">
        <v>80</v>
      </c>
      <c r="AD173" s="295">
        <v>0</v>
      </c>
      <c r="AE173" s="295">
        <v>77</v>
      </c>
      <c r="AF173" s="295">
        <v>5</v>
      </c>
      <c r="AG173" s="295">
        <v>9</v>
      </c>
    </row>
    <row r="174" spans="2:33">
      <c r="B174" s="265" t="s">
        <v>5147</v>
      </c>
      <c r="C174" s="265" t="s">
        <v>34</v>
      </c>
      <c r="D174" s="265" t="s">
        <v>5508</v>
      </c>
      <c r="E174" s="269" t="s">
        <v>5432</v>
      </c>
      <c r="F174" s="265" t="s">
        <v>65</v>
      </c>
      <c r="G174" s="295">
        <v>2098</v>
      </c>
      <c r="H174" s="295">
        <v>0</v>
      </c>
      <c r="I174" s="295">
        <v>0</v>
      </c>
      <c r="J174" s="295">
        <v>81</v>
      </c>
      <c r="K174" s="295">
        <v>303</v>
      </c>
      <c r="L174" s="295">
        <v>0</v>
      </c>
      <c r="M174" s="295">
        <v>0</v>
      </c>
      <c r="N174" s="295">
        <v>0</v>
      </c>
      <c r="O174" s="295">
        <v>0</v>
      </c>
      <c r="P174" s="295">
        <v>7</v>
      </c>
      <c r="Q174" s="295">
        <v>0</v>
      </c>
      <c r="R174" s="295">
        <v>0</v>
      </c>
      <c r="S174" s="295">
        <v>13</v>
      </c>
      <c r="T174" s="295">
        <v>3</v>
      </c>
      <c r="U174" s="295">
        <v>0</v>
      </c>
      <c r="V174" s="295">
        <v>0</v>
      </c>
      <c r="W174" s="295">
        <v>0</v>
      </c>
      <c r="X174" s="295">
        <v>17</v>
      </c>
      <c r="Y174" s="295">
        <v>0</v>
      </c>
      <c r="Z174" s="295">
        <v>0</v>
      </c>
      <c r="AA174" s="295">
        <v>0</v>
      </c>
      <c r="AB174" s="295">
        <v>0</v>
      </c>
      <c r="AC174" s="295">
        <v>0</v>
      </c>
      <c r="AD174" s="295">
        <v>1674</v>
      </c>
      <c r="AE174" s="295">
        <v>0</v>
      </c>
      <c r="AF174" s="295">
        <v>0</v>
      </c>
      <c r="AG174" s="295">
        <v>0</v>
      </c>
    </row>
    <row r="175" spans="2:33">
      <c r="B175" s="265" t="s">
        <v>5149</v>
      </c>
      <c r="C175" s="265" t="s">
        <v>34</v>
      </c>
      <c r="D175" s="265" t="s">
        <v>5510</v>
      </c>
      <c r="E175" s="269" t="s">
        <v>5433</v>
      </c>
      <c r="F175" s="265" t="s">
        <v>65</v>
      </c>
      <c r="G175" s="295">
        <v>939</v>
      </c>
      <c r="H175" s="295">
        <v>0</v>
      </c>
      <c r="I175" s="295">
        <v>40</v>
      </c>
      <c r="J175" s="295">
        <v>27</v>
      </c>
      <c r="K175" s="295">
        <v>87</v>
      </c>
      <c r="L175" s="295">
        <v>0</v>
      </c>
      <c r="M175" s="295">
        <v>0</v>
      </c>
      <c r="N175" s="295">
        <v>0</v>
      </c>
      <c r="O175" s="295">
        <v>0</v>
      </c>
      <c r="P175" s="295">
        <v>41</v>
      </c>
      <c r="Q175" s="295">
        <v>0</v>
      </c>
      <c r="R175" s="295">
        <v>151</v>
      </c>
      <c r="S175" s="295">
        <v>348</v>
      </c>
      <c r="T175" s="295">
        <v>7</v>
      </c>
      <c r="U175" s="295">
        <v>10</v>
      </c>
      <c r="V175" s="295">
        <v>0</v>
      </c>
      <c r="W175" s="295">
        <v>3</v>
      </c>
      <c r="X175" s="295">
        <v>2</v>
      </c>
      <c r="Y175" s="295">
        <v>102</v>
      </c>
      <c r="Z175" s="295">
        <v>0</v>
      </c>
      <c r="AA175" s="295">
        <v>12</v>
      </c>
      <c r="AB175" s="295">
        <v>31</v>
      </c>
      <c r="AC175" s="295">
        <v>0</v>
      </c>
      <c r="AD175" s="295">
        <v>0</v>
      </c>
      <c r="AE175" s="295">
        <v>68</v>
      </c>
      <c r="AF175" s="295">
        <v>7</v>
      </c>
      <c r="AG175" s="295">
        <v>3</v>
      </c>
    </row>
    <row r="176" spans="2:33">
      <c r="B176" s="265" t="s">
        <v>5151</v>
      </c>
      <c r="C176" s="265" t="s">
        <v>125</v>
      </c>
      <c r="D176" s="265" t="s">
        <v>5512</v>
      </c>
      <c r="E176" s="269" t="s">
        <v>5434</v>
      </c>
      <c r="F176" s="265" t="s">
        <v>65</v>
      </c>
      <c r="G176" s="295">
        <v>908</v>
      </c>
      <c r="H176" s="295">
        <v>0</v>
      </c>
      <c r="I176" s="295">
        <v>21</v>
      </c>
      <c r="J176" s="295">
        <v>54</v>
      </c>
      <c r="K176" s="295">
        <v>161</v>
      </c>
      <c r="L176" s="295">
        <v>0</v>
      </c>
      <c r="M176" s="295">
        <v>0</v>
      </c>
      <c r="N176" s="295">
        <v>0</v>
      </c>
      <c r="O176" s="295">
        <v>0</v>
      </c>
      <c r="P176" s="295">
        <v>46</v>
      </c>
      <c r="Q176" s="295">
        <v>1</v>
      </c>
      <c r="R176" s="295">
        <v>29</v>
      </c>
      <c r="S176" s="295">
        <v>214</v>
      </c>
      <c r="T176" s="295">
        <v>6</v>
      </c>
      <c r="U176" s="295">
        <v>1</v>
      </c>
      <c r="V176" s="295">
        <v>0</v>
      </c>
      <c r="W176" s="295">
        <v>0</v>
      </c>
      <c r="X176" s="295">
        <v>14</v>
      </c>
      <c r="Y176" s="295">
        <v>95</v>
      </c>
      <c r="Z176" s="295">
        <v>7</v>
      </c>
      <c r="AA176" s="295">
        <v>18</v>
      </c>
      <c r="AB176" s="295">
        <v>26</v>
      </c>
      <c r="AC176" s="295">
        <v>0</v>
      </c>
      <c r="AD176" s="295">
        <v>151</v>
      </c>
      <c r="AE176" s="295">
        <v>62</v>
      </c>
      <c r="AF176" s="295">
        <v>1</v>
      </c>
      <c r="AG176" s="295">
        <v>1</v>
      </c>
    </row>
    <row r="177" spans="2:33">
      <c r="B177" s="265" t="s">
        <v>557</v>
      </c>
      <c r="C177" s="265" t="s">
        <v>125</v>
      </c>
      <c r="D177" s="265" t="s">
        <v>5514</v>
      </c>
      <c r="E177" s="269" t="s">
        <v>5438</v>
      </c>
      <c r="F177" s="265" t="s">
        <v>65</v>
      </c>
      <c r="G177" s="295">
        <v>297</v>
      </c>
      <c r="H177" s="295">
        <v>0</v>
      </c>
      <c r="I177" s="295">
        <v>9</v>
      </c>
      <c r="J177" s="295">
        <v>16</v>
      </c>
      <c r="K177" s="295">
        <v>48</v>
      </c>
      <c r="L177" s="295">
        <v>0</v>
      </c>
      <c r="M177" s="295">
        <v>0</v>
      </c>
      <c r="N177" s="295">
        <v>0</v>
      </c>
      <c r="O177" s="295">
        <v>0</v>
      </c>
      <c r="P177" s="295">
        <v>18</v>
      </c>
      <c r="Q177" s="295">
        <v>0</v>
      </c>
      <c r="R177" s="295">
        <v>9</v>
      </c>
      <c r="S177" s="295">
        <v>64</v>
      </c>
      <c r="T177" s="295">
        <v>2</v>
      </c>
      <c r="U177" s="295">
        <v>0</v>
      </c>
      <c r="V177" s="295">
        <v>0</v>
      </c>
      <c r="W177" s="295">
        <v>0</v>
      </c>
      <c r="X177" s="295">
        <v>4</v>
      </c>
      <c r="Y177" s="295">
        <v>35</v>
      </c>
      <c r="Z177" s="295">
        <v>6</v>
      </c>
      <c r="AA177" s="295">
        <v>7</v>
      </c>
      <c r="AB177" s="295">
        <v>8</v>
      </c>
      <c r="AC177" s="295">
        <v>1</v>
      </c>
      <c r="AD177" s="295">
        <v>45</v>
      </c>
      <c r="AE177" s="295">
        <v>25</v>
      </c>
      <c r="AF177" s="295">
        <v>0</v>
      </c>
      <c r="AG177" s="295">
        <v>0</v>
      </c>
    </row>
    <row r="178" spans="2:33">
      <c r="B178" s="265" t="s">
        <v>5154</v>
      </c>
      <c r="C178" s="265" t="s">
        <v>125</v>
      </c>
      <c r="D178" s="265" t="s">
        <v>5516</v>
      </c>
      <c r="E178" s="269" t="s">
        <v>5489</v>
      </c>
      <c r="F178" s="265" t="s">
        <v>65</v>
      </c>
      <c r="G178" s="295">
        <v>201</v>
      </c>
      <c r="H178" s="295">
        <v>0</v>
      </c>
      <c r="I178" s="295">
        <v>6</v>
      </c>
      <c r="J178" s="295">
        <v>11</v>
      </c>
      <c r="K178" s="295">
        <v>32</v>
      </c>
      <c r="L178" s="295">
        <v>0</v>
      </c>
      <c r="M178" s="295">
        <v>0</v>
      </c>
      <c r="N178" s="295">
        <v>0</v>
      </c>
      <c r="O178" s="295">
        <v>0</v>
      </c>
      <c r="P178" s="295">
        <v>12</v>
      </c>
      <c r="Q178" s="295">
        <v>0</v>
      </c>
      <c r="R178" s="295">
        <v>6</v>
      </c>
      <c r="S178" s="295">
        <v>44</v>
      </c>
      <c r="T178" s="295">
        <v>1</v>
      </c>
      <c r="U178" s="295">
        <v>0</v>
      </c>
      <c r="V178" s="295">
        <v>0</v>
      </c>
      <c r="W178" s="295">
        <v>0</v>
      </c>
      <c r="X178" s="295">
        <v>3</v>
      </c>
      <c r="Y178" s="295">
        <v>24</v>
      </c>
      <c r="Z178" s="295">
        <v>4</v>
      </c>
      <c r="AA178" s="295">
        <v>5</v>
      </c>
      <c r="AB178" s="295">
        <v>5</v>
      </c>
      <c r="AC178" s="295">
        <v>0</v>
      </c>
      <c r="AD178" s="295">
        <v>31</v>
      </c>
      <c r="AE178" s="295">
        <v>17</v>
      </c>
      <c r="AF178" s="295">
        <v>0</v>
      </c>
      <c r="AG178" s="295">
        <v>0</v>
      </c>
    </row>
    <row r="179" spans="2:33">
      <c r="B179" s="265" t="s">
        <v>5156</v>
      </c>
      <c r="C179" s="265" t="s">
        <v>142</v>
      </c>
      <c r="D179" s="265" t="s">
        <v>5518</v>
      </c>
      <c r="E179" s="269" t="s">
        <v>5476</v>
      </c>
      <c r="F179" s="265" t="s">
        <v>65</v>
      </c>
      <c r="G179" s="295">
        <v>442</v>
      </c>
      <c r="H179" s="295">
        <v>1</v>
      </c>
      <c r="I179" s="295">
        <v>18</v>
      </c>
      <c r="J179" s="295">
        <v>41</v>
      </c>
      <c r="K179" s="295">
        <v>104</v>
      </c>
      <c r="L179" s="295">
        <v>0</v>
      </c>
      <c r="M179" s="295">
        <v>0</v>
      </c>
      <c r="N179" s="295">
        <v>0</v>
      </c>
      <c r="O179" s="295">
        <v>0</v>
      </c>
      <c r="P179" s="295">
        <v>3</v>
      </c>
      <c r="Q179" s="295">
        <v>0</v>
      </c>
      <c r="R179" s="295">
        <v>0</v>
      </c>
      <c r="S179" s="295">
        <v>6</v>
      </c>
      <c r="T179" s="295">
        <v>0</v>
      </c>
      <c r="U179" s="295">
        <v>7</v>
      </c>
      <c r="V179" s="295">
        <v>0</v>
      </c>
      <c r="W179" s="295">
        <v>0</v>
      </c>
      <c r="X179" s="295">
        <v>0</v>
      </c>
      <c r="Y179" s="295">
        <v>18</v>
      </c>
      <c r="Z179" s="295">
        <v>0</v>
      </c>
      <c r="AA179" s="295">
        <v>3</v>
      </c>
      <c r="AB179" s="295">
        <v>2</v>
      </c>
      <c r="AC179" s="295">
        <v>2</v>
      </c>
      <c r="AD179" s="295">
        <v>225</v>
      </c>
      <c r="AE179" s="295">
        <v>11</v>
      </c>
      <c r="AF179" s="295">
        <v>1</v>
      </c>
      <c r="AG179" s="295">
        <v>0</v>
      </c>
    </row>
    <row r="180" spans="2:33">
      <c r="B180" s="265" t="s">
        <v>5158</v>
      </c>
      <c r="C180" s="265" t="s">
        <v>39</v>
      </c>
      <c r="D180" s="265" t="s">
        <v>5520</v>
      </c>
      <c r="E180" s="269" t="s">
        <v>5472</v>
      </c>
      <c r="F180" s="265" t="s">
        <v>65</v>
      </c>
      <c r="G180" s="295">
        <v>1441</v>
      </c>
      <c r="H180" s="295">
        <v>18</v>
      </c>
      <c r="I180" s="295">
        <v>164</v>
      </c>
      <c r="J180" s="295">
        <v>129</v>
      </c>
      <c r="K180" s="295">
        <v>92</v>
      </c>
      <c r="L180" s="295">
        <v>4</v>
      </c>
      <c r="M180" s="295">
        <v>0</v>
      </c>
      <c r="N180" s="295">
        <v>0</v>
      </c>
      <c r="O180" s="295">
        <v>1</v>
      </c>
      <c r="P180" s="295">
        <v>30</v>
      </c>
      <c r="Q180" s="295">
        <v>6</v>
      </c>
      <c r="R180" s="295">
        <v>159</v>
      </c>
      <c r="S180" s="295">
        <v>537</v>
      </c>
      <c r="T180" s="295">
        <v>1</v>
      </c>
      <c r="U180" s="295">
        <v>135</v>
      </c>
      <c r="V180" s="295">
        <v>0</v>
      </c>
      <c r="W180" s="295">
        <v>14</v>
      </c>
      <c r="X180" s="295">
        <v>0</v>
      </c>
      <c r="Y180" s="295">
        <v>33</v>
      </c>
      <c r="Z180" s="295">
        <v>3</v>
      </c>
      <c r="AA180" s="295">
        <v>3</v>
      </c>
      <c r="AB180" s="295">
        <v>32</v>
      </c>
      <c r="AC180" s="295">
        <v>21</v>
      </c>
      <c r="AD180" s="295">
        <v>30</v>
      </c>
      <c r="AE180" s="295">
        <v>6</v>
      </c>
      <c r="AF180" s="295">
        <v>9</v>
      </c>
      <c r="AG180" s="295">
        <v>14</v>
      </c>
    </row>
    <row r="181" spans="2:33">
      <c r="B181" s="265" t="s">
        <v>5160</v>
      </c>
      <c r="C181" s="265" t="s">
        <v>41</v>
      </c>
      <c r="D181" s="265" t="s">
        <v>5522</v>
      </c>
      <c r="E181" s="269" t="s">
        <v>5782</v>
      </c>
      <c r="F181" s="265" t="s">
        <v>65</v>
      </c>
      <c r="G181" s="295">
        <v>82</v>
      </c>
      <c r="H181" s="295">
        <v>6</v>
      </c>
      <c r="I181" s="295">
        <v>9</v>
      </c>
      <c r="J181" s="295">
        <v>4</v>
      </c>
      <c r="K181" s="295">
        <v>8</v>
      </c>
      <c r="L181" s="295">
        <v>0</v>
      </c>
      <c r="M181" s="295">
        <v>0</v>
      </c>
      <c r="N181" s="295">
        <v>0</v>
      </c>
      <c r="O181" s="295">
        <v>0</v>
      </c>
      <c r="P181" s="295">
        <v>6</v>
      </c>
      <c r="Q181" s="295">
        <v>0</v>
      </c>
      <c r="R181" s="295">
        <v>6</v>
      </c>
      <c r="S181" s="295">
        <v>31</v>
      </c>
      <c r="T181" s="295">
        <v>0</v>
      </c>
      <c r="U181" s="295">
        <v>6</v>
      </c>
      <c r="V181" s="295">
        <v>0</v>
      </c>
      <c r="W181" s="295">
        <v>0</v>
      </c>
      <c r="X181" s="295">
        <v>0</v>
      </c>
      <c r="Y181" s="295">
        <v>2</v>
      </c>
      <c r="Z181" s="295">
        <v>0</v>
      </c>
      <c r="AA181" s="295">
        <v>0</v>
      </c>
      <c r="AB181" s="295">
        <v>3</v>
      </c>
      <c r="AC181" s="295">
        <v>0</v>
      </c>
      <c r="AD181" s="295">
        <v>0</v>
      </c>
      <c r="AE181" s="295">
        <v>0</v>
      </c>
      <c r="AF181" s="295">
        <v>1</v>
      </c>
      <c r="AG181" s="295">
        <v>0</v>
      </c>
    </row>
    <row r="182" spans="2:33">
      <c r="B182" s="265" t="s">
        <v>5162</v>
      </c>
      <c r="C182" s="265" t="s">
        <v>34</v>
      </c>
      <c r="D182" s="265" t="s">
        <v>5524</v>
      </c>
      <c r="E182" s="269" t="s">
        <v>5488</v>
      </c>
      <c r="F182" s="265" t="s">
        <v>65</v>
      </c>
      <c r="G182" s="295">
        <v>1888</v>
      </c>
      <c r="H182" s="295">
        <v>7</v>
      </c>
      <c r="I182" s="295">
        <v>130</v>
      </c>
      <c r="J182" s="295">
        <v>244</v>
      </c>
      <c r="K182" s="295">
        <v>325</v>
      </c>
      <c r="L182" s="295">
        <v>0</v>
      </c>
      <c r="M182" s="295">
        <v>0</v>
      </c>
      <c r="N182" s="295">
        <v>0</v>
      </c>
      <c r="O182" s="295">
        <v>0</v>
      </c>
      <c r="P182" s="295">
        <v>20</v>
      </c>
      <c r="Q182" s="295">
        <v>14</v>
      </c>
      <c r="R182" s="295">
        <v>15</v>
      </c>
      <c r="S182" s="295">
        <v>254</v>
      </c>
      <c r="T182" s="295">
        <v>7</v>
      </c>
      <c r="U182" s="295">
        <v>35</v>
      </c>
      <c r="V182" s="295">
        <v>4</v>
      </c>
      <c r="W182" s="295">
        <v>2</v>
      </c>
      <c r="X182" s="295">
        <v>0</v>
      </c>
      <c r="Y182" s="295">
        <v>228</v>
      </c>
      <c r="Z182" s="295">
        <v>53</v>
      </c>
      <c r="AA182" s="295">
        <v>20</v>
      </c>
      <c r="AB182" s="295">
        <v>15</v>
      </c>
      <c r="AC182" s="295">
        <v>23</v>
      </c>
      <c r="AD182" s="295">
        <v>445</v>
      </c>
      <c r="AE182" s="295">
        <v>43</v>
      </c>
      <c r="AF182" s="295">
        <v>2</v>
      </c>
      <c r="AG182" s="295">
        <v>2</v>
      </c>
    </row>
    <row r="183" spans="2:33">
      <c r="B183" s="265" t="s">
        <v>5164</v>
      </c>
      <c r="C183" s="265" t="s">
        <v>34</v>
      </c>
      <c r="D183" s="265" t="s">
        <v>5526</v>
      </c>
      <c r="E183" s="269" t="s">
        <v>5477</v>
      </c>
      <c r="F183" s="265" t="s">
        <v>65</v>
      </c>
      <c r="G183" s="295">
        <v>37</v>
      </c>
      <c r="H183" s="295">
        <v>0</v>
      </c>
      <c r="I183" s="295">
        <v>0</v>
      </c>
      <c r="J183" s="295">
        <v>0</v>
      </c>
      <c r="K183" s="295">
        <v>0</v>
      </c>
      <c r="L183" s="295">
        <v>0</v>
      </c>
      <c r="M183" s="295">
        <v>0</v>
      </c>
      <c r="N183" s="295">
        <v>0</v>
      </c>
      <c r="O183" s="295">
        <v>0</v>
      </c>
      <c r="P183" s="295">
        <v>1</v>
      </c>
      <c r="Q183" s="295">
        <v>0</v>
      </c>
      <c r="R183" s="295">
        <v>3</v>
      </c>
      <c r="S183" s="295">
        <v>19</v>
      </c>
      <c r="T183" s="295">
        <v>0</v>
      </c>
      <c r="U183" s="295">
        <v>3</v>
      </c>
      <c r="V183" s="295">
        <v>0</v>
      </c>
      <c r="W183" s="295">
        <v>0</v>
      </c>
      <c r="X183" s="295">
        <v>0</v>
      </c>
      <c r="Y183" s="295">
        <v>7</v>
      </c>
      <c r="Z183" s="295">
        <v>0</v>
      </c>
      <c r="AA183" s="295">
        <v>2</v>
      </c>
      <c r="AB183" s="295">
        <v>2</v>
      </c>
      <c r="AC183" s="295">
        <v>0</v>
      </c>
      <c r="AD183" s="295">
        <v>0</v>
      </c>
      <c r="AE183" s="295">
        <v>0</v>
      </c>
      <c r="AF183" s="295">
        <v>0</v>
      </c>
      <c r="AG183" s="295">
        <v>0</v>
      </c>
    </row>
    <row r="184" spans="2:33">
      <c r="B184" s="265" t="s">
        <v>5166</v>
      </c>
      <c r="C184" s="265" t="s">
        <v>34</v>
      </c>
      <c r="D184" s="265" t="s">
        <v>5528</v>
      </c>
      <c r="E184" s="269" t="s">
        <v>5478</v>
      </c>
      <c r="F184" s="265" t="s">
        <v>65</v>
      </c>
      <c r="G184" s="295">
        <v>37</v>
      </c>
      <c r="H184" s="295">
        <v>0</v>
      </c>
      <c r="I184" s="295">
        <v>0</v>
      </c>
      <c r="J184" s="295">
        <v>0</v>
      </c>
      <c r="K184" s="295">
        <v>0</v>
      </c>
      <c r="L184" s="295">
        <v>0</v>
      </c>
      <c r="M184" s="295">
        <v>0</v>
      </c>
      <c r="N184" s="295">
        <v>0</v>
      </c>
      <c r="O184" s="295">
        <v>0</v>
      </c>
      <c r="P184" s="295">
        <v>1</v>
      </c>
      <c r="Q184" s="295">
        <v>0</v>
      </c>
      <c r="R184" s="295">
        <v>3</v>
      </c>
      <c r="S184" s="295">
        <v>19</v>
      </c>
      <c r="T184" s="295">
        <v>0</v>
      </c>
      <c r="U184" s="295">
        <v>3</v>
      </c>
      <c r="V184" s="295">
        <v>0</v>
      </c>
      <c r="W184" s="295">
        <v>0</v>
      </c>
      <c r="X184" s="295">
        <v>0</v>
      </c>
      <c r="Y184" s="295">
        <v>7</v>
      </c>
      <c r="Z184" s="295">
        <v>0</v>
      </c>
      <c r="AA184" s="295">
        <v>2</v>
      </c>
      <c r="AB184" s="295">
        <v>2</v>
      </c>
      <c r="AC184" s="295">
        <v>0</v>
      </c>
      <c r="AD184" s="295">
        <v>0</v>
      </c>
      <c r="AE184" s="295">
        <v>0</v>
      </c>
      <c r="AF184" s="295">
        <v>0</v>
      </c>
      <c r="AG184" s="295">
        <v>0</v>
      </c>
    </row>
    <row r="185" spans="2:33">
      <c r="B185" s="265" t="s">
        <v>5168</v>
      </c>
      <c r="C185" s="265" t="s">
        <v>44</v>
      </c>
      <c r="D185" s="265" t="s">
        <v>5530</v>
      </c>
      <c r="E185" s="269" t="s">
        <v>5443</v>
      </c>
      <c r="F185" s="265" t="s">
        <v>65</v>
      </c>
      <c r="G185" s="295">
        <v>2352</v>
      </c>
      <c r="H185" s="295">
        <v>20</v>
      </c>
      <c r="I185" s="295">
        <v>45</v>
      </c>
      <c r="J185" s="295">
        <v>485</v>
      </c>
      <c r="K185" s="295">
        <v>200</v>
      </c>
      <c r="L185" s="295">
        <v>0</v>
      </c>
      <c r="M185" s="295">
        <v>0</v>
      </c>
      <c r="N185" s="295">
        <v>0</v>
      </c>
      <c r="O185" s="295">
        <v>0</v>
      </c>
      <c r="P185" s="295">
        <v>2</v>
      </c>
      <c r="Q185" s="295">
        <v>2</v>
      </c>
      <c r="R185" s="295">
        <v>132</v>
      </c>
      <c r="S185" s="295">
        <v>710</v>
      </c>
      <c r="T185" s="295">
        <v>4</v>
      </c>
      <c r="U185" s="295">
        <v>0</v>
      </c>
      <c r="V185" s="295">
        <v>0</v>
      </c>
      <c r="W185" s="295">
        <v>0</v>
      </c>
      <c r="X185" s="295">
        <v>0</v>
      </c>
      <c r="Y185" s="295">
        <v>438</v>
      </c>
      <c r="Z185" s="295">
        <v>0</v>
      </c>
      <c r="AA185" s="295">
        <v>8</v>
      </c>
      <c r="AB185" s="295">
        <v>25</v>
      </c>
      <c r="AC185" s="295">
        <v>191</v>
      </c>
      <c r="AD185" s="295">
        <v>25</v>
      </c>
      <c r="AE185" s="295">
        <v>52</v>
      </c>
      <c r="AF185" s="295">
        <v>5</v>
      </c>
      <c r="AG185" s="295">
        <v>8</v>
      </c>
    </row>
    <row r="186" spans="2:33">
      <c r="B186" s="265" t="s">
        <v>5170</v>
      </c>
      <c r="C186" s="265" t="s">
        <v>44</v>
      </c>
      <c r="D186" s="265" t="s">
        <v>5532</v>
      </c>
      <c r="E186" s="269" t="s">
        <v>5444</v>
      </c>
      <c r="F186" s="265" t="s">
        <v>65</v>
      </c>
      <c r="G186" s="295">
        <v>2352</v>
      </c>
      <c r="H186" s="295">
        <v>20</v>
      </c>
      <c r="I186" s="295">
        <v>45</v>
      </c>
      <c r="J186" s="295">
        <v>485</v>
      </c>
      <c r="K186" s="295">
        <v>200</v>
      </c>
      <c r="L186" s="295">
        <v>0</v>
      </c>
      <c r="M186" s="295">
        <v>0</v>
      </c>
      <c r="N186" s="295">
        <v>0</v>
      </c>
      <c r="O186" s="295">
        <v>0</v>
      </c>
      <c r="P186" s="295">
        <v>2</v>
      </c>
      <c r="Q186" s="295">
        <v>2</v>
      </c>
      <c r="R186" s="295">
        <v>132</v>
      </c>
      <c r="S186" s="295">
        <v>710</v>
      </c>
      <c r="T186" s="295">
        <v>4</v>
      </c>
      <c r="U186" s="295">
        <v>0</v>
      </c>
      <c r="V186" s="295">
        <v>0</v>
      </c>
      <c r="W186" s="295">
        <v>0</v>
      </c>
      <c r="X186" s="295">
        <v>0</v>
      </c>
      <c r="Y186" s="295">
        <v>438</v>
      </c>
      <c r="Z186" s="295">
        <v>0</v>
      </c>
      <c r="AA186" s="295">
        <v>8</v>
      </c>
      <c r="AB186" s="295">
        <v>25</v>
      </c>
      <c r="AC186" s="295">
        <v>191</v>
      </c>
      <c r="AD186" s="295">
        <v>25</v>
      </c>
      <c r="AE186" s="295">
        <v>52</v>
      </c>
      <c r="AF186" s="295">
        <v>5</v>
      </c>
      <c r="AG186" s="295">
        <v>8</v>
      </c>
    </row>
    <row r="187" spans="2:33">
      <c r="B187" s="265" t="s">
        <v>5172</v>
      </c>
      <c r="C187" s="265" t="s">
        <v>44</v>
      </c>
      <c r="D187" s="265" t="s">
        <v>5534</v>
      </c>
      <c r="E187" s="269" t="s">
        <v>5445</v>
      </c>
      <c r="F187" s="265" t="s">
        <v>65</v>
      </c>
      <c r="G187" s="295">
        <v>2352</v>
      </c>
      <c r="H187" s="295">
        <v>20</v>
      </c>
      <c r="I187" s="295">
        <v>45</v>
      </c>
      <c r="J187" s="295">
        <v>485</v>
      </c>
      <c r="K187" s="295">
        <v>200</v>
      </c>
      <c r="L187" s="295">
        <v>0</v>
      </c>
      <c r="M187" s="295">
        <v>0</v>
      </c>
      <c r="N187" s="295">
        <v>0</v>
      </c>
      <c r="O187" s="295">
        <v>0</v>
      </c>
      <c r="P187" s="295">
        <v>2</v>
      </c>
      <c r="Q187" s="295">
        <v>2</v>
      </c>
      <c r="R187" s="295">
        <v>132</v>
      </c>
      <c r="S187" s="295">
        <v>710</v>
      </c>
      <c r="T187" s="295">
        <v>4</v>
      </c>
      <c r="U187" s="295">
        <v>0</v>
      </c>
      <c r="V187" s="295">
        <v>0</v>
      </c>
      <c r="W187" s="295">
        <v>0</v>
      </c>
      <c r="X187" s="295">
        <v>0</v>
      </c>
      <c r="Y187" s="295">
        <v>438</v>
      </c>
      <c r="Z187" s="295">
        <v>0</v>
      </c>
      <c r="AA187" s="295">
        <v>8</v>
      </c>
      <c r="AB187" s="295">
        <v>25</v>
      </c>
      <c r="AC187" s="295">
        <v>191</v>
      </c>
      <c r="AD187" s="295">
        <v>25</v>
      </c>
      <c r="AE187" s="295">
        <v>52</v>
      </c>
      <c r="AF187" s="295">
        <v>5</v>
      </c>
      <c r="AG187" s="295">
        <v>8</v>
      </c>
    </row>
    <row r="188" spans="2:33">
      <c r="B188" s="265" t="s">
        <v>5174</v>
      </c>
      <c r="C188" s="265" t="s">
        <v>44</v>
      </c>
      <c r="D188" s="265" t="s">
        <v>5536</v>
      </c>
      <c r="E188" s="269" t="s">
        <v>5446</v>
      </c>
      <c r="F188" s="265" t="s">
        <v>65</v>
      </c>
      <c r="G188" s="295">
        <v>2352</v>
      </c>
      <c r="H188" s="295">
        <v>20</v>
      </c>
      <c r="I188" s="295">
        <v>45</v>
      </c>
      <c r="J188" s="295">
        <v>485</v>
      </c>
      <c r="K188" s="295">
        <v>200</v>
      </c>
      <c r="L188" s="295">
        <v>0</v>
      </c>
      <c r="M188" s="295">
        <v>0</v>
      </c>
      <c r="N188" s="295">
        <v>0</v>
      </c>
      <c r="O188" s="295">
        <v>0</v>
      </c>
      <c r="P188" s="295">
        <v>2</v>
      </c>
      <c r="Q188" s="295">
        <v>2</v>
      </c>
      <c r="R188" s="295">
        <v>132</v>
      </c>
      <c r="S188" s="295">
        <v>710</v>
      </c>
      <c r="T188" s="295">
        <v>4</v>
      </c>
      <c r="U188" s="295">
        <v>0</v>
      </c>
      <c r="V188" s="295">
        <v>0</v>
      </c>
      <c r="W188" s="295">
        <v>0</v>
      </c>
      <c r="X188" s="295">
        <v>0</v>
      </c>
      <c r="Y188" s="295">
        <v>438</v>
      </c>
      <c r="Z188" s="295">
        <v>0</v>
      </c>
      <c r="AA188" s="295">
        <v>8</v>
      </c>
      <c r="AB188" s="295">
        <v>25</v>
      </c>
      <c r="AC188" s="295">
        <v>191</v>
      </c>
      <c r="AD188" s="295">
        <v>25</v>
      </c>
      <c r="AE188" s="295">
        <v>52</v>
      </c>
      <c r="AF188" s="295">
        <v>5</v>
      </c>
      <c r="AG188" s="295">
        <v>8</v>
      </c>
    </row>
    <row r="189" spans="2:33">
      <c r="B189" s="265" t="s">
        <v>5050</v>
      </c>
      <c r="C189" s="265" t="s">
        <v>44</v>
      </c>
      <c r="D189" s="265" t="s">
        <v>5538</v>
      </c>
      <c r="E189" s="269" t="s">
        <v>5447</v>
      </c>
      <c r="F189" s="265" t="s">
        <v>65</v>
      </c>
      <c r="G189" s="295">
        <v>2352</v>
      </c>
      <c r="H189" s="295">
        <v>20</v>
      </c>
      <c r="I189" s="295">
        <v>45</v>
      </c>
      <c r="J189" s="295">
        <v>485</v>
      </c>
      <c r="K189" s="295">
        <v>200</v>
      </c>
      <c r="L189" s="295">
        <v>0</v>
      </c>
      <c r="M189" s="295">
        <v>0</v>
      </c>
      <c r="N189" s="295">
        <v>0</v>
      </c>
      <c r="O189" s="295">
        <v>0</v>
      </c>
      <c r="P189" s="295">
        <v>2</v>
      </c>
      <c r="Q189" s="295">
        <v>2</v>
      </c>
      <c r="R189" s="295">
        <v>132</v>
      </c>
      <c r="S189" s="295">
        <v>710</v>
      </c>
      <c r="T189" s="295">
        <v>4</v>
      </c>
      <c r="U189" s="295">
        <v>0</v>
      </c>
      <c r="V189" s="295">
        <v>0</v>
      </c>
      <c r="W189" s="295">
        <v>0</v>
      </c>
      <c r="X189" s="295">
        <v>0</v>
      </c>
      <c r="Y189" s="295">
        <v>438</v>
      </c>
      <c r="Z189" s="295">
        <v>0</v>
      </c>
      <c r="AA189" s="295">
        <v>8</v>
      </c>
      <c r="AB189" s="295">
        <v>25</v>
      </c>
      <c r="AC189" s="295">
        <v>191</v>
      </c>
      <c r="AD189" s="295">
        <v>25</v>
      </c>
      <c r="AE189" s="295">
        <v>52</v>
      </c>
      <c r="AF189" s="295">
        <v>5</v>
      </c>
      <c r="AG189" s="295">
        <v>8</v>
      </c>
    </row>
    <row r="190" spans="2:33">
      <c r="B190" s="265" t="s">
        <v>5175</v>
      </c>
      <c r="C190" s="265" t="s">
        <v>44</v>
      </c>
      <c r="D190" s="265" t="s">
        <v>5540</v>
      </c>
      <c r="E190" s="269" t="s">
        <v>5448</v>
      </c>
      <c r="F190" s="265" t="s">
        <v>65</v>
      </c>
      <c r="G190" s="295">
        <v>2352</v>
      </c>
      <c r="H190" s="295">
        <v>20</v>
      </c>
      <c r="I190" s="295">
        <v>45</v>
      </c>
      <c r="J190" s="295">
        <v>485</v>
      </c>
      <c r="K190" s="295">
        <v>200</v>
      </c>
      <c r="L190" s="295">
        <v>0</v>
      </c>
      <c r="M190" s="295">
        <v>0</v>
      </c>
      <c r="N190" s="295">
        <v>0</v>
      </c>
      <c r="O190" s="295">
        <v>0</v>
      </c>
      <c r="P190" s="295">
        <v>2</v>
      </c>
      <c r="Q190" s="295">
        <v>2</v>
      </c>
      <c r="R190" s="295">
        <v>132</v>
      </c>
      <c r="S190" s="295">
        <v>710</v>
      </c>
      <c r="T190" s="295">
        <v>4</v>
      </c>
      <c r="U190" s="295">
        <v>0</v>
      </c>
      <c r="V190" s="295">
        <v>0</v>
      </c>
      <c r="W190" s="295">
        <v>0</v>
      </c>
      <c r="X190" s="295">
        <v>0</v>
      </c>
      <c r="Y190" s="295">
        <v>438</v>
      </c>
      <c r="Z190" s="295">
        <v>0</v>
      </c>
      <c r="AA190" s="295">
        <v>8</v>
      </c>
      <c r="AB190" s="295">
        <v>25</v>
      </c>
      <c r="AC190" s="295">
        <v>191</v>
      </c>
      <c r="AD190" s="295">
        <v>25</v>
      </c>
      <c r="AE190" s="295">
        <v>52</v>
      </c>
      <c r="AF190" s="295">
        <v>5</v>
      </c>
      <c r="AG190" s="295">
        <v>8</v>
      </c>
    </row>
    <row r="191" spans="2:33">
      <c r="B191" s="265" t="s">
        <v>5176</v>
      </c>
      <c r="C191" s="265" t="s">
        <v>44</v>
      </c>
      <c r="D191" s="265" t="s">
        <v>5542</v>
      </c>
      <c r="E191" s="269" t="s">
        <v>5449</v>
      </c>
      <c r="F191" s="265" t="s">
        <v>65</v>
      </c>
      <c r="G191" s="295">
        <v>2352</v>
      </c>
      <c r="H191" s="295">
        <v>20</v>
      </c>
      <c r="I191" s="295">
        <v>45</v>
      </c>
      <c r="J191" s="295">
        <v>485</v>
      </c>
      <c r="K191" s="295">
        <v>200</v>
      </c>
      <c r="L191" s="295">
        <v>0</v>
      </c>
      <c r="M191" s="295">
        <v>0</v>
      </c>
      <c r="N191" s="295">
        <v>0</v>
      </c>
      <c r="O191" s="295">
        <v>0</v>
      </c>
      <c r="P191" s="295">
        <v>2</v>
      </c>
      <c r="Q191" s="295">
        <v>2</v>
      </c>
      <c r="R191" s="295">
        <v>132</v>
      </c>
      <c r="S191" s="295">
        <v>710</v>
      </c>
      <c r="T191" s="295">
        <v>4</v>
      </c>
      <c r="U191" s="295">
        <v>0</v>
      </c>
      <c r="V191" s="295">
        <v>0</v>
      </c>
      <c r="W191" s="295">
        <v>0</v>
      </c>
      <c r="X191" s="295">
        <v>0</v>
      </c>
      <c r="Y191" s="295">
        <v>438</v>
      </c>
      <c r="Z191" s="295">
        <v>0</v>
      </c>
      <c r="AA191" s="295">
        <v>8</v>
      </c>
      <c r="AB191" s="295">
        <v>25</v>
      </c>
      <c r="AC191" s="295">
        <v>191</v>
      </c>
      <c r="AD191" s="295">
        <v>25</v>
      </c>
      <c r="AE191" s="295">
        <v>52</v>
      </c>
      <c r="AF191" s="295">
        <v>5</v>
      </c>
      <c r="AG191" s="295">
        <v>8</v>
      </c>
    </row>
    <row r="192" spans="2:33">
      <c r="B192" s="265" t="s">
        <v>5177</v>
      </c>
      <c r="C192" s="265" t="s">
        <v>44</v>
      </c>
      <c r="D192" s="265" t="s">
        <v>5544</v>
      </c>
      <c r="E192" s="269" t="s">
        <v>5450</v>
      </c>
      <c r="F192" s="265" t="s">
        <v>65</v>
      </c>
      <c r="G192" s="295">
        <v>2352</v>
      </c>
      <c r="H192" s="295">
        <v>20</v>
      </c>
      <c r="I192" s="295">
        <v>45</v>
      </c>
      <c r="J192" s="295">
        <v>485</v>
      </c>
      <c r="K192" s="295">
        <v>200</v>
      </c>
      <c r="L192" s="295">
        <v>0</v>
      </c>
      <c r="M192" s="295">
        <v>0</v>
      </c>
      <c r="N192" s="295">
        <v>0</v>
      </c>
      <c r="O192" s="295">
        <v>0</v>
      </c>
      <c r="P192" s="295">
        <v>2</v>
      </c>
      <c r="Q192" s="295">
        <v>2</v>
      </c>
      <c r="R192" s="295">
        <v>132</v>
      </c>
      <c r="S192" s="295">
        <v>710</v>
      </c>
      <c r="T192" s="295">
        <v>4</v>
      </c>
      <c r="U192" s="295">
        <v>0</v>
      </c>
      <c r="V192" s="295">
        <v>0</v>
      </c>
      <c r="W192" s="295">
        <v>0</v>
      </c>
      <c r="X192" s="295">
        <v>0</v>
      </c>
      <c r="Y192" s="295">
        <v>438</v>
      </c>
      <c r="Z192" s="295">
        <v>0</v>
      </c>
      <c r="AA192" s="295">
        <v>8</v>
      </c>
      <c r="AB192" s="295">
        <v>25</v>
      </c>
      <c r="AC192" s="295">
        <v>191</v>
      </c>
      <c r="AD192" s="295">
        <v>25</v>
      </c>
      <c r="AE192" s="295">
        <v>52</v>
      </c>
      <c r="AF192" s="295">
        <v>5</v>
      </c>
      <c r="AG192" s="295">
        <v>8</v>
      </c>
    </row>
    <row r="193" spans="2:33">
      <c r="B193" s="265" t="s">
        <v>5179</v>
      </c>
      <c r="C193" s="265" t="s">
        <v>44</v>
      </c>
      <c r="D193" s="265" t="s">
        <v>5546</v>
      </c>
      <c r="E193" s="269" t="s">
        <v>5451</v>
      </c>
      <c r="F193" s="265" t="s">
        <v>65</v>
      </c>
      <c r="G193" s="295">
        <v>2352</v>
      </c>
      <c r="H193" s="295">
        <v>20</v>
      </c>
      <c r="I193" s="295">
        <v>45</v>
      </c>
      <c r="J193" s="295">
        <v>485</v>
      </c>
      <c r="K193" s="295">
        <v>200</v>
      </c>
      <c r="L193" s="295">
        <v>0</v>
      </c>
      <c r="M193" s="295">
        <v>0</v>
      </c>
      <c r="N193" s="295">
        <v>0</v>
      </c>
      <c r="O193" s="295">
        <v>0</v>
      </c>
      <c r="P193" s="295">
        <v>2</v>
      </c>
      <c r="Q193" s="295">
        <v>2</v>
      </c>
      <c r="R193" s="295">
        <v>132</v>
      </c>
      <c r="S193" s="295">
        <v>710</v>
      </c>
      <c r="T193" s="295">
        <v>4</v>
      </c>
      <c r="U193" s="295">
        <v>0</v>
      </c>
      <c r="V193" s="295">
        <v>0</v>
      </c>
      <c r="W193" s="295">
        <v>0</v>
      </c>
      <c r="X193" s="295">
        <v>0</v>
      </c>
      <c r="Y193" s="295">
        <v>438</v>
      </c>
      <c r="Z193" s="295">
        <v>0</v>
      </c>
      <c r="AA193" s="295">
        <v>8</v>
      </c>
      <c r="AB193" s="295">
        <v>25</v>
      </c>
      <c r="AC193" s="295">
        <v>191</v>
      </c>
      <c r="AD193" s="295">
        <v>25</v>
      </c>
      <c r="AE193" s="295">
        <v>52</v>
      </c>
      <c r="AF193" s="295">
        <v>5</v>
      </c>
      <c r="AG193" s="295">
        <v>8</v>
      </c>
    </row>
    <row r="194" spans="2:33">
      <c r="B194" s="265" t="s">
        <v>5180</v>
      </c>
      <c r="C194" s="265" t="s">
        <v>44</v>
      </c>
      <c r="D194" s="265" t="s">
        <v>5548</v>
      </c>
      <c r="E194" s="269" t="s">
        <v>5452</v>
      </c>
      <c r="F194" s="265" t="s">
        <v>65</v>
      </c>
      <c r="G194" s="295">
        <v>1993</v>
      </c>
      <c r="H194" s="295">
        <v>50</v>
      </c>
      <c r="I194" s="295">
        <v>324</v>
      </c>
      <c r="J194" s="295">
        <v>151</v>
      </c>
      <c r="K194" s="295">
        <v>268</v>
      </c>
      <c r="L194" s="295">
        <v>0</v>
      </c>
      <c r="M194" s="295">
        <v>0</v>
      </c>
      <c r="N194" s="295">
        <v>0</v>
      </c>
      <c r="O194" s="295">
        <v>0</v>
      </c>
      <c r="P194" s="295">
        <v>45</v>
      </c>
      <c r="Q194" s="295">
        <v>12</v>
      </c>
      <c r="R194" s="295">
        <v>51</v>
      </c>
      <c r="S194" s="295">
        <v>480</v>
      </c>
      <c r="T194" s="295">
        <v>5</v>
      </c>
      <c r="U194" s="295">
        <v>0</v>
      </c>
      <c r="V194" s="295">
        <v>0</v>
      </c>
      <c r="W194" s="295">
        <v>1</v>
      </c>
      <c r="X194" s="295">
        <v>6</v>
      </c>
      <c r="Y194" s="295">
        <v>289</v>
      </c>
      <c r="Z194" s="295">
        <v>0</v>
      </c>
      <c r="AA194" s="295">
        <v>5</v>
      </c>
      <c r="AB194" s="295">
        <v>34</v>
      </c>
      <c r="AC194" s="295">
        <v>125</v>
      </c>
      <c r="AD194" s="295">
        <v>31</v>
      </c>
      <c r="AE194" s="295">
        <v>109</v>
      </c>
      <c r="AF194" s="295">
        <v>5</v>
      </c>
      <c r="AG194" s="295">
        <v>2</v>
      </c>
    </row>
    <row r="195" spans="2:33">
      <c r="B195" s="265" t="s">
        <v>5182</v>
      </c>
      <c r="C195" s="265" t="s">
        <v>44</v>
      </c>
      <c r="D195" s="265" t="s">
        <v>5550</v>
      </c>
      <c r="E195" s="269" t="s">
        <v>5453</v>
      </c>
      <c r="F195" s="265" t="s">
        <v>65</v>
      </c>
      <c r="G195" s="295">
        <v>1993</v>
      </c>
      <c r="H195" s="295">
        <v>50</v>
      </c>
      <c r="I195" s="295">
        <v>324</v>
      </c>
      <c r="J195" s="295">
        <v>151</v>
      </c>
      <c r="K195" s="295">
        <v>268</v>
      </c>
      <c r="L195" s="295">
        <v>0</v>
      </c>
      <c r="M195" s="295">
        <v>0</v>
      </c>
      <c r="N195" s="295">
        <v>0</v>
      </c>
      <c r="O195" s="295">
        <v>0</v>
      </c>
      <c r="P195" s="295">
        <v>45</v>
      </c>
      <c r="Q195" s="295">
        <v>12</v>
      </c>
      <c r="R195" s="295">
        <v>51</v>
      </c>
      <c r="S195" s="295">
        <v>480</v>
      </c>
      <c r="T195" s="295">
        <v>5</v>
      </c>
      <c r="U195" s="295">
        <v>0</v>
      </c>
      <c r="V195" s="295">
        <v>0</v>
      </c>
      <c r="W195" s="295">
        <v>1</v>
      </c>
      <c r="X195" s="295">
        <v>6</v>
      </c>
      <c r="Y195" s="295">
        <v>289</v>
      </c>
      <c r="Z195" s="295">
        <v>0</v>
      </c>
      <c r="AA195" s="295">
        <v>5</v>
      </c>
      <c r="AB195" s="295">
        <v>34</v>
      </c>
      <c r="AC195" s="295">
        <v>125</v>
      </c>
      <c r="AD195" s="295">
        <v>31</v>
      </c>
      <c r="AE195" s="295">
        <v>109</v>
      </c>
      <c r="AF195" s="295">
        <v>5</v>
      </c>
      <c r="AG195" s="295">
        <v>2</v>
      </c>
    </row>
    <row r="196" spans="2:33">
      <c r="B196" s="265" t="s">
        <v>5184</v>
      </c>
      <c r="C196" s="265" t="s">
        <v>44</v>
      </c>
      <c r="D196" s="265" t="s">
        <v>5552</v>
      </c>
      <c r="E196" s="269" t="s">
        <v>5454</v>
      </c>
      <c r="F196" s="265" t="s">
        <v>65</v>
      </c>
      <c r="G196" s="295">
        <v>1993</v>
      </c>
      <c r="H196" s="295">
        <v>50</v>
      </c>
      <c r="I196" s="295">
        <v>324</v>
      </c>
      <c r="J196" s="295">
        <v>151</v>
      </c>
      <c r="K196" s="295">
        <v>268</v>
      </c>
      <c r="L196" s="295">
        <v>0</v>
      </c>
      <c r="M196" s="295">
        <v>0</v>
      </c>
      <c r="N196" s="295">
        <v>0</v>
      </c>
      <c r="O196" s="295">
        <v>0</v>
      </c>
      <c r="P196" s="295">
        <v>45</v>
      </c>
      <c r="Q196" s="295">
        <v>12</v>
      </c>
      <c r="R196" s="295">
        <v>51</v>
      </c>
      <c r="S196" s="295">
        <v>480</v>
      </c>
      <c r="T196" s="295">
        <v>5</v>
      </c>
      <c r="U196" s="295">
        <v>0</v>
      </c>
      <c r="V196" s="295">
        <v>0</v>
      </c>
      <c r="W196" s="295">
        <v>1</v>
      </c>
      <c r="X196" s="295">
        <v>6</v>
      </c>
      <c r="Y196" s="295">
        <v>289</v>
      </c>
      <c r="Z196" s="295">
        <v>0</v>
      </c>
      <c r="AA196" s="295">
        <v>5</v>
      </c>
      <c r="AB196" s="295">
        <v>34</v>
      </c>
      <c r="AC196" s="295">
        <v>125</v>
      </c>
      <c r="AD196" s="295">
        <v>31</v>
      </c>
      <c r="AE196" s="295">
        <v>109</v>
      </c>
      <c r="AF196" s="295">
        <v>5</v>
      </c>
      <c r="AG196" s="295">
        <v>2</v>
      </c>
    </row>
    <row r="197" spans="2:33">
      <c r="B197" s="265" t="s">
        <v>5235</v>
      </c>
      <c r="C197" s="265" t="s">
        <v>44</v>
      </c>
      <c r="D197" s="265" t="s">
        <v>5554</v>
      </c>
      <c r="E197" s="269" t="s">
        <v>5455</v>
      </c>
      <c r="F197" s="265" t="s">
        <v>65</v>
      </c>
      <c r="G197" s="295">
        <v>1993</v>
      </c>
      <c r="H197" s="295">
        <v>50</v>
      </c>
      <c r="I197" s="295">
        <v>324</v>
      </c>
      <c r="J197" s="295">
        <v>151</v>
      </c>
      <c r="K197" s="295">
        <v>268</v>
      </c>
      <c r="L197" s="295">
        <v>0</v>
      </c>
      <c r="M197" s="295">
        <v>0</v>
      </c>
      <c r="N197" s="295">
        <v>0</v>
      </c>
      <c r="O197" s="295">
        <v>0</v>
      </c>
      <c r="P197" s="295">
        <v>45</v>
      </c>
      <c r="Q197" s="295">
        <v>12</v>
      </c>
      <c r="R197" s="295">
        <v>51</v>
      </c>
      <c r="S197" s="295">
        <v>480</v>
      </c>
      <c r="T197" s="295">
        <v>5</v>
      </c>
      <c r="U197" s="295">
        <v>0</v>
      </c>
      <c r="V197" s="295">
        <v>0</v>
      </c>
      <c r="W197" s="295">
        <v>1</v>
      </c>
      <c r="X197" s="295">
        <v>6</v>
      </c>
      <c r="Y197" s="295">
        <v>289</v>
      </c>
      <c r="Z197" s="295">
        <v>0</v>
      </c>
      <c r="AA197" s="295">
        <v>5</v>
      </c>
      <c r="AB197" s="295">
        <v>34</v>
      </c>
      <c r="AC197" s="295">
        <v>125</v>
      </c>
      <c r="AD197" s="295">
        <v>31</v>
      </c>
      <c r="AE197" s="295">
        <v>109</v>
      </c>
      <c r="AF197" s="295">
        <v>5</v>
      </c>
      <c r="AG197" s="295">
        <v>2</v>
      </c>
    </row>
    <row r="198" spans="2:33">
      <c r="B198" s="265" t="s">
        <v>5237</v>
      </c>
      <c r="C198" s="265" t="s">
        <v>44</v>
      </c>
      <c r="D198" s="265" t="s">
        <v>5556</v>
      </c>
      <c r="E198" s="269" t="s">
        <v>5456</v>
      </c>
      <c r="F198" s="265" t="s">
        <v>65</v>
      </c>
      <c r="G198" s="295">
        <v>1993</v>
      </c>
      <c r="H198" s="295">
        <v>50</v>
      </c>
      <c r="I198" s="295">
        <v>324</v>
      </c>
      <c r="J198" s="295">
        <v>151</v>
      </c>
      <c r="K198" s="295">
        <v>268</v>
      </c>
      <c r="L198" s="295">
        <v>0</v>
      </c>
      <c r="M198" s="295">
        <v>0</v>
      </c>
      <c r="N198" s="295">
        <v>0</v>
      </c>
      <c r="O198" s="295">
        <v>0</v>
      </c>
      <c r="P198" s="295">
        <v>45</v>
      </c>
      <c r="Q198" s="295">
        <v>12</v>
      </c>
      <c r="R198" s="295">
        <v>51</v>
      </c>
      <c r="S198" s="295">
        <v>480</v>
      </c>
      <c r="T198" s="295">
        <v>5</v>
      </c>
      <c r="U198" s="295">
        <v>0</v>
      </c>
      <c r="V198" s="295">
        <v>0</v>
      </c>
      <c r="W198" s="295">
        <v>1</v>
      </c>
      <c r="X198" s="295">
        <v>6</v>
      </c>
      <c r="Y198" s="295">
        <v>289</v>
      </c>
      <c r="Z198" s="295">
        <v>0</v>
      </c>
      <c r="AA198" s="295">
        <v>5</v>
      </c>
      <c r="AB198" s="295">
        <v>34</v>
      </c>
      <c r="AC198" s="295">
        <v>125</v>
      </c>
      <c r="AD198" s="295">
        <v>31</v>
      </c>
      <c r="AE198" s="295">
        <v>109</v>
      </c>
      <c r="AF198" s="295">
        <v>5</v>
      </c>
      <c r="AG198" s="295">
        <v>2</v>
      </c>
    </row>
    <row r="199" spans="2:33">
      <c r="B199" s="265" t="s">
        <v>5239</v>
      </c>
      <c r="C199" s="265" t="s">
        <v>44</v>
      </c>
      <c r="D199" s="265" t="s">
        <v>5558</v>
      </c>
      <c r="E199" s="269" t="s">
        <v>5457</v>
      </c>
      <c r="F199" s="265" t="s">
        <v>65</v>
      </c>
      <c r="G199" s="295">
        <v>1993</v>
      </c>
      <c r="H199" s="295">
        <v>50</v>
      </c>
      <c r="I199" s="295">
        <v>324</v>
      </c>
      <c r="J199" s="295">
        <v>151</v>
      </c>
      <c r="K199" s="295">
        <v>268</v>
      </c>
      <c r="L199" s="295">
        <v>0</v>
      </c>
      <c r="M199" s="295">
        <v>0</v>
      </c>
      <c r="N199" s="295">
        <v>0</v>
      </c>
      <c r="O199" s="295">
        <v>0</v>
      </c>
      <c r="P199" s="295">
        <v>45</v>
      </c>
      <c r="Q199" s="295">
        <v>12</v>
      </c>
      <c r="R199" s="295">
        <v>51</v>
      </c>
      <c r="S199" s="295">
        <v>480</v>
      </c>
      <c r="T199" s="295">
        <v>5</v>
      </c>
      <c r="U199" s="295">
        <v>0</v>
      </c>
      <c r="V199" s="295">
        <v>0</v>
      </c>
      <c r="W199" s="295">
        <v>1</v>
      </c>
      <c r="X199" s="295">
        <v>6</v>
      </c>
      <c r="Y199" s="295">
        <v>289</v>
      </c>
      <c r="Z199" s="295">
        <v>0</v>
      </c>
      <c r="AA199" s="295">
        <v>5</v>
      </c>
      <c r="AB199" s="295">
        <v>34</v>
      </c>
      <c r="AC199" s="295">
        <v>125</v>
      </c>
      <c r="AD199" s="295">
        <v>31</v>
      </c>
      <c r="AE199" s="295">
        <v>109</v>
      </c>
      <c r="AF199" s="295">
        <v>5</v>
      </c>
      <c r="AG199" s="295">
        <v>2</v>
      </c>
    </row>
    <row r="200" spans="2:33">
      <c r="B200" s="265" t="s">
        <v>5241</v>
      </c>
      <c r="C200" s="265" t="s">
        <v>44</v>
      </c>
      <c r="D200" s="265" t="s">
        <v>5560</v>
      </c>
      <c r="E200" s="269" t="s">
        <v>5458</v>
      </c>
      <c r="F200" s="265" t="s">
        <v>65</v>
      </c>
      <c r="G200" s="295">
        <v>1993</v>
      </c>
      <c r="H200" s="295">
        <v>50</v>
      </c>
      <c r="I200" s="295">
        <v>324</v>
      </c>
      <c r="J200" s="295">
        <v>151</v>
      </c>
      <c r="K200" s="295">
        <v>268</v>
      </c>
      <c r="L200" s="295">
        <v>0</v>
      </c>
      <c r="M200" s="295">
        <v>0</v>
      </c>
      <c r="N200" s="295">
        <v>0</v>
      </c>
      <c r="O200" s="295">
        <v>0</v>
      </c>
      <c r="P200" s="295">
        <v>45</v>
      </c>
      <c r="Q200" s="295">
        <v>12</v>
      </c>
      <c r="R200" s="295">
        <v>51</v>
      </c>
      <c r="S200" s="295">
        <v>480</v>
      </c>
      <c r="T200" s="295">
        <v>5</v>
      </c>
      <c r="U200" s="295">
        <v>0</v>
      </c>
      <c r="V200" s="295">
        <v>0</v>
      </c>
      <c r="W200" s="295">
        <v>1</v>
      </c>
      <c r="X200" s="295">
        <v>6</v>
      </c>
      <c r="Y200" s="295">
        <v>289</v>
      </c>
      <c r="Z200" s="295">
        <v>0</v>
      </c>
      <c r="AA200" s="295">
        <v>5</v>
      </c>
      <c r="AB200" s="295">
        <v>34</v>
      </c>
      <c r="AC200" s="295">
        <v>125</v>
      </c>
      <c r="AD200" s="295">
        <v>31</v>
      </c>
      <c r="AE200" s="295">
        <v>109</v>
      </c>
      <c r="AF200" s="295">
        <v>5</v>
      </c>
      <c r="AG200" s="295">
        <v>2</v>
      </c>
    </row>
    <row r="201" spans="2:33">
      <c r="B201" s="265" t="s">
        <v>5242</v>
      </c>
      <c r="C201" s="265" t="s">
        <v>44</v>
      </c>
      <c r="D201" s="265" t="s">
        <v>5562</v>
      </c>
      <c r="E201" s="269" t="s">
        <v>5459</v>
      </c>
      <c r="F201" s="265" t="s">
        <v>65</v>
      </c>
      <c r="G201" s="295">
        <v>1993</v>
      </c>
      <c r="H201" s="295">
        <v>50</v>
      </c>
      <c r="I201" s="295">
        <v>324</v>
      </c>
      <c r="J201" s="295">
        <v>151</v>
      </c>
      <c r="K201" s="295">
        <v>268</v>
      </c>
      <c r="L201" s="295">
        <v>0</v>
      </c>
      <c r="M201" s="295">
        <v>0</v>
      </c>
      <c r="N201" s="295">
        <v>0</v>
      </c>
      <c r="O201" s="295">
        <v>0</v>
      </c>
      <c r="P201" s="295">
        <v>45</v>
      </c>
      <c r="Q201" s="295">
        <v>12</v>
      </c>
      <c r="R201" s="295">
        <v>51</v>
      </c>
      <c r="S201" s="295">
        <v>480</v>
      </c>
      <c r="T201" s="295">
        <v>5</v>
      </c>
      <c r="U201" s="295">
        <v>0</v>
      </c>
      <c r="V201" s="295">
        <v>0</v>
      </c>
      <c r="W201" s="295">
        <v>1</v>
      </c>
      <c r="X201" s="295">
        <v>6</v>
      </c>
      <c r="Y201" s="295">
        <v>289</v>
      </c>
      <c r="Z201" s="295">
        <v>0</v>
      </c>
      <c r="AA201" s="295">
        <v>5</v>
      </c>
      <c r="AB201" s="295">
        <v>34</v>
      </c>
      <c r="AC201" s="295">
        <v>125</v>
      </c>
      <c r="AD201" s="295">
        <v>31</v>
      </c>
      <c r="AE201" s="295">
        <v>109</v>
      </c>
      <c r="AF201" s="295">
        <v>5</v>
      </c>
      <c r="AG201" s="295">
        <v>2</v>
      </c>
    </row>
    <row r="202" spans="2:33">
      <c r="B202" s="265" t="s">
        <v>5248</v>
      </c>
      <c r="C202" s="265" t="s">
        <v>44</v>
      </c>
      <c r="D202" s="265" t="s">
        <v>5564</v>
      </c>
      <c r="E202" s="269" t="s">
        <v>5460</v>
      </c>
      <c r="F202" s="265" t="s">
        <v>65</v>
      </c>
      <c r="G202" s="295">
        <v>1993</v>
      </c>
      <c r="H202" s="295">
        <v>50</v>
      </c>
      <c r="I202" s="295">
        <v>324</v>
      </c>
      <c r="J202" s="295">
        <v>151</v>
      </c>
      <c r="K202" s="295">
        <v>268</v>
      </c>
      <c r="L202" s="295">
        <v>0</v>
      </c>
      <c r="M202" s="295">
        <v>0</v>
      </c>
      <c r="N202" s="295">
        <v>0</v>
      </c>
      <c r="O202" s="295">
        <v>0</v>
      </c>
      <c r="P202" s="295">
        <v>45</v>
      </c>
      <c r="Q202" s="295">
        <v>12</v>
      </c>
      <c r="R202" s="295">
        <v>51</v>
      </c>
      <c r="S202" s="295">
        <v>480</v>
      </c>
      <c r="T202" s="295">
        <v>5</v>
      </c>
      <c r="U202" s="295">
        <v>0</v>
      </c>
      <c r="V202" s="295">
        <v>0</v>
      </c>
      <c r="W202" s="295">
        <v>1</v>
      </c>
      <c r="X202" s="295">
        <v>6</v>
      </c>
      <c r="Y202" s="295">
        <v>289</v>
      </c>
      <c r="Z202" s="295">
        <v>0</v>
      </c>
      <c r="AA202" s="295">
        <v>5</v>
      </c>
      <c r="AB202" s="295">
        <v>34</v>
      </c>
      <c r="AC202" s="295">
        <v>125</v>
      </c>
      <c r="AD202" s="295">
        <v>31</v>
      </c>
      <c r="AE202" s="295">
        <v>109</v>
      </c>
      <c r="AF202" s="295">
        <v>5</v>
      </c>
      <c r="AG202" s="295">
        <v>2</v>
      </c>
    </row>
    <row r="203" spans="2:33">
      <c r="B203" s="265" t="s">
        <v>5250</v>
      </c>
      <c r="C203" s="265" t="s">
        <v>44</v>
      </c>
      <c r="D203" s="265" t="s">
        <v>5566</v>
      </c>
      <c r="E203" s="269" t="s">
        <v>5461</v>
      </c>
      <c r="F203" s="265" t="s">
        <v>65</v>
      </c>
      <c r="G203" s="295">
        <v>498</v>
      </c>
      <c r="H203" s="295">
        <v>1</v>
      </c>
      <c r="I203" s="295">
        <v>13</v>
      </c>
      <c r="J203" s="295">
        <v>20</v>
      </c>
      <c r="K203" s="295">
        <v>4</v>
      </c>
      <c r="L203" s="295">
        <v>0</v>
      </c>
      <c r="M203" s="295">
        <v>0</v>
      </c>
      <c r="N203" s="295">
        <v>0</v>
      </c>
      <c r="O203" s="295">
        <v>0</v>
      </c>
      <c r="P203" s="295">
        <v>1</v>
      </c>
      <c r="Q203" s="295">
        <v>0</v>
      </c>
      <c r="R203" s="295">
        <v>108</v>
      </c>
      <c r="S203" s="295">
        <v>286</v>
      </c>
      <c r="T203" s="295">
        <v>0</v>
      </c>
      <c r="U203" s="295">
        <v>0</v>
      </c>
      <c r="V203" s="295">
        <v>0</v>
      </c>
      <c r="W203" s="295">
        <v>3</v>
      </c>
      <c r="X203" s="295">
        <v>34</v>
      </c>
      <c r="Y203" s="295">
        <v>0</v>
      </c>
      <c r="Z203" s="295">
        <v>0</v>
      </c>
      <c r="AA203" s="295">
        <v>0</v>
      </c>
      <c r="AB203" s="295">
        <v>18</v>
      </c>
      <c r="AC203" s="295">
        <v>0</v>
      </c>
      <c r="AD203" s="295">
        <v>0</v>
      </c>
      <c r="AE203" s="295">
        <v>3</v>
      </c>
      <c r="AF203" s="295">
        <v>4</v>
      </c>
      <c r="AG203" s="295">
        <v>3</v>
      </c>
    </row>
    <row r="204" spans="2:33">
      <c r="B204" s="265" t="s">
        <v>5252</v>
      </c>
      <c r="C204" s="265" t="s">
        <v>44</v>
      </c>
      <c r="D204" s="265" t="s">
        <v>5568</v>
      </c>
      <c r="E204" s="269" t="s">
        <v>5462</v>
      </c>
      <c r="F204" s="265" t="s">
        <v>65</v>
      </c>
      <c r="G204" s="295">
        <v>498</v>
      </c>
      <c r="H204" s="295">
        <v>1</v>
      </c>
      <c r="I204" s="295">
        <v>13</v>
      </c>
      <c r="J204" s="295">
        <v>20</v>
      </c>
      <c r="K204" s="295">
        <v>4</v>
      </c>
      <c r="L204" s="295">
        <v>0</v>
      </c>
      <c r="M204" s="295">
        <v>0</v>
      </c>
      <c r="N204" s="295">
        <v>0</v>
      </c>
      <c r="O204" s="295">
        <v>0</v>
      </c>
      <c r="P204" s="295">
        <v>1</v>
      </c>
      <c r="Q204" s="295">
        <v>0</v>
      </c>
      <c r="R204" s="295">
        <v>108</v>
      </c>
      <c r="S204" s="295">
        <v>286</v>
      </c>
      <c r="T204" s="295">
        <v>0</v>
      </c>
      <c r="U204" s="295">
        <v>0</v>
      </c>
      <c r="V204" s="295">
        <v>0</v>
      </c>
      <c r="W204" s="295">
        <v>3</v>
      </c>
      <c r="X204" s="295">
        <v>34</v>
      </c>
      <c r="Y204" s="295">
        <v>0</v>
      </c>
      <c r="Z204" s="295">
        <v>0</v>
      </c>
      <c r="AA204" s="295">
        <v>0</v>
      </c>
      <c r="AB204" s="295">
        <v>18</v>
      </c>
      <c r="AC204" s="295">
        <v>0</v>
      </c>
      <c r="AD204" s="295">
        <v>0</v>
      </c>
      <c r="AE204" s="295">
        <v>3</v>
      </c>
      <c r="AF204" s="295">
        <v>4</v>
      </c>
      <c r="AG204" s="295">
        <v>3</v>
      </c>
    </row>
    <row r="205" spans="2:33">
      <c r="B205" s="265" t="s">
        <v>5254</v>
      </c>
      <c r="C205" s="265" t="s">
        <v>44</v>
      </c>
      <c r="D205" s="265" t="s">
        <v>5570</v>
      </c>
      <c r="E205" s="269" t="s">
        <v>5463</v>
      </c>
      <c r="F205" s="265" t="s">
        <v>65</v>
      </c>
      <c r="G205" s="295">
        <v>498</v>
      </c>
      <c r="H205" s="295">
        <v>1</v>
      </c>
      <c r="I205" s="295">
        <v>13</v>
      </c>
      <c r="J205" s="295">
        <v>20</v>
      </c>
      <c r="K205" s="295">
        <v>4</v>
      </c>
      <c r="L205" s="295">
        <v>0</v>
      </c>
      <c r="M205" s="295">
        <v>0</v>
      </c>
      <c r="N205" s="295">
        <v>0</v>
      </c>
      <c r="O205" s="295">
        <v>0</v>
      </c>
      <c r="P205" s="295">
        <v>1</v>
      </c>
      <c r="Q205" s="295">
        <v>0</v>
      </c>
      <c r="R205" s="295">
        <v>108</v>
      </c>
      <c r="S205" s="295">
        <v>286</v>
      </c>
      <c r="T205" s="295">
        <v>0</v>
      </c>
      <c r="U205" s="295">
        <v>0</v>
      </c>
      <c r="V205" s="295">
        <v>0</v>
      </c>
      <c r="W205" s="295">
        <v>3</v>
      </c>
      <c r="X205" s="295">
        <v>34</v>
      </c>
      <c r="Y205" s="295">
        <v>0</v>
      </c>
      <c r="Z205" s="295">
        <v>0</v>
      </c>
      <c r="AA205" s="295">
        <v>0</v>
      </c>
      <c r="AB205" s="295">
        <v>18</v>
      </c>
      <c r="AC205" s="295">
        <v>0</v>
      </c>
      <c r="AD205" s="295">
        <v>0</v>
      </c>
      <c r="AE205" s="295">
        <v>3</v>
      </c>
      <c r="AF205" s="295">
        <v>4</v>
      </c>
      <c r="AG205" s="295">
        <v>3</v>
      </c>
    </row>
    <row r="206" spans="2:33">
      <c r="B206" s="265" t="s">
        <v>5256</v>
      </c>
      <c r="C206" s="265" t="s">
        <v>44</v>
      </c>
      <c r="D206" s="265" t="s">
        <v>5572</v>
      </c>
      <c r="E206" s="269" t="s">
        <v>5464</v>
      </c>
      <c r="F206" s="265" t="s">
        <v>65</v>
      </c>
      <c r="G206" s="295">
        <v>498</v>
      </c>
      <c r="H206" s="295">
        <v>1</v>
      </c>
      <c r="I206" s="295">
        <v>13</v>
      </c>
      <c r="J206" s="295">
        <v>20</v>
      </c>
      <c r="K206" s="295">
        <v>4</v>
      </c>
      <c r="L206" s="295">
        <v>0</v>
      </c>
      <c r="M206" s="295">
        <v>0</v>
      </c>
      <c r="N206" s="295">
        <v>0</v>
      </c>
      <c r="O206" s="295">
        <v>0</v>
      </c>
      <c r="P206" s="295">
        <v>1</v>
      </c>
      <c r="Q206" s="295">
        <v>0</v>
      </c>
      <c r="R206" s="295">
        <v>108</v>
      </c>
      <c r="S206" s="295">
        <v>286</v>
      </c>
      <c r="T206" s="295">
        <v>0</v>
      </c>
      <c r="U206" s="295">
        <v>0</v>
      </c>
      <c r="V206" s="295">
        <v>0</v>
      </c>
      <c r="W206" s="295">
        <v>3</v>
      </c>
      <c r="X206" s="295">
        <v>34</v>
      </c>
      <c r="Y206" s="295">
        <v>0</v>
      </c>
      <c r="Z206" s="295">
        <v>0</v>
      </c>
      <c r="AA206" s="295">
        <v>0</v>
      </c>
      <c r="AB206" s="295">
        <v>18</v>
      </c>
      <c r="AC206" s="295">
        <v>0</v>
      </c>
      <c r="AD206" s="295">
        <v>0</v>
      </c>
      <c r="AE206" s="295">
        <v>3</v>
      </c>
      <c r="AF206" s="295">
        <v>4</v>
      </c>
      <c r="AG206" s="295">
        <v>3</v>
      </c>
    </row>
    <row r="207" spans="2:33">
      <c r="B207" s="265" t="s">
        <v>5258</v>
      </c>
      <c r="C207" s="265" t="s">
        <v>44</v>
      </c>
      <c r="D207" s="265" t="s">
        <v>5574</v>
      </c>
      <c r="E207" s="269" t="s">
        <v>5465</v>
      </c>
      <c r="F207" s="265" t="s">
        <v>65</v>
      </c>
      <c r="G207" s="295">
        <v>498</v>
      </c>
      <c r="H207" s="295">
        <v>1</v>
      </c>
      <c r="I207" s="295">
        <v>13</v>
      </c>
      <c r="J207" s="295">
        <v>20</v>
      </c>
      <c r="K207" s="295">
        <v>4</v>
      </c>
      <c r="L207" s="295">
        <v>0</v>
      </c>
      <c r="M207" s="295">
        <v>0</v>
      </c>
      <c r="N207" s="295">
        <v>0</v>
      </c>
      <c r="O207" s="295">
        <v>0</v>
      </c>
      <c r="P207" s="295">
        <v>1</v>
      </c>
      <c r="Q207" s="295">
        <v>0</v>
      </c>
      <c r="R207" s="295">
        <v>108</v>
      </c>
      <c r="S207" s="295">
        <v>286</v>
      </c>
      <c r="T207" s="295">
        <v>0</v>
      </c>
      <c r="U207" s="295">
        <v>0</v>
      </c>
      <c r="V207" s="295">
        <v>0</v>
      </c>
      <c r="W207" s="295">
        <v>3</v>
      </c>
      <c r="X207" s="295">
        <v>34</v>
      </c>
      <c r="Y207" s="295">
        <v>0</v>
      </c>
      <c r="Z207" s="295">
        <v>0</v>
      </c>
      <c r="AA207" s="295">
        <v>0</v>
      </c>
      <c r="AB207" s="295">
        <v>18</v>
      </c>
      <c r="AC207" s="295">
        <v>0</v>
      </c>
      <c r="AD207" s="295">
        <v>0</v>
      </c>
      <c r="AE207" s="295">
        <v>3</v>
      </c>
      <c r="AF207" s="295">
        <v>4</v>
      </c>
      <c r="AG207" s="295">
        <v>3</v>
      </c>
    </row>
    <row r="208" spans="2:33">
      <c r="B208" s="265" t="s">
        <v>5260</v>
      </c>
      <c r="C208" s="265" t="s">
        <v>44</v>
      </c>
      <c r="D208" s="265" t="s">
        <v>5576</v>
      </c>
      <c r="E208" s="269" t="s">
        <v>5466</v>
      </c>
      <c r="F208" s="265" t="s">
        <v>65</v>
      </c>
      <c r="G208" s="295">
        <v>498</v>
      </c>
      <c r="H208" s="295">
        <v>1</v>
      </c>
      <c r="I208" s="295">
        <v>13</v>
      </c>
      <c r="J208" s="295">
        <v>20</v>
      </c>
      <c r="K208" s="295">
        <v>4</v>
      </c>
      <c r="L208" s="295">
        <v>0</v>
      </c>
      <c r="M208" s="295">
        <v>0</v>
      </c>
      <c r="N208" s="295">
        <v>0</v>
      </c>
      <c r="O208" s="295">
        <v>0</v>
      </c>
      <c r="P208" s="295">
        <v>1</v>
      </c>
      <c r="Q208" s="295">
        <v>0</v>
      </c>
      <c r="R208" s="295">
        <v>108</v>
      </c>
      <c r="S208" s="295">
        <v>286</v>
      </c>
      <c r="T208" s="295">
        <v>0</v>
      </c>
      <c r="U208" s="295">
        <v>0</v>
      </c>
      <c r="V208" s="295">
        <v>0</v>
      </c>
      <c r="W208" s="295">
        <v>3</v>
      </c>
      <c r="X208" s="295">
        <v>34</v>
      </c>
      <c r="Y208" s="295">
        <v>0</v>
      </c>
      <c r="Z208" s="295">
        <v>0</v>
      </c>
      <c r="AA208" s="295">
        <v>0</v>
      </c>
      <c r="AB208" s="295">
        <v>18</v>
      </c>
      <c r="AC208" s="295">
        <v>0</v>
      </c>
      <c r="AD208" s="295">
        <v>0</v>
      </c>
      <c r="AE208" s="295">
        <v>3</v>
      </c>
      <c r="AF208" s="295">
        <v>4</v>
      </c>
      <c r="AG208" s="295">
        <v>3</v>
      </c>
    </row>
    <row r="209" spans="2:33">
      <c r="B209" s="265" t="s">
        <v>67</v>
      </c>
      <c r="C209" s="265" t="s">
        <v>44</v>
      </c>
      <c r="D209" s="265" t="s">
        <v>5578</v>
      </c>
      <c r="E209" s="269" t="s">
        <v>5467</v>
      </c>
      <c r="F209" s="265" t="s">
        <v>65</v>
      </c>
      <c r="G209" s="295">
        <v>498</v>
      </c>
      <c r="H209" s="295">
        <v>1</v>
      </c>
      <c r="I209" s="295">
        <v>13</v>
      </c>
      <c r="J209" s="295">
        <v>20</v>
      </c>
      <c r="K209" s="295">
        <v>4</v>
      </c>
      <c r="L209" s="295">
        <v>0</v>
      </c>
      <c r="M209" s="295">
        <v>0</v>
      </c>
      <c r="N209" s="295">
        <v>0</v>
      </c>
      <c r="O209" s="295">
        <v>0</v>
      </c>
      <c r="P209" s="295">
        <v>1</v>
      </c>
      <c r="Q209" s="295">
        <v>0</v>
      </c>
      <c r="R209" s="295">
        <v>108</v>
      </c>
      <c r="S209" s="295">
        <v>286</v>
      </c>
      <c r="T209" s="295">
        <v>0</v>
      </c>
      <c r="U209" s="295">
        <v>0</v>
      </c>
      <c r="V209" s="295">
        <v>0</v>
      </c>
      <c r="W209" s="295">
        <v>3</v>
      </c>
      <c r="X209" s="295">
        <v>34</v>
      </c>
      <c r="Y209" s="295">
        <v>0</v>
      </c>
      <c r="Z209" s="295">
        <v>0</v>
      </c>
      <c r="AA209" s="295">
        <v>0</v>
      </c>
      <c r="AB209" s="295">
        <v>18</v>
      </c>
      <c r="AC209" s="295">
        <v>0</v>
      </c>
      <c r="AD209" s="295">
        <v>0</v>
      </c>
      <c r="AE209" s="295">
        <v>3</v>
      </c>
      <c r="AF209" s="295">
        <v>4</v>
      </c>
      <c r="AG209" s="295">
        <v>3</v>
      </c>
    </row>
    <row r="210" spans="2:33">
      <c r="B210" s="265" t="s">
        <v>5505</v>
      </c>
      <c r="C210" s="265" t="s">
        <v>44</v>
      </c>
      <c r="D210" s="265" t="s">
        <v>5580</v>
      </c>
      <c r="E210" s="269" t="s">
        <v>5468</v>
      </c>
      <c r="F210" s="265" t="s">
        <v>65</v>
      </c>
      <c r="G210" s="295">
        <v>498</v>
      </c>
      <c r="H210" s="295">
        <v>1</v>
      </c>
      <c r="I210" s="295">
        <v>13</v>
      </c>
      <c r="J210" s="295">
        <v>20</v>
      </c>
      <c r="K210" s="295">
        <v>4</v>
      </c>
      <c r="L210" s="295">
        <v>0</v>
      </c>
      <c r="M210" s="295">
        <v>0</v>
      </c>
      <c r="N210" s="295">
        <v>0</v>
      </c>
      <c r="O210" s="295">
        <v>0</v>
      </c>
      <c r="P210" s="295">
        <v>1</v>
      </c>
      <c r="Q210" s="295">
        <v>0</v>
      </c>
      <c r="R210" s="295">
        <v>108</v>
      </c>
      <c r="S210" s="295">
        <v>286</v>
      </c>
      <c r="T210" s="295">
        <v>0</v>
      </c>
      <c r="U210" s="295">
        <v>0</v>
      </c>
      <c r="V210" s="295">
        <v>0</v>
      </c>
      <c r="W210" s="295">
        <v>3</v>
      </c>
      <c r="X210" s="295">
        <v>34</v>
      </c>
      <c r="Y210" s="295">
        <v>0</v>
      </c>
      <c r="Z210" s="295">
        <v>0</v>
      </c>
      <c r="AA210" s="295">
        <v>0</v>
      </c>
      <c r="AB210" s="295">
        <v>18</v>
      </c>
      <c r="AC210" s="295">
        <v>0</v>
      </c>
      <c r="AD210" s="295">
        <v>0</v>
      </c>
      <c r="AE210" s="295">
        <v>3</v>
      </c>
      <c r="AF210" s="295">
        <v>4</v>
      </c>
      <c r="AG210" s="295">
        <v>3</v>
      </c>
    </row>
    <row r="211" spans="2:33">
      <c r="B211" s="265" t="s">
        <v>5507</v>
      </c>
      <c r="C211" s="265" t="s">
        <v>44</v>
      </c>
      <c r="D211" s="265" t="s">
        <v>5582</v>
      </c>
      <c r="E211" s="269" t="s">
        <v>5469</v>
      </c>
      <c r="F211" s="265" t="s">
        <v>65</v>
      </c>
      <c r="G211" s="295">
        <v>498</v>
      </c>
      <c r="H211" s="295">
        <v>1</v>
      </c>
      <c r="I211" s="295">
        <v>13</v>
      </c>
      <c r="J211" s="295">
        <v>20</v>
      </c>
      <c r="K211" s="295">
        <v>4</v>
      </c>
      <c r="L211" s="295">
        <v>0</v>
      </c>
      <c r="M211" s="295">
        <v>0</v>
      </c>
      <c r="N211" s="295">
        <v>0</v>
      </c>
      <c r="O211" s="295">
        <v>0</v>
      </c>
      <c r="P211" s="295">
        <v>1</v>
      </c>
      <c r="Q211" s="295">
        <v>0</v>
      </c>
      <c r="R211" s="295">
        <v>108</v>
      </c>
      <c r="S211" s="295">
        <v>286</v>
      </c>
      <c r="T211" s="295">
        <v>0</v>
      </c>
      <c r="U211" s="295">
        <v>0</v>
      </c>
      <c r="V211" s="295">
        <v>0</v>
      </c>
      <c r="W211" s="295">
        <v>3</v>
      </c>
      <c r="X211" s="295">
        <v>34</v>
      </c>
      <c r="Y211" s="295">
        <v>0</v>
      </c>
      <c r="Z211" s="295">
        <v>0</v>
      </c>
      <c r="AA211" s="295">
        <v>0</v>
      </c>
      <c r="AB211" s="295">
        <v>18</v>
      </c>
      <c r="AC211" s="295">
        <v>0</v>
      </c>
      <c r="AD211" s="295">
        <v>0</v>
      </c>
      <c r="AE211" s="295">
        <v>3</v>
      </c>
      <c r="AF211" s="295">
        <v>4</v>
      </c>
      <c r="AG211" s="295">
        <v>3</v>
      </c>
    </row>
    <row r="212" spans="2:33">
      <c r="B212" s="265" t="s">
        <v>5509</v>
      </c>
      <c r="C212" s="265" t="s">
        <v>44</v>
      </c>
      <c r="D212" s="265" t="s">
        <v>5584</v>
      </c>
      <c r="E212" s="269" t="s">
        <v>5470</v>
      </c>
      <c r="F212" s="265" t="s">
        <v>65</v>
      </c>
      <c r="G212" s="295">
        <v>7772</v>
      </c>
      <c r="H212" s="295">
        <v>10</v>
      </c>
      <c r="I212" s="295">
        <v>824</v>
      </c>
      <c r="J212" s="295">
        <v>98</v>
      </c>
      <c r="K212" s="295">
        <v>51</v>
      </c>
      <c r="L212" s="295">
        <v>0</v>
      </c>
      <c r="M212" s="295">
        <v>0</v>
      </c>
      <c r="N212" s="295">
        <v>0</v>
      </c>
      <c r="O212" s="295">
        <v>0</v>
      </c>
      <c r="P212" s="295">
        <v>189</v>
      </c>
      <c r="Q212" s="295">
        <v>8</v>
      </c>
      <c r="R212" s="295">
        <v>1190</v>
      </c>
      <c r="S212" s="295">
        <v>1139</v>
      </c>
      <c r="T212" s="295">
        <v>7</v>
      </c>
      <c r="U212" s="295">
        <v>936</v>
      </c>
      <c r="V212" s="295">
        <v>0</v>
      </c>
      <c r="W212" s="295">
        <v>0</v>
      </c>
      <c r="X212" s="295">
        <v>0</v>
      </c>
      <c r="Y212" s="295">
        <v>1900</v>
      </c>
      <c r="Z212" s="295">
        <v>0</v>
      </c>
      <c r="AA212" s="295">
        <v>59</v>
      </c>
      <c r="AB212" s="295">
        <v>420</v>
      </c>
      <c r="AC212" s="295">
        <v>40</v>
      </c>
      <c r="AD212" s="295">
        <v>19</v>
      </c>
      <c r="AE212" s="295">
        <v>197</v>
      </c>
      <c r="AF212" s="295">
        <v>168</v>
      </c>
      <c r="AG212" s="295">
        <v>517</v>
      </c>
    </row>
    <row r="213" spans="2:33">
      <c r="B213" s="265" t="s">
        <v>5511</v>
      </c>
      <c r="C213" s="265" t="s">
        <v>44</v>
      </c>
      <c r="D213" s="265" t="s">
        <v>5586</v>
      </c>
      <c r="E213" s="269" t="s">
        <v>5471</v>
      </c>
      <c r="F213" s="265" t="s">
        <v>65</v>
      </c>
      <c r="G213" s="295">
        <v>295</v>
      </c>
      <c r="H213" s="295">
        <v>5</v>
      </c>
      <c r="I213" s="295">
        <v>1</v>
      </c>
      <c r="J213" s="295">
        <v>28</v>
      </c>
      <c r="K213" s="295">
        <v>17</v>
      </c>
      <c r="L213" s="295">
        <v>0</v>
      </c>
      <c r="M213" s="295">
        <v>0</v>
      </c>
      <c r="N213" s="295">
        <v>0</v>
      </c>
      <c r="O213" s="295">
        <v>0</v>
      </c>
      <c r="P213" s="295">
        <v>46</v>
      </c>
      <c r="Q213" s="295">
        <v>0</v>
      </c>
      <c r="R213" s="295">
        <v>20</v>
      </c>
      <c r="S213" s="295">
        <v>92</v>
      </c>
      <c r="T213" s="295">
        <v>0</v>
      </c>
      <c r="U213" s="295">
        <v>17</v>
      </c>
      <c r="V213" s="295">
        <v>0</v>
      </c>
      <c r="W213" s="295">
        <v>5</v>
      </c>
      <c r="X213" s="295">
        <v>8</v>
      </c>
      <c r="Y213" s="295">
        <v>28</v>
      </c>
      <c r="Z213" s="295">
        <v>0</v>
      </c>
      <c r="AA213" s="295">
        <v>2</v>
      </c>
      <c r="AB213" s="295">
        <v>6</v>
      </c>
      <c r="AC213" s="295">
        <v>0</v>
      </c>
      <c r="AD213" s="295">
        <v>18</v>
      </c>
      <c r="AE213" s="295">
        <v>1</v>
      </c>
      <c r="AF213" s="295">
        <v>1</v>
      </c>
      <c r="AG213" s="295">
        <v>0</v>
      </c>
    </row>
    <row r="214" spans="2:33">
      <c r="B214" s="265" t="s">
        <v>5513</v>
      </c>
      <c r="C214" s="265" t="s">
        <v>44</v>
      </c>
      <c r="D214" s="265" t="s">
        <v>5588</v>
      </c>
      <c r="E214" s="269" t="s">
        <v>5479</v>
      </c>
      <c r="F214" s="265" t="s">
        <v>65</v>
      </c>
      <c r="G214" s="295">
        <v>838</v>
      </c>
      <c r="H214" s="295">
        <v>0</v>
      </c>
      <c r="I214" s="295">
        <v>111</v>
      </c>
      <c r="J214" s="295">
        <v>0</v>
      </c>
      <c r="K214" s="295">
        <v>15</v>
      </c>
      <c r="L214" s="295">
        <v>0</v>
      </c>
      <c r="M214" s="295">
        <v>0</v>
      </c>
      <c r="N214" s="295">
        <v>0</v>
      </c>
      <c r="O214" s="295">
        <v>0</v>
      </c>
      <c r="P214" s="295">
        <v>43</v>
      </c>
      <c r="Q214" s="295">
        <v>0</v>
      </c>
      <c r="R214" s="295">
        <v>0</v>
      </c>
      <c r="S214" s="295">
        <v>0</v>
      </c>
      <c r="T214" s="295">
        <v>0</v>
      </c>
      <c r="U214" s="295">
        <v>21</v>
      </c>
      <c r="V214" s="295">
        <v>0</v>
      </c>
      <c r="W214" s="295">
        <v>0</v>
      </c>
      <c r="X214" s="295">
        <v>0</v>
      </c>
      <c r="Y214" s="295">
        <v>560</v>
      </c>
      <c r="Z214" s="295">
        <v>0</v>
      </c>
      <c r="AA214" s="295">
        <v>34</v>
      </c>
      <c r="AB214" s="295">
        <v>0</v>
      </c>
      <c r="AC214" s="295">
        <v>0</v>
      </c>
      <c r="AD214" s="295">
        <v>0</v>
      </c>
      <c r="AE214" s="295">
        <v>54</v>
      </c>
      <c r="AF214" s="295">
        <v>0</v>
      </c>
      <c r="AG214" s="295">
        <v>0</v>
      </c>
    </row>
    <row r="215" spans="2:33">
      <c r="B215" s="265" t="s">
        <v>5515</v>
      </c>
      <c r="C215" s="265" t="s">
        <v>44</v>
      </c>
      <c r="D215" s="265" t="s">
        <v>5589</v>
      </c>
      <c r="E215" s="269" t="s">
        <v>5480</v>
      </c>
      <c r="F215" s="265" t="s">
        <v>65</v>
      </c>
      <c r="G215" s="295">
        <v>849</v>
      </c>
      <c r="H215" s="295">
        <v>9</v>
      </c>
      <c r="I215" s="295">
        <v>17</v>
      </c>
      <c r="J215" s="295">
        <v>34</v>
      </c>
      <c r="K215" s="295">
        <v>12</v>
      </c>
      <c r="L215" s="295">
        <v>0</v>
      </c>
      <c r="M215" s="295">
        <v>0</v>
      </c>
      <c r="N215" s="295">
        <v>48</v>
      </c>
      <c r="O215" s="295">
        <v>0</v>
      </c>
      <c r="P215" s="295">
        <v>2</v>
      </c>
      <c r="Q215" s="295">
        <v>0</v>
      </c>
      <c r="R215" s="295">
        <v>3</v>
      </c>
      <c r="S215" s="295">
        <v>9</v>
      </c>
      <c r="T215" s="295">
        <v>2</v>
      </c>
      <c r="U215" s="295">
        <v>29</v>
      </c>
      <c r="V215" s="295">
        <v>0</v>
      </c>
      <c r="W215" s="295">
        <v>0</v>
      </c>
      <c r="X215" s="295">
        <v>0</v>
      </c>
      <c r="Y215" s="295">
        <v>621</v>
      </c>
      <c r="Z215" s="295">
        <v>0</v>
      </c>
      <c r="AA215" s="295">
        <v>50</v>
      </c>
      <c r="AB215" s="295">
        <v>0</v>
      </c>
      <c r="AC215" s="295">
        <v>7</v>
      </c>
      <c r="AD215" s="295">
        <v>6</v>
      </c>
      <c r="AE215" s="295">
        <v>0</v>
      </c>
      <c r="AF215" s="295">
        <v>0</v>
      </c>
      <c r="AG215" s="295">
        <v>0</v>
      </c>
    </row>
    <row r="216" spans="2:33">
      <c r="B216" s="265" t="s">
        <v>5517</v>
      </c>
      <c r="C216" s="265" t="s">
        <v>44</v>
      </c>
      <c r="D216" s="265" t="s">
        <v>5590</v>
      </c>
      <c r="E216" s="269" t="s">
        <v>5481</v>
      </c>
      <c r="F216" s="265" t="s">
        <v>65</v>
      </c>
      <c r="G216" s="295">
        <v>1443</v>
      </c>
      <c r="H216" s="295">
        <v>0</v>
      </c>
      <c r="I216" s="295">
        <v>56</v>
      </c>
      <c r="J216" s="295">
        <v>69</v>
      </c>
      <c r="K216" s="295">
        <v>81</v>
      </c>
      <c r="L216" s="295">
        <v>0</v>
      </c>
      <c r="M216" s="295">
        <v>0</v>
      </c>
      <c r="N216" s="295">
        <v>0</v>
      </c>
      <c r="O216" s="295">
        <v>0</v>
      </c>
      <c r="P216" s="295">
        <v>55</v>
      </c>
      <c r="Q216" s="295">
        <v>13</v>
      </c>
      <c r="R216" s="295">
        <v>128</v>
      </c>
      <c r="S216" s="295">
        <v>548</v>
      </c>
      <c r="T216" s="295">
        <v>81</v>
      </c>
      <c r="U216" s="295">
        <v>4</v>
      </c>
      <c r="V216" s="295">
        <v>0</v>
      </c>
      <c r="W216" s="295">
        <v>0</v>
      </c>
      <c r="X216" s="295">
        <v>45</v>
      </c>
      <c r="Y216" s="295">
        <v>38</v>
      </c>
      <c r="Z216" s="295">
        <v>0</v>
      </c>
      <c r="AA216" s="295">
        <v>4</v>
      </c>
      <c r="AB216" s="295">
        <v>27</v>
      </c>
      <c r="AC216" s="295">
        <v>0</v>
      </c>
      <c r="AD216" s="295">
        <v>268</v>
      </c>
      <c r="AE216" s="295">
        <v>20</v>
      </c>
      <c r="AF216" s="295">
        <v>3</v>
      </c>
      <c r="AG216" s="295">
        <v>3</v>
      </c>
    </row>
    <row r="217" spans="2:33">
      <c r="B217" s="265" t="s">
        <v>5519</v>
      </c>
      <c r="C217" s="265" t="s">
        <v>44</v>
      </c>
      <c r="D217" s="265" t="s">
        <v>5591</v>
      </c>
      <c r="E217" s="269" t="s">
        <v>5482</v>
      </c>
      <c r="F217" s="265" t="s">
        <v>65</v>
      </c>
      <c r="G217" s="295">
        <v>781</v>
      </c>
      <c r="H217" s="295">
        <v>0</v>
      </c>
      <c r="I217" s="295">
        <v>9</v>
      </c>
      <c r="J217" s="295">
        <v>23</v>
      </c>
      <c r="K217" s="295">
        <v>194</v>
      </c>
      <c r="L217" s="295">
        <v>0</v>
      </c>
      <c r="M217" s="295">
        <v>0</v>
      </c>
      <c r="N217" s="295">
        <v>0</v>
      </c>
      <c r="O217" s="295">
        <v>0</v>
      </c>
      <c r="P217" s="295">
        <v>6</v>
      </c>
      <c r="Q217" s="295">
        <v>0</v>
      </c>
      <c r="R217" s="295">
        <v>33</v>
      </c>
      <c r="S217" s="295">
        <v>292</v>
      </c>
      <c r="T217" s="295">
        <v>0</v>
      </c>
      <c r="U217" s="295">
        <v>2</v>
      </c>
      <c r="V217" s="295">
        <v>0</v>
      </c>
      <c r="W217" s="295">
        <v>0</v>
      </c>
      <c r="X217" s="295">
        <v>15</v>
      </c>
      <c r="Y217" s="295">
        <v>83</v>
      </c>
      <c r="Z217" s="295">
        <v>0</v>
      </c>
      <c r="AA217" s="295">
        <v>25</v>
      </c>
      <c r="AB217" s="295">
        <v>21</v>
      </c>
      <c r="AC217" s="295">
        <v>0</v>
      </c>
      <c r="AD217" s="295">
        <v>44</v>
      </c>
      <c r="AE217" s="295">
        <v>28</v>
      </c>
      <c r="AF217" s="295">
        <v>3</v>
      </c>
      <c r="AG217" s="295">
        <v>3</v>
      </c>
    </row>
    <row r="218" spans="2:33">
      <c r="B218" s="265" t="s">
        <v>5521</v>
      </c>
      <c r="C218" s="265" t="s">
        <v>44</v>
      </c>
      <c r="D218" s="265" t="s">
        <v>5592</v>
      </c>
      <c r="E218" s="269" t="s">
        <v>5483</v>
      </c>
      <c r="F218" s="265" t="s">
        <v>65</v>
      </c>
      <c r="G218" s="295">
        <v>404</v>
      </c>
      <c r="H218" s="295">
        <v>3</v>
      </c>
      <c r="I218" s="295">
        <v>7</v>
      </c>
      <c r="J218" s="295">
        <v>14</v>
      </c>
      <c r="K218" s="295">
        <v>27</v>
      </c>
      <c r="L218" s="295">
        <v>0</v>
      </c>
      <c r="M218" s="295">
        <v>0</v>
      </c>
      <c r="N218" s="295">
        <v>0</v>
      </c>
      <c r="O218" s="295">
        <v>0</v>
      </c>
      <c r="P218" s="295">
        <v>6</v>
      </c>
      <c r="Q218" s="295">
        <v>4</v>
      </c>
      <c r="R218" s="295">
        <v>37</v>
      </c>
      <c r="S218" s="295">
        <v>165</v>
      </c>
      <c r="T218" s="295">
        <v>3</v>
      </c>
      <c r="U218" s="295">
        <v>0</v>
      </c>
      <c r="V218" s="295">
        <v>0</v>
      </c>
      <c r="W218" s="295">
        <v>0</v>
      </c>
      <c r="X218" s="295">
        <v>1</v>
      </c>
      <c r="Y218" s="295">
        <v>90</v>
      </c>
      <c r="Z218" s="295">
        <v>0</v>
      </c>
      <c r="AA218" s="295">
        <v>7</v>
      </c>
      <c r="AB218" s="295">
        <v>8</v>
      </c>
      <c r="AC218" s="295">
        <v>2</v>
      </c>
      <c r="AD218" s="295">
        <v>27</v>
      </c>
      <c r="AE218" s="295">
        <v>1</v>
      </c>
      <c r="AF218" s="295">
        <v>2</v>
      </c>
      <c r="AG218" s="295">
        <v>0</v>
      </c>
    </row>
    <row r="219" spans="2:33">
      <c r="B219" s="265" t="s">
        <v>5523</v>
      </c>
      <c r="C219" s="265" t="s">
        <v>44</v>
      </c>
      <c r="D219" s="265" t="s">
        <v>5593</v>
      </c>
      <c r="E219" s="269" t="s">
        <v>5484</v>
      </c>
      <c r="F219" s="265" t="s">
        <v>65</v>
      </c>
      <c r="G219" s="295">
        <v>876</v>
      </c>
      <c r="H219" s="295">
        <v>6</v>
      </c>
      <c r="I219" s="295">
        <v>14</v>
      </c>
      <c r="J219" s="295">
        <v>72</v>
      </c>
      <c r="K219" s="295">
        <v>124</v>
      </c>
      <c r="L219" s="295">
        <v>0</v>
      </c>
      <c r="M219" s="295">
        <v>0</v>
      </c>
      <c r="N219" s="295">
        <v>0</v>
      </c>
      <c r="O219" s="295">
        <v>0</v>
      </c>
      <c r="P219" s="295">
        <v>20</v>
      </c>
      <c r="Q219" s="295">
        <v>13</v>
      </c>
      <c r="R219" s="295">
        <v>28</v>
      </c>
      <c r="S219" s="295">
        <v>216</v>
      </c>
      <c r="T219" s="295">
        <v>27</v>
      </c>
      <c r="U219" s="295">
        <v>23</v>
      </c>
      <c r="V219" s="295">
        <v>0</v>
      </c>
      <c r="W219" s="295">
        <v>0</v>
      </c>
      <c r="X219" s="295">
        <v>12</v>
      </c>
      <c r="Y219" s="295">
        <v>138</v>
      </c>
      <c r="Z219" s="295">
        <v>0</v>
      </c>
      <c r="AA219" s="295">
        <v>12</v>
      </c>
      <c r="AB219" s="295">
        <v>18</v>
      </c>
      <c r="AC219" s="295">
        <v>1</v>
      </c>
      <c r="AD219" s="295">
        <v>137</v>
      </c>
      <c r="AE219" s="295">
        <v>10</v>
      </c>
      <c r="AF219" s="295">
        <v>3</v>
      </c>
      <c r="AG219" s="295">
        <v>2</v>
      </c>
    </row>
    <row r="220" spans="2:33">
      <c r="B220" s="265" t="s">
        <v>5525</v>
      </c>
      <c r="C220" s="265" t="s">
        <v>44</v>
      </c>
      <c r="D220" s="265" t="s">
        <v>5594</v>
      </c>
      <c r="E220" s="269" t="s">
        <v>5485</v>
      </c>
      <c r="F220" s="265" t="s">
        <v>65</v>
      </c>
      <c r="G220" s="295">
        <v>2534</v>
      </c>
      <c r="H220" s="295">
        <v>37</v>
      </c>
      <c r="I220" s="295">
        <v>78</v>
      </c>
      <c r="J220" s="295">
        <v>456</v>
      </c>
      <c r="K220" s="295">
        <v>490</v>
      </c>
      <c r="L220" s="295">
        <v>6</v>
      </c>
      <c r="M220" s="295">
        <v>0</v>
      </c>
      <c r="N220" s="295">
        <v>0</v>
      </c>
      <c r="O220" s="295">
        <v>0</v>
      </c>
      <c r="P220" s="295">
        <v>32</v>
      </c>
      <c r="Q220" s="295">
        <v>30</v>
      </c>
      <c r="R220" s="295">
        <v>143</v>
      </c>
      <c r="S220" s="295">
        <v>746</v>
      </c>
      <c r="T220" s="295">
        <v>16</v>
      </c>
      <c r="U220" s="295">
        <v>20</v>
      </c>
      <c r="V220" s="295">
        <v>0</v>
      </c>
      <c r="W220" s="295">
        <v>20</v>
      </c>
      <c r="X220" s="295">
        <v>34</v>
      </c>
      <c r="Y220" s="295">
        <v>6</v>
      </c>
      <c r="Z220" s="295">
        <v>0</v>
      </c>
      <c r="AA220" s="295">
        <v>6</v>
      </c>
      <c r="AB220" s="295">
        <v>34</v>
      </c>
      <c r="AC220" s="295">
        <v>15</v>
      </c>
      <c r="AD220" s="295">
        <v>329</v>
      </c>
      <c r="AE220" s="295">
        <v>21</v>
      </c>
      <c r="AF220" s="295">
        <v>4</v>
      </c>
      <c r="AG220" s="295">
        <v>11</v>
      </c>
    </row>
    <row r="221" spans="2:33">
      <c r="B221" s="265" t="s">
        <v>5527</v>
      </c>
      <c r="C221" s="265" t="s">
        <v>44</v>
      </c>
      <c r="D221" s="265" t="s">
        <v>5595</v>
      </c>
      <c r="E221" s="269" t="s">
        <v>5486</v>
      </c>
      <c r="F221" s="265" t="s">
        <v>65</v>
      </c>
      <c r="G221" s="295">
        <v>10407</v>
      </c>
      <c r="H221" s="295">
        <v>3</v>
      </c>
      <c r="I221" s="295">
        <v>1153</v>
      </c>
      <c r="J221" s="295">
        <v>46</v>
      </c>
      <c r="K221" s="295">
        <v>34</v>
      </c>
      <c r="L221" s="295">
        <v>0</v>
      </c>
      <c r="M221" s="295">
        <v>0</v>
      </c>
      <c r="N221" s="295">
        <v>0</v>
      </c>
      <c r="O221" s="295">
        <v>0</v>
      </c>
      <c r="P221" s="295">
        <v>259</v>
      </c>
      <c r="Q221" s="295">
        <v>0</v>
      </c>
      <c r="R221" s="295">
        <v>1573</v>
      </c>
      <c r="S221" s="295">
        <v>1345</v>
      </c>
      <c r="T221" s="295">
        <v>3</v>
      </c>
      <c r="U221" s="295">
        <v>1311</v>
      </c>
      <c r="V221" s="295">
        <v>0</v>
      </c>
      <c r="W221" s="295">
        <v>0</v>
      </c>
      <c r="X221" s="295">
        <v>0</v>
      </c>
      <c r="Y221" s="295">
        <v>2721</v>
      </c>
      <c r="Z221" s="295">
        <v>0</v>
      </c>
      <c r="AA221" s="295">
        <v>85</v>
      </c>
      <c r="AB221" s="295">
        <v>594</v>
      </c>
      <c r="AC221" s="295">
        <v>6</v>
      </c>
      <c r="AD221" s="295">
        <v>11</v>
      </c>
      <c r="AE221" s="295">
        <v>281</v>
      </c>
      <c r="AF221" s="295">
        <v>239</v>
      </c>
      <c r="AG221" s="295">
        <v>743</v>
      </c>
    </row>
    <row r="222" spans="2:33">
      <c r="B222" s="265" t="s">
        <v>5529</v>
      </c>
      <c r="C222" s="265" t="s">
        <v>44</v>
      </c>
      <c r="D222" s="265" t="s">
        <v>5596</v>
      </c>
      <c r="E222" s="269" t="s">
        <v>5487</v>
      </c>
      <c r="F222" s="265" t="s">
        <v>65</v>
      </c>
      <c r="G222" s="295">
        <v>294</v>
      </c>
      <c r="H222" s="295">
        <v>5</v>
      </c>
      <c r="I222" s="295">
        <v>1</v>
      </c>
      <c r="J222" s="295">
        <v>28</v>
      </c>
      <c r="K222" s="295">
        <v>17</v>
      </c>
      <c r="L222" s="295">
        <v>0</v>
      </c>
      <c r="M222" s="295">
        <v>0</v>
      </c>
      <c r="N222" s="295">
        <v>0</v>
      </c>
      <c r="O222" s="295">
        <v>0</v>
      </c>
      <c r="P222" s="295">
        <v>46</v>
      </c>
      <c r="Q222" s="295">
        <v>0</v>
      </c>
      <c r="R222" s="295">
        <v>20</v>
      </c>
      <c r="S222" s="295">
        <v>91</v>
      </c>
      <c r="T222" s="295">
        <v>0</v>
      </c>
      <c r="U222" s="295">
        <v>17</v>
      </c>
      <c r="V222" s="295">
        <v>0</v>
      </c>
      <c r="W222" s="295">
        <v>5</v>
      </c>
      <c r="X222" s="295">
        <v>8</v>
      </c>
      <c r="Y222" s="295">
        <v>28</v>
      </c>
      <c r="Z222" s="295">
        <v>0</v>
      </c>
      <c r="AA222" s="295">
        <v>2</v>
      </c>
      <c r="AB222" s="295">
        <v>6</v>
      </c>
      <c r="AC222" s="295">
        <v>0</v>
      </c>
      <c r="AD222" s="295">
        <v>18</v>
      </c>
      <c r="AE222" s="295">
        <v>1</v>
      </c>
      <c r="AF222" s="295">
        <v>1</v>
      </c>
      <c r="AG222" s="295">
        <v>0</v>
      </c>
    </row>
    <row r="223" spans="2:33">
      <c r="B223" s="265" t="s">
        <v>5531</v>
      </c>
      <c r="C223" s="265" t="s">
        <v>39</v>
      </c>
      <c r="D223" s="265" t="s">
        <v>5597</v>
      </c>
      <c r="E223" s="269" t="s">
        <v>5781</v>
      </c>
      <c r="F223" s="265" t="s">
        <v>65</v>
      </c>
      <c r="G223" s="295">
        <v>287</v>
      </c>
      <c r="H223" s="295">
        <v>4</v>
      </c>
      <c r="I223" s="295">
        <v>27</v>
      </c>
      <c r="J223" s="295">
        <v>26</v>
      </c>
      <c r="K223" s="295">
        <v>20</v>
      </c>
      <c r="L223" s="295">
        <v>1</v>
      </c>
      <c r="M223" s="295">
        <v>0</v>
      </c>
      <c r="N223" s="295">
        <v>0</v>
      </c>
      <c r="O223" s="295">
        <v>0</v>
      </c>
      <c r="P223" s="295">
        <v>5</v>
      </c>
      <c r="Q223" s="295">
        <v>2</v>
      </c>
      <c r="R223" s="295">
        <v>18</v>
      </c>
      <c r="S223" s="295">
        <v>112</v>
      </c>
      <c r="T223" s="295">
        <v>0</v>
      </c>
      <c r="U223" s="295">
        <v>26</v>
      </c>
      <c r="V223" s="295">
        <v>0</v>
      </c>
      <c r="W223" s="295">
        <v>3</v>
      </c>
      <c r="X223" s="295">
        <v>0</v>
      </c>
      <c r="Y223" s="295">
        <v>10</v>
      </c>
      <c r="Z223" s="295">
        <v>0</v>
      </c>
      <c r="AA223" s="295">
        <v>0</v>
      </c>
      <c r="AB223" s="295">
        <v>5</v>
      </c>
      <c r="AC223" s="295">
        <v>0</v>
      </c>
      <c r="AD223" s="295">
        <v>24</v>
      </c>
      <c r="AE223" s="295">
        <v>1</v>
      </c>
      <c r="AF223" s="295">
        <v>1</v>
      </c>
      <c r="AG223" s="295">
        <v>2</v>
      </c>
    </row>
    <row r="224" spans="2:33">
      <c r="B224" s="265" t="s">
        <v>5533</v>
      </c>
      <c r="C224" s="265" t="s">
        <v>45</v>
      </c>
      <c r="D224" s="265" t="s">
        <v>5598</v>
      </c>
      <c r="E224" s="269" t="s">
        <v>5473</v>
      </c>
      <c r="F224" s="265" t="s">
        <v>65</v>
      </c>
      <c r="G224" s="295">
        <v>51</v>
      </c>
      <c r="H224" s="295">
        <v>1</v>
      </c>
      <c r="I224" s="295">
        <v>2</v>
      </c>
      <c r="J224" s="295">
        <v>2</v>
      </c>
      <c r="K224" s="295">
        <v>3</v>
      </c>
      <c r="L224" s="295">
        <v>0</v>
      </c>
      <c r="M224" s="295">
        <v>0</v>
      </c>
      <c r="N224" s="295">
        <v>0</v>
      </c>
      <c r="O224" s="295">
        <v>0</v>
      </c>
      <c r="P224" s="295">
        <v>2</v>
      </c>
      <c r="Q224" s="295">
        <v>0</v>
      </c>
      <c r="R224" s="295">
        <v>5</v>
      </c>
      <c r="S224" s="295">
        <v>20</v>
      </c>
      <c r="T224" s="295">
        <v>0</v>
      </c>
      <c r="U224" s="295">
        <v>1</v>
      </c>
      <c r="V224" s="295">
        <v>0</v>
      </c>
      <c r="W224" s="295">
        <v>0</v>
      </c>
      <c r="X224" s="295">
        <v>0</v>
      </c>
      <c r="Y224" s="295">
        <v>9</v>
      </c>
      <c r="Z224" s="295">
        <v>1</v>
      </c>
      <c r="AA224" s="295">
        <v>0</v>
      </c>
      <c r="AB224" s="295">
        <v>0</v>
      </c>
      <c r="AC224" s="295">
        <v>5</v>
      </c>
      <c r="AD224" s="295">
        <v>0</v>
      </c>
      <c r="AE224" s="295">
        <v>0</v>
      </c>
      <c r="AF224" s="295">
        <v>0</v>
      </c>
      <c r="AG224" s="295">
        <v>0</v>
      </c>
    </row>
    <row r="225" spans="2:33">
      <c r="B225" s="265" t="s">
        <v>5535</v>
      </c>
      <c r="C225" s="265" t="s">
        <v>142</v>
      </c>
      <c r="D225" s="265" t="s">
        <v>5853</v>
      </c>
      <c r="E225" s="269" t="s">
        <v>5913</v>
      </c>
      <c r="F225" s="265" t="s">
        <v>65</v>
      </c>
      <c r="G225" s="295">
        <v>332</v>
      </c>
      <c r="H225" s="295">
        <v>1</v>
      </c>
      <c r="I225" s="295">
        <v>13</v>
      </c>
      <c r="J225" s="295">
        <v>31</v>
      </c>
      <c r="K225" s="295">
        <v>78</v>
      </c>
      <c r="L225" s="295">
        <v>0</v>
      </c>
      <c r="M225" s="295">
        <v>0</v>
      </c>
      <c r="N225" s="295">
        <v>0</v>
      </c>
      <c r="O225" s="295">
        <v>0</v>
      </c>
      <c r="P225" s="295">
        <v>2</v>
      </c>
      <c r="Q225" s="295">
        <v>0</v>
      </c>
      <c r="R225" s="295">
        <v>0</v>
      </c>
      <c r="S225" s="295">
        <v>5</v>
      </c>
      <c r="T225" s="295">
        <v>0</v>
      </c>
      <c r="U225" s="295">
        <v>5</v>
      </c>
      <c r="V225" s="295">
        <v>0</v>
      </c>
      <c r="W225" s="295">
        <v>0</v>
      </c>
      <c r="X225" s="295">
        <v>0</v>
      </c>
      <c r="Y225" s="295">
        <v>14</v>
      </c>
      <c r="Z225" s="295">
        <v>0</v>
      </c>
      <c r="AA225" s="295">
        <v>2</v>
      </c>
      <c r="AB225" s="295">
        <v>1</v>
      </c>
      <c r="AC225" s="295">
        <v>1</v>
      </c>
      <c r="AD225" s="295">
        <v>169</v>
      </c>
      <c r="AE225" s="295">
        <v>9</v>
      </c>
      <c r="AF225" s="295">
        <v>1</v>
      </c>
      <c r="AG225" s="295">
        <v>0</v>
      </c>
    </row>
    <row r="226" spans="2:33">
      <c r="B226" s="265" t="s">
        <v>5537</v>
      </c>
      <c r="C226" s="265" t="s">
        <v>34</v>
      </c>
      <c r="D226" s="265" t="s">
        <v>5854</v>
      </c>
      <c r="E226" s="269" t="s">
        <v>5839</v>
      </c>
      <c r="F226" s="265" t="s">
        <v>65</v>
      </c>
      <c r="G226" s="295">
        <v>826</v>
      </c>
      <c r="H226" s="295">
        <v>2</v>
      </c>
      <c r="I226" s="295">
        <v>11</v>
      </c>
      <c r="J226" s="295">
        <v>97</v>
      </c>
      <c r="K226" s="295">
        <v>201</v>
      </c>
      <c r="L226" s="295">
        <v>96</v>
      </c>
      <c r="M226" s="295">
        <v>0</v>
      </c>
      <c r="N226" s="295">
        <v>0</v>
      </c>
      <c r="O226" s="295">
        <v>0</v>
      </c>
      <c r="P226" s="295">
        <v>5</v>
      </c>
      <c r="Q226" s="295">
        <v>1</v>
      </c>
      <c r="R226" s="295">
        <v>0</v>
      </c>
      <c r="S226" s="295">
        <v>11</v>
      </c>
      <c r="T226" s="295">
        <v>4</v>
      </c>
      <c r="U226" s="295">
        <v>1</v>
      </c>
      <c r="V226" s="295">
        <v>0</v>
      </c>
      <c r="W226" s="295">
        <v>0</v>
      </c>
      <c r="X226" s="295">
        <v>7</v>
      </c>
      <c r="Y226" s="295">
        <v>53</v>
      </c>
      <c r="Z226" s="295">
        <v>0</v>
      </c>
      <c r="AA226" s="295">
        <v>1</v>
      </c>
      <c r="AB226" s="295">
        <v>0</v>
      </c>
      <c r="AC226" s="295">
        <v>6</v>
      </c>
      <c r="AD226" s="295">
        <v>327</v>
      </c>
      <c r="AE226" s="295">
        <v>3</v>
      </c>
      <c r="AF226" s="295">
        <v>0</v>
      </c>
      <c r="AG226" s="295">
        <v>0</v>
      </c>
    </row>
    <row r="227" spans="2:33">
      <c r="B227" s="265" t="s">
        <v>5539</v>
      </c>
      <c r="C227" s="265" t="s">
        <v>5106</v>
      </c>
      <c r="D227" s="265" t="s">
        <v>5855</v>
      </c>
      <c r="E227" s="269" t="s">
        <v>5840</v>
      </c>
      <c r="F227" s="265" t="s">
        <v>65</v>
      </c>
      <c r="G227" s="295">
        <v>2632</v>
      </c>
      <c r="H227" s="295">
        <v>9</v>
      </c>
      <c r="I227" s="295">
        <v>105</v>
      </c>
      <c r="J227" s="295">
        <v>452</v>
      </c>
      <c r="K227" s="295">
        <v>411</v>
      </c>
      <c r="L227" s="295">
        <v>8</v>
      </c>
      <c r="M227" s="295">
        <v>0</v>
      </c>
      <c r="N227" s="295">
        <v>0</v>
      </c>
      <c r="O227" s="295">
        <v>0</v>
      </c>
      <c r="P227" s="295">
        <v>37</v>
      </c>
      <c r="Q227" s="295">
        <v>31</v>
      </c>
      <c r="R227" s="295">
        <v>37</v>
      </c>
      <c r="S227" s="295">
        <v>395</v>
      </c>
      <c r="T227" s="295">
        <v>28</v>
      </c>
      <c r="U227" s="295">
        <v>41</v>
      </c>
      <c r="V227" s="295">
        <v>0</v>
      </c>
      <c r="W227" s="295">
        <v>0</v>
      </c>
      <c r="X227" s="295">
        <v>0</v>
      </c>
      <c r="Y227" s="295">
        <v>304</v>
      </c>
      <c r="Z227" s="295">
        <v>17</v>
      </c>
      <c r="AA227" s="295">
        <v>9</v>
      </c>
      <c r="AB227" s="295">
        <v>27</v>
      </c>
      <c r="AC227" s="295">
        <v>14</v>
      </c>
      <c r="AD227" s="295">
        <v>614</v>
      </c>
      <c r="AE227" s="295">
        <v>88</v>
      </c>
      <c r="AF227" s="295">
        <v>4</v>
      </c>
      <c r="AG227" s="295">
        <v>1</v>
      </c>
    </row>
    <row r="228" spans="2:33">
      <c r="B228" s="265" t="s">
        <v>5541</v>
      </c>
      <c r="C228" s="265" t="s">
        <v>40</v>
      </c>
      <c r="D228" s="265" t="s">
        <v>5856</v>
      </c>
      <c r="E228" s="269" t="s">
        <v>5828</v>
      </c>
      <c r="F228" s="265" t="s">
        <v>65</v>
      </c>
      <c r="G228" s="295">
        <v>578</v>
      </c>
      <c r="H228" s="295">
        <v>6</v>
      </c>
      <c r="I228" s="295">
        <v>84</v>
      </c>
      <c r="J228" s="295">
        <v>64</v>
      </c>
      <c r="K228" s="295">
        <v>56</v>
      </c>
      <c r="L228" s="295">
        <v>1</v>
      </c>
      <c r="M228" s="295">
        <v>0</v>
      </c>
      <c r="N228" s="295">
        <v>0</v>
      </c>
      <c r="O228" s="295">
        <v>0</v>
      </c>
      <c r="P228" s="295">
        <v>8</v>
      </c>
      <c r="Q228" s="295">
        <v>1</v>
      </c>
      <c r="R228" s="295">
        <v>11</v>
      </c>
      <c r="S228" s="295">
        <v>113</v>
      </c>
      <c r="T228" s="295">
        <v>0</v>
      </c>
      <c r="U228" s="295">
        <v>11</v>
      </c>
      <c r="V228" s="295">
        <v>120</v>
      </c>
      <c r="W228" s="295">
        <v>1</v>
      </c>
      <c r="X228" s="295">
        <v>0</v>
      </c>
      <c r="Y228" s="295">
        <v>36</v>
      </c>
      <c r="Z228" s="295">
        <v>3</v>
      </c>
      <c r="AA228" s="295">
        <v>4</v>
      </c>
      <c r="AB228" s="295">
        <v>6</v>
      </c>
      <c r="AC228" s="295">
        <v>9</v>
      </c>
      <c r="AD228" s="295">
        <v>25</v>
      </c>
      <c r="AE228" s="295">
        <v>15</v>
      </c>
      <c r="AF228" s="295">
        <v>1</v>
      </c>
      <c r="AG228" s="295">
        <v>3</v>
      </c>
    </row>
    <row r="229" spans="2:33">
      <c r="B229" s="265" t="s">
        <v>5543</v>
      </c>
      <c r="C229" s="265" t="s">
        <v>34</v>
      </c>
      <c r="D229" s="265" t="s">
        <v>5857</v>
      </c>
      <c r="E229" s="269" t="s">
        <v>5819</v>
      </c>
      <c r="F229" s="265" t="s">
        <v>65</v>
      </c>
      <c r="G229" s="295">
        <v>16</v>
      </c>
      <c r="H229" s="295">
        <v>0</v>
      </c>
      <c r="I229" s="295">
        <v>0</v>
      </c>
      <c r="J229" s="295">
        <v>0</v>
      </c>
      <c r="K229" s="295">
        <v>0</v>
      </c>
      <c r="L229" s="295">
        <v>0</v>
      </c>
      <c r="M229" s="295">
        <v>0</v>
      </c>
      <c r="N229" s="295">
        <v>0</v>
      </c>
      <c r="O229" s="295">
        <v>0</v>
      </c>
      <c r="P229" s="295">
        <v>0</v>
      </c>
      <c r="Q229" s="295">
        <v>0</v>
      </c>
      <c r="R229" s="295">
        <v>0</v>
      </c>
      <c r="S229" s="295">
        <v>8</v>
      </c>
      <c r="T229" s="295">
        <v>0</v>
      </c>
      <c r="U229" s="295">
        <v>0</v>
      </c>
      <c r="V229" s="295">
        <v>0</v>
      </c>
      <c r="W229" s="295">
        <v>0</v>
      </c>
      <c r="X229" s="295">
        <v>8</v>
      </c>
      <c r="Y229" s="295">
        <v>0</v>
      </c>
      <c r="Z229" s="295">
        <v>0</v>
      </c>
      <c r="AA229" s="295">
        <v>0</v>
      </c>
      <c r="AB229" s="295">
        <v>0</v>
      </c>
      <c r="AC229" s="295">
        <v>0</v>
      </c>
      <c r="AD229" s="295">
        <v>0</v>
      </c>
      <c r="AE229" s="295">
        <v>0</v>
      </c>
      <c r="AF229" s="295">
        <v>0</v>
      </c>
      <c r="AG229" s="295">
        <v>0</v>
      </c>
    </row>
    <row r="230" spans="2:33">
      <c r="B230" s="265" t="s">
        <v>5545</v>
      </c>
      <c r="C230" s="265" t="s">
        <v>45</v>
      </c>
      <c r="D230" s="265" t="s">
        <v>5858</v>
      </c>
      <c r="E230" s="269" t="s">
        <v>5841</v>
      </c>
      <c r="F230" s="265" t="s">
        <v>65</v>
      </c>
      <c r="G230" s="295">
        <v>258</v>
      </c>
      <c r="H230" s="295">
        <v>6</v>
      </c>
      <c r="I230" s="295">
        <v>11</v>
      </c>
      <c r="J230" s="295">
        <v>11</v>
      </c>
      <c r="K230" s="295">
        <v>13</v>
      </c>
      <c r="L230" s="295">
        <v>1</v>
      </c>
      <c r="M230" s="295">
        <v>0</v>
      </c>
      <c r="N230" s="295">
        <v>0</v>
      </c>
      <c r="O230" s="295">
        <v>0</v>
      </c>
      <c r="P230" s="295">
        <v>11</v>
      </c>
      <c r="Q230" s="295">
        <v>0</v>
      </c>
      <c r="R230" s="295">
        <v>23</v>
      </c>
      <c r="S230" s="295">
        <v>101</v>
      </c>
      <c r="T230" s="295">
        <v>0</v>
      </c>
      <c r="U230" s="295">
        <v>7</v>
      </c>
      <c r="V230" s="295">
        <v>0</v>
      </c>
      <c r="W230" s="295">
        <v>0</v>
      </c>
      <c r="X230" s="295">
        <v>0</v>
      </c>
      <c r="Y230" s="295">
        <v>37</v>
      </c>
      <c r="Z230" s="295">
        <v>5</v>
      </c>
      <c r="AA230" s="295">
        <v>2</v>
      </c>
      <c r="AB230" s="295">
        <v>0</v>
      </c>
      <c r="AC230" s="295">
        <v>27</v>
      </c>
      <c r="AD230" s="295">
        <v>2</v>
      </c>
      <c r="AE230" s="295">
        <v>1</v>
      </c>
      <c r="AF230" s="295">
        <v>0</v>
      </c>
      <c r="AG230" s="295">
        <v>0</v>
      </c>
    </row>
    <row r="231" spans="2:33">
      <c r="B231" s="265" t="s">
        <v>5547</v>
      </c>
      <c r="C231" s="265" t="s">
        <v>38</v>
      </c>
      <c r="D231" s="265" t="s">
        <v>5859</v>
      </c>
      <c r="E231" s="269" t="s">
        <v>5404</v>
      </c>
      <c r="F231" s="265" t="s">
        <v>65</v>
      </c>
      <c r="G231" s="295">
        <v>5</v>
      </c>
      <c r="H231" s="295">
        <v>0</v>
      </c>
      <c r="I231" s="295">
        <v>0</v>
      </c>
      <c r="J231" s="295">
        <v>0</v>
      </c>
      <c r="K231" s="295">
        <v>0</v>
      </c>
      <c r="L231" s="295">
        <v>0</v>
      </c>
      <c r="M231" s="295">
        <v>0</v>
      </c>
      <c r="N231" s="295">
        <v>0</v>
      </c>
      <c r="O231" s="295">
        <v>0</v>
      </c>
      <c r="P231" s="295">
        <v>0</v>
      </c>
      <c r="Q231" s="295">
        <v>0</v>
      </c>
      <c r="R231" s="295">
        <v>0</v>
      </c>
      <c r="S231" s="295">
        <v>2</v>
      </c>
      <c r="T231" s="295">
        <v>0</v>
      </c>
      <c r="U231" s="295">
        <v>0</v>
      </c>
      <c r="V231" s="295">
        <v>0</v>
      </c>
      <c r="W231" s="295">
        <v>0</v>
      </c>
      <c r="X231" s="295">
        <v>0</v>
      </c>
      <c r="Y231" s="295">
        <v>2</v>
      </c>
      <c r="Z231" s="295">
        <v>0</v>
      </c>
      <c r="AA231" s="295">
        <v>1</v>
      </c>
      <c r="AB231" s="295">
        <v>0</v>
      </c>
      <c r="AC231" s="295">
        <v>0</v>
      </c>
      <c r="AD231" s="295">
        <v>0</v>
      </c>
      <c r="AE231" s="295">
        <v>0</v>
      </c>
      <c r="AF231" s="295">
        <v>0</v>
      </c>
      <c r="AG231" s="295">
        <v>0</v>
      </c>
    </row>
    <row r="232" spans="2:33">
      <c r="B232" s="265" t="s">
        <v>5549</v>
      </c>
      <c r="C232" s="265" t="s">
        <v>45</v>
      </c>
      <c r="D232" s="265" t="s">
        <v>5860</v>
      </c>
      <c r="E232" s="269" t="s">
        <v>5851</v>
      </c>
      <c r="F232" s="265" t="s">
        <v>65</v>
      </c>
      <c r="G232" s="295">
        <v>258</v>
      </c>
      <c r="H232" s="295">
        <v>6</v>
      </c>
      <c r="I232" s="295">
        <v>11</v>
      </c>
      <c r="J232" s="295">
        <v>11</v>
      </c>
      <c r="K232" s="295">
        <v>13</v>
      </c>
      <c r="L232" s="295">
        <v>1</v>
      </c>
      <c r="M232" s="295">
        <v>0</v>
      </c>
      <c r="N232" s="295">
        <v>0</v>
      </c>
      <c r="O232" s="295">
        <v>0</v>
      </c>
      <c r="P232" s="295">
        <v>11</v>
      </c>
      <c r="Q232" s="295">
        <v>0</v>
      </c>
      <c r="R232" s="295">
        <v>23</v>
      </c>
      <c r="S232" s="295">
        <v>101</v>
      </c>
      <c r="T232" s="295">
        <v>0</v>
      </c>
      <c r="U232" s="295">
        <v>7</v>
      </c>
      <c r="V232" s="295">
        <v>0</v>
      </c>
      <c r="W232" s="295">
        <v>0</v>
      </c>
      <c r="X232" s="295">
        <v>0</v>
      </c>
      <c r="Y232" s="295">
        <v>37</v>
      </c>
      <c r="Z232" s="295">
        <v>5</v>
      </c>
      <c r="AA232" s="295">
        <v>2</v>
      </c>
      <c r="AB232" s="295">
        <v>0</v>
      </c>
      <c r="AC232" s="295">
        <v>27</v>
      </c>
      <c r="AD232" s="295">
        <v>2</v>
      </c>
      <c r="AE232" s="295">
        <v>1</v>
      </c>
      <c r="AF232" s="295">
        <v>0</v>
      </c>
      <c r="AG232" s="295">
        <v>0</v>
      </c>
    </row>
    <row r="233" spans="2:33">
      <c r="B233" s="265" t="s">
        <v>5551</v>
      </c>
      <c r="C233" s="265" t="s">
        <v>38</v>
      </c>
      <c r="D233" s="265" t="s">
        <v>5861</v>
      </c>
      <c r="E233" s="269" t="s">
        <v>5842</v>
      </c>
      <c r="F233" s="265" t="s">
        <v>65</v>
      </c>
      <c r="G233" s="295">
        <v>5</v>
      </c>
      <c r="H233" s="295">
        <v>0</v>
      </c>
      <c r="I233" s="295">
        <v>0</v>
      </c>
      <c r="J233" s="295">
        <v>0</v>
      </c>
      <c r="K233" s="295">
        <v>0</v>
      </c>
      <c r="L233" s="295">
        <v>0</v>
      </c>
      <c r="M233" s="295">
        <v>0</v>
      </c>
      <c r="N233" s="295">
        <v>0</v>
      </c>
      <c r="O233" s="295">
        <v>0</v>
      </c>
      <c r="P233" s="295">
        <v>0</v>
      </c>
      <c r="Q233" s="295">
        <v>0</v>
      </c>
      <c r="R233" s="295">
        <v>0</v>
      </c>
      <c r="S233" s="295">
        <v>2</v>
      </c>
      <c r="T233" s="295">
        <v>0</v>
      </c>
      <c r="U233" s="295">
        <v>0</v>
      </c>
      <c r="V233" s="295">
        <v>0</v>
      </c>
      <c r="W233" s="295">
        <v>0</v>
      </c>
      <c r="X233" s="295">
        <v>0</v>
      </c>
      <c r="Y233" s="295">
        <v>2</v>
      </c>
      <c r="Z233" s="295">
        <v>0</v>
      </c>
      <c r="AA233" s="295">
        <v>1</v>
      </c>
      <c r="AB233" s="295">
        <v>0</v>
      </c>
      <c r="AC233" s="295">
        <v>0</v>
      </c>
      <c r="AD233" s="295">
        <v>0</v>
      </c>
      <c r="AE233" s="295">
        <v>0</v>
      </c>
      <c r="AF233" s="295">
        <v>0</v>
      </c>
      <c r="AG233" s="295">
        <v>0</v>
      </c>
    </row>
    <row r="234" spans="2:33">
      <c r="B234" s="265" t="s">
        <v>5553</v>
      </c>
      <c r="C234" s="265" t="s">
        <v>79</v>
      </c>
      <c r="D234" s="265" t="s">
        <v>5862</v>
      </c>
      <c r="E234" s="269" t="s">
        <v>5836</v>
      </c>
      <c r="F234" s="265" t="s">
        <v>65</v>
      </c>
      <c r="G234" s="295">
        <v>1221</v>
      </c>
      <c r="H234" s="295">
        <v>22</v>
      </c>
      <c r="I234" s="295">
        <v>94</v>
      </c>
      <c r="J234" s="295">
        <v>149</v>
      </c>
      <c r="K234" s="295">
        <v>107</v>
      </c>
      <c r="L234" s="295">
        <v>5</v>
      </c>
      <c r="M234" s="295">
        <v>0</v>
      </c>
      <c r="N234" s="295">
        <v>0</v>
      </c>
      <c r="O234" s="295">
        <v>0</v>
      </c>
      <c r="P234" s="295">
        <v>9</v>
      </c>
      <c r="Q234" s="295">
        <v>2</v>
      </c>
      <c r="R234" s="295">
        <v>45</v>
      </c>
      <c r="S234" s="295">
        <v>545</v>
      </c>
      <c r="T234" s="295">
        <v>0</v>
      </c>
      <c r="U234" s="295">
        <v>18</v>
      </c>
      <c r="V234" s="295">
        <v>0</v>
      </c>
      <c r="W234" s="295">
        <v>0</v>
      </c>
      <c r="X234" s="295">
        <v>0</v>
      </c>
      <c r="Y234" s="295">
        <v>3</v>
      </c>
      <c r="Z234" s="295">
        <v>6</v>
      </c>
      <c r="AA234" s="295">
        <v>1</v>
      </c>
      <c r="AB234" s="295">
        <v>2</v>
      </c>
      <c r="AC234" s="295">
        <v>29</v>
      </c>
      <c r="AD234" s="295">
        <v>164</v>
      </c>
      <c r="AE234" s="295">
        <v>19</v>
      </c>
      <c r="AF234" s="295">
        <v>1</v>
      </c>
      <c r="AG234" s="295">
        <v>0</v>
      </c>
    </row>
    <row r="235" spans="2:33">
      <c r="B235" s="265" t="s">
        <v>5555</v>
      </c>
      <c r="C235" s="265" t="s">
        <v>79</v>
      </c>
      <c r="D235" s="265" t="s">
        <v>5863</v>
      </c>
      <c r="E235" s="269" t="s">
        <v>5837</v>
      </c>
      <c r="F235" s="265" t="s">
        <v>65</v>
      </c>
      <c r="G235" s="295">
        <v>90</v>
      </c>
      <c r="H235" s="295">
        <v>2</v>
      </c>
      <c r="I235" s="295">
        <v>6</v>
      </c>
      <c r="J235" s="295">
        <v>15</v>
      </c>
      <c r="K235" s="295">
        <v>7</v>
      </c>
      <c r="L235" s="295">
        <v>0</v>
      </c>
      <c r="M235" s="295">
        <v>0</v>
      </c>
      <c r="N235" s="295">
        <v>0</v>
      </c>
      <c r="O235" s="295">
        <v>0</v>
      </c>
      <c r="P235" s="295">
        <v>2</v>
      </c>
      <c r="Q235" s="295">
        <v>0</v>
      </c>
      <c r="R235" s="295">
        <v>4</v>
      </c>
      <c r="S235" s="295">
        <v>35</v>
      </c>
      <c r="T235" s="295">
        <v>0</v>
      </c>
      <c r="U235" s="295">
        <v>4</v>
      </c>
      <c r="V235" s="295">
        <v>0</v>
      </c>
      <c r="W235" s="295">
        <v>0</v>
      </c>
      <c r="X235" s="295">
        <v>0</v>
      </c>
      <c r="Y235" s="295">
        <v>7</v>
      </c>
      <c r="Z235" s="295">
        <v>0</v>
      </c>
      <c r="AA235" s="295">
        <v>0</v>
      </c>
      <c r="AB235" s="295">
        <v>1</v>
      </c>
      <c r="AC235" s="295">
        <v>5</v>
      </c>
      <c r="AD235" s="295">
        <v>1</v>
      </c>
      <c r="AE235" s="295">
        <v>1</v>
      </c>
      <c r="AF235" s="295">
        <v>0</v>
      </c>
      <c r="AG235" s="295">
        <v>0</v>
      </c>
    </row>
    <row r="236" spans="2:33">
      <c r="B236" s="265" t="s">
        <v>5557</v>
      </c>
      <c r="C236" s="265" t="s">
        <v>46</v>
      </c>
      <c r="D236" s="265" t="s">
        <v>5864</v>
      </c>
      <c r="E236" s="269" t="s">
        <v>5833</v>
      </c>
      <c r="F236" s="265" t="s">
        <v>65</v>
      </c>
      <c r="G236" s="295">
        <v>389</v>
      </c>
      <c r="H236" s="295">
        <v>12</v>
      </c>
      <c r="I236" s="295">
        <v>102</v>
      </c>
      <c r="J236" s="295">
        <v>60</v>
      </c>
      <c r="K236" s="295">
        <v>31</v>
      </c>
      <c r="L236" s="295">
        <v>2</v>
      </c>
      <c r="M236" s="295">
        <v>0</v>
      </c>
      <c r="N236" s="295">
        <v>0</v>
      </c>
      <c r="O236" s="295">
        <v>0</v>
      </c>
      <c r="P236" s="295">
        <v>8</v>
      </c>
      <c r="Q236" s="295">
        <v>8</v>
      </c>
      <c r="R236" s="295">
        <v>12</v>
      </c>
      <c r="S236" s="295">
        <v>59</v>
      </c>
      <c r="T236" s="295">
        <v>8</v>
      </c>
      <c r="U236" s="295">
        <v>4</v>
      </c>
      <c r="V236" s="295">
        <v>0</v>
      </c>
      <c r="W236" s="295">
        <v>0</v>
      </c>
      <c r="X236" s="295">
        <v>0</v>
      </c>
      <c r="Y236" s="295">
        <v>43</v>
      </c>
      <c r="Z236" s="295">
        <v>7</v>
      </c>
      <c r="AA236" s="295">
        <v>1</v>
      </c>
      <c r="AB236" s="295">
        <v>1</v>
      </c>
      <c r="AC236" s="295">
        <v>12</v>
      </c>
      <c r="AD236" s="295">
        <v>16</v>
      </c>
      <c r="AE236" s="295">
        <v>3</v>
      </c>
      <c r="AF236" s="295">
        <v>0</v>
      </c>
      <c r="AG236" s="295">
        <v>0</v>
      </c>
    </row>
    <row r="237" spans="2:33">
      <c r="B237" s="265" t="s">
        <v>5559</v>
      </c>
      <c r="C237" s="265" t="s">
        <v>46</v>
      </c>
      <c r="D237" s="265" t="s">
        <v>5865</v>
      </c>
      <c r="E237" s="269" t="s">
        <v>5835</v>
      </c>
      <c r="F237" s="265" t="s">
        <v>65</v>
      </c>
      <c r="G237" s="295">
        <v>211</v>
      </c>
      <c r="H237" s="295">
        <v>7</v>
      </c>
      <c r="I237" s="295">
        <v>32</v>
      </c>
      <c r="J237" s="295">
        <v>79</v>
      </c>
      <c r="K237" s="295">
        <v>11</v>
      </c>
      <c r="L237" s="295">
        <v>16</v>
      </c>
      <c r="M237" s="295">
        <v>0</v>
      </c>
      <c r="N237" s="295">
        <v>0</v>
      </c>
      <c r="O237" s="295">
        <v>0</v>
      </c>
      <c r="P237" s="295">
        <v>4</v>
      </c>
      <c r="Q237" s="295">
        <v>0</v>
      </c>
      <c r="R237" s="295">
        <v>7</v>
      </c>
      <c r="S237" s="295">
        <v>30</v>
      </c>
      <c r="T237" s="295">
        <v>0</v>
      </c>
      <c r="U237" s="295">
        <v>5</v>
      </c>
      <c r="V237" s="295">
        <v>0</v>
      </c>
      <c r="W237" s="295">
        <v>0</v>
      </c>
      <c r="X237" s="295">
        <v>0</v>
      </c>
      <c r="Y237" s="295">
        <v>12</v>
      </c>
      <c r="Z237" s="295">
        <v>0</v>
      </c>
      <c r="AA237" s="295">
        <v>1</v>
      </c>
      <c r="AB237" s="295">
        <v>1</v>
      </c>
      <c r="AC237" s="295">
        <v>5</v>
      </c>
      <c r="AD237" s="295">
        <v>1</v>
      </c>
      <c r="AE237" s="295">
        <v>0</v>
      </c>
      <c r="AF237" s="295">
        <v>0</v>
      </c>
      <c r="AG237" s="295">
        <v>0</v>
      </c>
    </row>
    <row r="238" spans="2:33">
      <c r="B238" s="265" t="s">
        <v>5561</v>
      </c>
      <c r="C238" s="265" t="s">
        <v>46</v>
      </c>
      <c r="D238" s="265" t="s">
        <v>5866</v>
      </c>
      <c r="E238" s="269" t="s">
        <v>5831</v>
      </c>
      <c r="F238" s="265" t="s">
        <v>65</v>
      </c>
      <c r="G238" s="295">
        <v>85</v>
      </c>
      <c r="H238" s="295">
        <v>3</v>
      </c>
      <c r="I238" s="295">
        <v>53</v>
      </c>
      <c r="J238" s="295">
        <v>8</v>
      </c>
      <c r="K238" s="295">
        <v>4</v>
      </c>
      <c r="L238" s="295">
        <v>0</v>
      </c>
      <c r="M238" s="295">
        <v>0</v>
      </c>
      <c r="N238" s="295">
        <v>0</v>
      </c>
      <c r="O238" s="295">
        <v>0</v>
      </c>
      <c r="P238" s="295">
        <v>0</v>
      </c>
      <c r="Q238" s="295">
        <v>0</v>
      </c>
      <c r="R238" s="295">
        <v>0</v>
      </c>
      <c r="S238" s="295">
        <v>0</v>
      </c>
      <c r="T238" s="295">
        <v>1</v>
      </c>
      <c r="U238" s="295">
        <v>0</v>
      </c>
      <c r="V238" s="295">
        <v>0</v>
      </c>
      <c r="W238" s="295">
        <v>0</v>
      </c>
      <c r="X238" s="295">
        <v>0</v>
      </c>
      <c r="Y238" s="295">
        <v>2</v>
      </c>
      <c r="Z238" s="295">
        <v>0</v>
      </c>
      <c r="AA238" s="295">
        <v>0</v>
      </c>
      <c r="AB238" s="295">
        <v>0</v>
      </c>
      <c r="AC238" s="295">
        <v>4</v>
      </c>
      <c r="AD238" s="295">
        <v>10</v>
      </c>
      <c r="AE238" s="295">
        <v>0</v>
      </c>
      <c r="AF238" s="295">
        <v>0</v>
      </c>
      <c r="AG238" s="295">
        <v>0</v>
      </c>
    </row>
    <row r="239" spans="2:33">
      <c r="B239" s="265" t="s">
        <v>5563</v>
      </c>
      <c r="C239" s="265" t="s">
        <v>46</v>
      </c>
      <c r="D239" s="265" t="s">
        <v>5867</v>
      </c>
      <c r="E239" s="269" t="s">
        <v>5845</v>
      </c>
      <c r="F239" s="265" t="s">
        <v>65</v>
      </c>
      <c r="G239" s="295">
        <v>389</v>
      </c>
      <c r="H239" s="295">
        <v>12</v>
      </c>
      <c r="I239" s="295">
        <v>102</v>
      </c>
      <c r="J239" s="295">
        <v>60</v>
      </c>
      <c r="K239" s="295">
        <v>31</v>
      </c>
      <c r="L239" s="295">
        <v>2</v>
      </c>
      <c r="M239" s="295">
        <v>0</v>
      </c>
      <c r="N239" s="295">
        <v>0</v>
      </c>
      <c r="O239" s="295">
        <v>0</v>
      </c>
      <c r="P239" s="295">
        <v>8</v>
      </c>
      <c r="Q239" s="295">
        <v>8</v>
      </c>
      <c r="R239" s="295">
        <v>12</v>
      </c>
      <c r="S239" s="295">
        <v>59</v>
      </c>
      <c r="T239" s="295">
        <v>8</v>
      </c>
      <c r="U239" s="295">
        <v>4</v>
      </c>
      <c r="V239" s="295">
        <v>0</v>
      </c>
      <c r="W239" s="295">
        <v>0</v>
      </c>
      <c r="X239" s="295">
        <v>0</v>
      </c>
      <c r="Y239" s="295">
        <v>43</v>
      </c>
      <c r="Z239" s="295">
        <v>7</v>
      </c>
      <c r="AA239" s="295">
        <v>1</v>
      </c>
      <c r="AB239" s="295">
        <v>1</v>
      </c>
      <c r="AC239" s="295">
        <v>12</v>
      </c>
      <c r="AD239" s="295">
        <v>16</v>
      </c>
      <c r="AE239" s="295">
        <v>3</v>
      </c>
      <c r="AF239" s="295">
        <v>0</v>
      </c>
      <c r="AG239" s="295">
        <v>0</v>
      </c>
    </row>
    <row r="240" spans="2:33">
      <c r="B240" s="265" t="s">
        <v>5565</v>
      </c>
      <c r="C240" s="265" t="s">
        <v>46</v>
      </c>
      <c r="D240" s="265" t="s">
        <v>5868</v>
      </c>
      <c r="E240" s="269" t="s">
        <v>5847</v>
      </c>
      <c r="F240" s="265" t="s">
        <v>65</v>
      </c>
      <c r="G240" s="295">
        <v>211</v>
      </c>
      <c r="H240" s="295">
        <v>7</v>
      </c>
      <c r="I240" s="295">
        <v>32</v>
      </c>
      <c r="J240" s="295">
        <v>79</v>
      </c>
      <c r="K240" s="295">
        <v>11</v>
      </c>
      <c r="L240" s="295">
        <v>16</v>
      </c>
      <c r="M240" s="295">
        <v>0</v>
      </c>
      <c r="N240" s="295">
        <v>0</v>
      </c>
      <c r="O240" s="295">
        <v>0</v>
      </c>
      <c r="P240" s="295">
        <v>4</v>
      </c>
      <c r="Q240" s="295">
        <v>0</v>
      </c>
      <c r="R240" s="295">
        <v>7</v>
      </c>
      <c r="S240" s="295">
        <v>30</v>
      </c>
      <c r="T240" s="295">
        <v>0</v>
      </c>
      <c r="U240" s="295">
        <v>5</v>
      </c>
      <c r="V240" s="295">
        <v>0</v>
      </c>
      <c r="W240" s="295">
        <v>0</v>
      </c>
      <c r="X240" s="295">
        <v>0</v>
      </c>
      <c r="Y240" s="295">
        <v>12</v>
      </c>
      <c r="Z240" s="295">
        <v>0</v>
      </c>
      <c r="AA240" s="295">
        <v>1</v>
      </c>
      <c r="AB240" s="295">
        <v>1</v>
      </c>
      <c r="AC240" s="295">
        <v>5</v>
      </c>
      <c r="AD240" s="295">
        <v>1</v>
      </c>
      <c r="AE240" s="295">
        <v>0</v>
      </c>
      <c r="AF240" s="295">
        <v>0</v>
      </c>
      <c r="AG240" s="295">
        <v>0</v>
      </c>
    </row>
    <row r="241" spans="1:33">
      <c r="B241" s="265" t="s">
        <v>5567</v>
      </c>
      <c r="C241" s="265" t="s">
        <v>46</v>
      </c>
      <c r="D241" s="265" t="s">
        <v>5869</v>
      </c>
      <c r="E241" s="269" t="s">
        <v>5843</v>
      </c>
      <c r="F241" s="265" t="s">
        <v>65</v>
      </c>
      <c r="G241" s="295">
        <v>85</v>
      </c>
      <c r="H241" s="295">
        <v>3</v>
      </c>
      <c r="I241" s="295">
        <v>53</v>
      </c>
      <c r="J241" s="295">
        <v>8</v>
      </c>
      <c r="K241" s="295">
        <v>4</v>
      </c>
      <c r="L241" s="295">
        <v>0</v>
      </c>
      <c r="M241" s="295">
        <v>0</v>
      </c>
      <c r="N241" s="295">
        <v>0</v>
      </c>
      <c r="O241" s="295">
        <v>0</v>
      </c>
      <c r="P241" s="295">
        <v>0</v>
      </c>
      <c r="Q241" s="295">
        <v>0</v>
      </c>
      <c r="R241" s="295">
        <v>0</v>
      </c>
      <c r="S241" s="295">
        <v>0</v>
      </c>
      <c r="T241" s="295">
        <v>1</v>
      </c>
      <c r="U241" s="295">
        <v>0</v>
      </c>
      <c r="V241" s="295">
        <v>0</v>
      </c>
      <c r="W241" s="295">
        <v>0</v>
      </c>
      <c r="X241" s="295">
        <v>0</v>
      </c>
      <c r="Y241" s="295">
        <v>2</v>
      </c>
      <c r="Z241" s="295">
        <v>0</v>
      </c>
      <c r="AA241" s="295">
        <v>0</v>
      </c>
      <c r="AB241" s="295">
        <v>0</v>
      </c>
      <c r="AC241" s="295">
        <v>4</v>
      </c>
      <c r="AD241" s="295">
        <v>10</v>
      </c>
      <c r="AE241" s="295">
        <v>0</v>
      </c>
      <c r="AF241" s="295">
        <v>0</v>
      </c>
      <c r="AG241" s="295">
        <v>0</v>
      </c>
    </row>
    <row r="242" spans="1:33">
      <c r="B242" s="265" t="s">
        <v>5569</v>
      </c>
      <c r="C242" s="265" t="s">
        <v>96</v>
      </c>
      <c r="D242" s="265" t="s">
        <v>5870</v>
      </c>
      <c r="E242" s="269" t="s">
        <v>5844</v>
      </c>
      <c r="F242" s="265" t="s">
        <v>65</v>
      </c>
      <c r="G242" s="295">
        <v>54</v>
      </c>
      <c r="H242" s="295">
        <v>0</v>
      </c>
      <c r="I242" s="295">
        <v>0</v>
      </c>
      <c r="J242" s="295">
        <v>6</v>
      </c>
      <c r="K242" s="295">
        <v>4</v>
      </c>
      <c r="L242" s="295">
        <v>0</v>
      </c>
      <c r="M242" s="295">
        <v>0</v>
      </c>
      <c r="N242" s="295">
        <v>0</v>
      </c>
      <c r="O242" s="295">
        <v>0</v>
      </c>
      <c r="P242" s="295">
        <v>1</v>
      </c>
      <c r="Q242" s="295">
        <v>0</v>
      </c>
      <c r="R242" s="295">
        <v>4</v>
      </c>
      <c r="S242" s="295">
        <v>33</v>
      </c>
      <c r="T242" s="295">
        <v>0</v>
      </c>
      <c r="U242" s="295">
        <v>3</v>
      </c>
      <c r="V242" s="295">
        <v>0</v>
      </c>
      <c r="W242" s="295">
        <v>0</v>
      </c>
      <c r="X242" s="295">
        <v>0</v>
      </c>
      <c r="Y242" s="295">
        <v>2</v>
      </c>
      <c r="Z242" s="295">
        <v>0</v>
      </c>
      <c r="AA242" s="295">
        <v>0</v>
      </c>
      <c r="AB242" s="295">
        <v>1</v>
      </c>
      <c r="AC242" s="295">
        <v>0</v>
      </c>
      <c r="AD242" s="295">
        <v>0</v>
      </c>
      <c r="AE242" s="295">
        <v>0</v>
      </c>
      <c r="AF242" s="295">
        <v>0</v>
      </c>
      <c r="AG242" s="295">
        <v>0</v>
      </c>
    </row>
    <row r="243" spans="1:33">
      <c r="B243" s="265" t="s">
        <v>5571</v>
      </c>
      <c r="C243" s="265" t="s">
        <v>96</v>
      </c>
      <c r="D243" s="265" t="s">
        <v>5871</v>
      </c>
      <c r="E243" s="269" t="s">
        <v>5846</v>
      </c>
      <c r="F243" s="265" t="s">
        <v>65</v>
      </c>
      <c r="G243" s="295">
        <v>57</v>
      </c>
      <c r="H243" s="295">
        <v>0</v>
      </c>
      <c r="I243" s="295">
        <v>3</v>
      </c>
      <c r="J243" s="295">
        <v>3</v>
      </c>
      <c r="K243" s="295">
        <v>3</v>
      </c>
      <c r="L243" s="295">
        <v>0</v>
      </c>
      <c r="M243" s="295">
        <v>0</v>
      </c>
      <c r="N243" s="295">
        <v>0</v>
      </c>
      <c r="O243" s="295">
        <v>0</v>
      </c>
      <c r="P243" s="295">
        <v>1</v>
      </c>
      <c r="Q243" s="295">
        <v>0</v>
      </c>
      <c r="R243" s="295">
        <v>3</v>
      </c>
      <c r="S243" s="295">
        <v>36</v>
      </c>
      <c r="T243" s="295">
        <v>0</v>
      </c>
      <c r="U243" s="295">
        <v>3</v>
      </c>
      <c r="V243" s="295">
        <v>0</v>
      </c>
      <c r="W243" s="295">
        <v>0</v>
      </c>
      <c r="X243" s="295">
        <v>0</v>
      </c>
      <c r="Y243" s="295">
        <v>0</v>
      </c>
      <c r="Z243" s="295">
        <v>0</v>
      </c>
      <c r="AA243" s="295">
        <v>0</v>
      </c>
      <c r="AB243" s="295">
        <v>1</v>
      </c>
      <c r="AC243" s="295">
        <v>0</v>
      </c>
      <c r="AD243" s="295">
        <v>0</v>
      </c>
      <c r="AE243" s="295">
        <v>4</v>
      </c>
      <c r="AF243" s="295">
        <v>0</v>
      </c>
      <c r="AG243" s="295">
        <v>0</v>
      </c>
    </row>
    <row r="244" spans="1:33">
      <c r="B244" s="265" t="s">
        <v>5573</v>
      </c>
      <c r="C244" s="265" t="s">
        <v>96</v>
      </c>
      <c r="D244" s="265" t="s">
        <v>5872</v>
      </c>
      <c r="E244" s="269" t="s">
        <v>5848</v>
      </c>
      <c r="F244" s="265" t="s">
        <v>65</v>
      </c>
      <c r="G244" s="295">
        <v>26</v>
      </c>
      <c r="H244" s="295">
        <v>0</v>
      </c>
      <c r="I244" s="295">
        <v>0</v>
      </c>
      <c r="J244" s="295">
        <v>0</v>
      </c>
      <c r="K244" s="295">
        <v>0</v>
      </c>
      <c r="L244" s="295">
        <v>0</v>
      </c>
      <c r="M244" s="295">
        <v>0</v>
      </c>
      <c r="N244" s="295">
        <v>0</v>
      </c>
      <c r="O244" s="295">
        <v>0</v>
      </c>
      <c r="P244" s="295">
        <v>1</v>
      </c>
      <c r="Q244" s="295">
        <v>0</v>
      </c>
      <c r="R244" s="295">
        <v>3</v>
      </c>
      <c r="S244" s="295">
        <v>15</v>
      </c>
      <c r="T244" s="295">
        <v>0</v>
      </c>
      <c r="U244" s="295">
        <v>3</v>
      </c>
      <c r="V244" s="295">
        <v>0</v>
      </c>
      <c r="W244" s="295">
        <v>0</v>
      </c>
      <c r="X244" s="295">
        <v>0</v>
      </c>
      <c r="Y244" s="295">
        <v>3</v>
      </c>
      <c r="Z244" s="295">
        <v>0</v>
      </c>
      <c r="AA244" s="295">
        <v>0</v>
      </c>
      <c r="AB244" s="295">
        <v>1</v>
      </c>
      <c r="AC244" s="295">
        <v>0</v>
      </c>
      <c r="AD244" s="295">
        <v>0</v>
      </c>
      <c r="AE244" s="295">
        <v>0</v>
      </c>
      <c r="AF244" s="295">
        <v>0</v>
      </c>
      <c r="AG244" s="295">
        <v>0</v>
      </c>
    </row>
    <row r="245" spans="1:33">
      <c r="B245" s="265" t="s">
        <v>5575</v>
      </c>
      <c r="C245" s="265" t="s">
        <v>79</v>
      </c>
      <c r="D245" s="265" t="s">
        <v>5873</v>
      </c>
      <c r="E245" s="269" t="s">
        <v>5849</v>
      </c>
      <c r="F245" s="265" t="s">
        <v>65</v>
      </c>
      <c r="G245" s="295">
        <v>1221</v>
      </c>
      <c r="H245" s="295">
        <v>22</v>
      </c>
      <c r="I245" s="295">
        <v>94</v>
      </c>
      <c r="J245" s="295">
        <v>149</v>
      </c>
      <c r="K245" s="295">
        <v>107</v>
      </c>
      <c r="L245" s="295">
        <v>5</v>
      </c>
      <c r="M245" s="295">
        <v>0</v>
      </c>
      <c r="N245" s="295">
        <v>0</v>
      </c>
      <c r="O245" s="295">
        <v>0</v>
      </c>
      <c r="P245" s="295">
        <v>9</v>
      </c>
      <c r="Q245" s="295">
        <v>2</v>
      </c>
      <c r="R245" s="295">
        <v>45</v>
      </c>
      <c r="S245" s="295">
        <v>545</v>
      </c>
      <c r="T245" s="295">
        <v>0</v>
      </c>
      <c r="U245" s="295">
        <v>18</v>
      </c>
      <c r="V245" s="295">
        <v>0</v>
      </c>
      <c r="W245" s="295">
        <v>0</v>
      </c>
      <c r="X245" s="295">
        <v>0</v>
      </c>
      <c r="Y245" s="295">
        <v>3</v>
      </c>
      <c r="Z245" s="295">
        <v>6</v>
      </c>
      <c r="AA245" s="295">
        <v>1</v>
      </c>
      <c r="AB245" s="295">
        <v>2</v>
      </c>
      <c r="AC245" s="295">
        <v>29</v>
      </c>
      <c r="AD245" s="295">
        <v>164</v>
      </c>
      <c r="AE245" s="295">
        <v>19</v>
      </c>
      <c r="AF245" s="295">
        <v>1</v>
      </c>
      <c r="AG245" s="295">
        <v>0</v>
      </c>
    </row>
    <row r="246" spans="1:33">
      <c r="B246" s="265" t="s">
        <v>5577</v>
      </c>
      <c r="C246" s="265" t="s">
        <v>79</v>
      </c>
      <c r="D246" s="265" t="s">
        <v>5874</v>
      </c>
      <c r="E246" s="269" t="s">
        <v>5850</v>
      </c>
      <c r="F246" s="265" t="s">
        <v>65</v>
      </c>
      <c r="G246" s="295">
        <v>90</v>
      </c>
      <c r="H246" s="295">
        <v>2</v>
      </c>
      <c r="I246" s="295">
        <v>6</v>
      </c>
      <c r="J246" s="295">
        <v>15</v>
      </c>
      <c r="K246" s="295">
        <v>7</v>
      </c>
      <c r="L246" s="295">
        <v>0</v>
      </c>
      <c r="M246" s="295">
        <v>0</v>
      </c>
      <c r="N246" s="295">
        <v>0</v>
      </c>
      <c r="O246" s="295">
        <v>0</v>
      </c>
      <c r="P246" s="295">
        <v>2</v>
      </c>
      <c r="Q246" s="295">
        <v>0</v>
      </c>
      <c r="R246" s="295">
        <v>4</v>
      </c>
      <c r="S246" s="295">
        <v>35</v>
      </c>
      <c r="T246" s="295">
        <v>0</v>
      </c>
      <c r="U246" s="295">
        <v>4</v>
      </c>
      <c r="V246" s="295">
        <v>0</v>
      </c>
      <c r="W246" s="295">
        <v>0</v>
      </c>
      <c r="X246" s="295">
        <v>0</v>
      </c>
      <c r="Y246" s="295">
        <v>7</v>
      </c>
      <c r="Z246" s="295">
        <v>0</v>
      </c>
      <c r="AA246" s="295">
        <v>0</v>
      </c>
      <c r="AB246" s="295">
        <v>1</v>
      </c>
      <c r="AC246" s="295">
        <v>5</v>
      </c>
      <c r="AD246" s="295">
        <v>1</v>
      </c>
      <c r="AE246" s="295">
        <v>1</v>
      </c>
      <c r="AF246" s="295">
        <v>0</v>
      </c>
      <c r="AG246" s="295">
        <v>0</v>
      </c>
    </row>
    <row r="247" spans="1:33">
      <c r="B247" s="265" t="s">
        <v>5579</v>
      </c>
      <c r="C247" s="265" t="s">
        <v>40</v>
      </c>
      <c r="D247" s="265" t="s">
        <v>5875</v>
      </c>
      <c r="E247" s="269" t="s">
        <v>5829</v>
      </c>
      <c r="F247" s="265" t="s">
        <v>65</v>
      </c>
      <c r="G247" s="295">
        <v>198</v>
      </c>
      <c r="H247" s="295">
        <v>3</v>
      </c>
      <c r="I247" s="295">
        <v>17</v>
      </c>
      <c r="J247" s="295">
        <v>19</v>
      </c>
      <c r="K247" s="295">
        <v>16</v>
      </c>
      <c r="L247" s="295">
        <v>2</v>
      </c>
      <c r="M247" s="295">
        <v>0</v>
      </c>
      <c r="N247" s="295">
        <v>0</v>
      </c>
      <c r="O247" s="295">
        <v>0</v>
      </c>
      <c r="P247" s="295">
        <v>1</v>
      </c>
      <c r="Q247" s="295">
        <v>1</v>
      </c>
      <c r="R247" s="295">
        <v>5</v>
      </c>
      <c r="S247" s="295">
        <v>31</v>
      </c>
      <c r="T247" s="295">
        <v>0</v>
      </c>
      <c r="U247" s="295">
        <v>31</v>
      </c>
      <c r="V247" s="295">
        <v>0</v>
      </c>
      <c r="W247" s="295">
        <v>0</v>
      </c>
      <c r="X247" s="295">
        <v>0</v>
      </c>
      <c r="Y247" s="295">
        <v>25</v>
      </c>
      <c r="Z247" s="295">
        <v>15</v>
      </c>
      <c r="AA247" s="295">
        <v>4</v>
      </c>
      <c r="AB247" s="295">
        <v>3</v>
      </c>
      <c r="AC247" s="295">
        <v>12</v>
      </c>
      <c r="AD247" s="295">
        <v>2</v>
      </c>
      <c r="AE247" s="295">
        <v>8</v>
      </c>
      <c r="AF247" s="295">
        <v>2</v>
      </c>
      <c r="AG247" s="295">
        <v>1</v>
      </c>
    </row>
    <row r="248" spans="1:33">
      <c r="B248" s="265" t="s">
        <v>5581</v>
      </c>
      <c r="C248" s="265" t="s">
        <v>39</v>
      </c>
      <c r="D248" s="265" t="s">
        <v>5876</v>
      </c>
      <c r="E248" s="269" t="s">
        <v>5825</v>
      </c>
      <c r="F248" s="265" t="s">
        <v>65</v>
      </c>
      <c r="G248" s="295">
        <v>206</v>
      </c>
      <c r="H248" s="295">
        <v>0</v>
      </c>
      <c r="I248" s="295">
        <v>3</v>
      </c>
      <c r="J248" s="295">
        <v>24</v>
      </c>
      <c r="K248" s="295">
        <v>50</v>
      </c>
      <c r="L248" s="295">
        <v>24</v>
      </c>
      <c r="M248" s="295">
        <v>0</v>
      </c>
      <c r="N248" s="295">
        <v>0</v>
      </c>
      <c r="O248" s="295">
        <v>0</v>
      </c>
      <c r="P248" s="295">
        <v>1</v>
      </c>
      <c r="Q248" s="295">
        <v>0</v>
      </c>
      <c r="R248" s="295">
        <v>0</v>
      </c>
      <c r="S248" s="295">
        <v>3</v>
      </c>
      <c r="T248" s="295">
        <v>1</v>
      </c>
      <c r="U248" s="295">
        <v>0</v>
      </c>
      <c r="V248" s="295">
        <v>0</v>
      </c>
      <c r="W248" s="295">
        <v>0</v>
      </c>
      <c r="X248" s="295">
        <v>2</v>
      </c>
      <c r="Y248" s="295">
        <v>13</v>
      </c>
      <c r="Z248" s="295">
        <v>0</v>
      </c>
      <c r="AA248" s="295">
        <v>0</v>
      </c>
      <c r="AB248" s="295">
        <v>0</v>
      </c>
      <c r="AC248" s="295">
        <v>2</v>
      </c>
      <c r="AD248" s="295">
        <v>82</v>
      </c>
      <c r="AE248" s="295">
        <v>1</v>
      </c>
      <c r="AF248" s="295">
        <v>0</v>
      </c>
      <c r="AG248" s="295">
        <v>0</v>
      </c>
    </row>
    <row r="249" spans="1:33">
      <c r="B249" s="265" t="s">
        <v>5583</v>
      </c>
      <c r="C249" s="265" t="s">
        <v>147</v>
      </c>
      <c r="D249" s="265" t="s">
        <v>5877</v>
      </c>
      <c r="E249" s="269" t="s">
        <v>5826</v>
      </c>
      <c r="F249" s="265" t="s">
        <v>65</v>
      </c>
      <c r="G249" s="295">
        <v>206</v>
      </c>
      <c r="H249" s="295">
        <v>0</v>
      </c>
      <c r="I249" s="295">
        <v>3</v>
      </c>
      <c r="J249" s="295">
        <v>24</v>
      </c>
      <c r="K249" s="295">
        <v>50</v>
      </c>
      <c r="L249" s="295">
        <v>24</v>
      </c>
      <c r="M249" s="295">
        <v>0</v>
      </c>
      <c r="N249" s="295">
        <v>0</v>
      </c>
      <c r="O249" s="295">
        <v>0</v>
      </c>
      <c r="P249" s="295">
        <v>1</v>
      </c>
      <c r="Q249" s="295">
        <v>0</v>
      </c>
      <c r="R249" s="295">
        <v>0</v>
      </c>
      <c r="S249" s="295">
        <v>3</v>
      </c>
      <c r="T249" s="295">
        <v>1</v>
      </c>
      <c r="U249" s="295">
        <v>0</v>
      </c>
      <c r="V249" s="295">
        <v>0</v>
      </c>
      <c r="W249" s="295">
        <v>0</v>
      </c>
      <c r="X249" s="295">
        <v>2</v>
      </c>
      <c r="Y249" s="295">
        <v>13</v>
      </c>
      <c r="Z249" s="295">
        <v>0</v>
      </c>
      <c r="AA249" s="295">
        <v>0</v>
      </c>
      <c r="AB249" s="295">
        <v>0</v>
      </c>
      <c r="AC249" s="295">
        <v>2</v>
      </c>
      <c r="AD249" s="295">
        <v>82</v>
      </c>
      <c r="AE249" s="295">
        <v>1</v>
      </c>
      <c r="AF249" s="295">
        <v>0</v>
      </c>
      <c r="AG249" s="295">
        <v>0</v>
      </c>
    </row>
    <row r="250" spans="1:33">
      <c r="B250" s="265" t="s">
        <v>5585</v>
      </c>
      <c r="C250" s="265" t="s">
        <v>44</v>
      </c>
      <c r="D250" s="265" t="s">
        <v>5878</v>
      </c>
      <c r="E250" s="269" t="s">
        <v>5827</v>
      </c>
      <c r="F250" s="265" t="s">
        <v>65</v>
      </c>
      <c r="G250" s="295">
        <v>1734</v>
      </c>
      <c r="H250" s="295">
        <v>0</v>
      </c>
      <c r="I250" s="295">
        <v>0</v>
      </c>
      <c r="J250" s="295">
        <v>0</v>
      </c>
      <c r="K250" s="295">
        <v>0</v>
      </c>
      <c r="L250" s="295">
        <v>0</v>
      </c>
      <c r="M250" s="295">
        <v>0</v>
      </c>
      <c r="N250" s="295">
        <v>0</v>
      </c>
      <c r="O250" s="295">
        <v>0</v>
      </c>
      <c r="P250" s="295">
        <v>0</v>
      </c>
      <c r="Q250" s="295">
        <v>0</v>
      </c>
      <c r="R250" s="295">
        <v>0</v>
      </c>
      <c r="S250" s="295">
        <v>0</v>
      </c>
      <c r="T250" s="295">
        <v>0</v>
      </c>
      <c r="U250" s="295">
        <v>21</v>
      </c>
      <c r="V250" s="295">
        <v>0</v>
      </c>
      <c r="W250" s="295">
        <v>0</v>
      </c>
      <c r="X250" s="295">
        <v>0</v>
      </c>
      <c r="Y250" s="295">
        <v>513</v>
      </c>
      <c r="Z250" s="295">
        <v>1092</v>
      </c>
      <c r="AA250" s="295">
        <v>108</v>
      </c>
      <c r="AB250" s="295">
        <v>0</v>
      </c>
      <c r="AC250" s="295">
        <v>0</v>
      </c>
      <c r="AD250" s="295">
        <v>0</v>
      </c>
      <c r="AE250" s="295">
        <v>0</v>
      </c>
      <c r="AF250" s="295">
        <v>0</v>
      </c>
      <c r="AG250" s="295">
        <v>0</v>
      </c>
    </row>
    <row r="251" spans="1:33">
      <c r="B251" s="265" t="s">
        <v>5587</v>
      </c>
      <c r="C251" s="265" t="s">
        <v>34</v>
      </c>
      <c r="D251" s="265" t="s">
        <v>5916</v>
      </c>
      <c r="E251" s="269" t="s">
        <v>5912</v>
      </c>
      <c r="F251" s="265" t="s">
        <v>65</v>
      </c>
      <c r="G251" s="295">
        <v>1281</v>
      </c>
      <c r="H251" s="295">
        <v>1</v>
      </c>
      <c r="I251" s="295">
        <v>13</v>
      </c>
      <c r="J251" s="295">
        <v>101</v>
      </c>
      <c r="K251" s="295">
        <v>309</v>
      </c>
      <c r="L251" s="295">
        <v>192</v>
      </c>
      <c r="M251" s="295">
        <v>0</v>
      </c>
      <c r="N251" s="295">
        <v>0</v>
      </c>
      <c r="O251" s="295">
        <v>0</v>
      </c>
      <c r="P251" s="295">
        <v>10</v>
      </c>
      <c r="Q251" s="295">
        <v>0</v>
      </c>
      <c r="R251" s="295">
        <v>0</v>
      </c>
      <c r="S251" s="295">
        <v>17</v>
      </c>
      <c r="T251" s="295">
        <v>3</v>
      </c>
      <c r="U251" s="295">
        <v>3</v>
      </c>
      <c r="V251" s="295">
        <v>0</v>
      </c>
      <c r="W251" s="295">
        <v>0</v>
      </c>
      <c r="X251" s="295">
        <v>10</v>
      </c>
      <c r="Y251" s="295">
        <v>35</v>
      </c>
      <c r="Z251" s="295">
        <v>0</v>
      </c>
      <c r="AA251" s="295">
        <v>0</v>
      </c>
      <c r="AB251" s="295">
        <v>1</v>
      </c>
      <c r="AC251" s="295">
        <v>3</v>
      </c>
      <c r="AD251" s="295">
        <v>578</v>
      </c>
      <c r="AE251" s="295">
        <v>5</v>
      </c>
      <c r="AF251" s="295">
        <v>0</v>
      </c>
      <c r="AG251" s="295">
        <v>0</v>
      </c>
    </row>
    <row r="252" spans="1:33">
      <c r="A252" s="296" t="s">
        <v>495</v>
      </c>
      <c r="B252" s="297" t="s">
        <v>320</v>
      </c>
      <c r="G252" s="295">
        <v>194400</v>
      </c>
      <c r="H252" s="295">
        <v>1986</v>
      </c>
      <c r="I252" s="295">
        <v>13057</v>
      </c>
      <c r="J252" s="295">
        <v>19243</v>
      </c>
      <c r="K252" s="295">
        <v>22296</v>
      </c>
      <c r="L252" s="295">
        <v>857</v>
      </c>
      <c r="M252" s="295">
        <v>0</v>
      </c>
      <c r="N252" s="295">
        <v>128</v>
      </c>
      <c r="O252" s="295">
        <v>36</v>
      </c>
      <c r="P252" s="295">
        <v>2936</v>
      </c>
      <c r="Q252" s="295">
        <v>690</v>
      </c>
      <c r="R252" s="295">
        <v>9993</v>
      </c>
      <c r="S252" s="295">
        <v>43992</v>
      </c>
      <c r="T252" s="295">
        <v>845</v>
      </c>
      <c r="U252" s="295">
        <v>4326</v>
      </c>
      <c r="V252" s="295">
        <v>127</v>
      </c>
      <c r="W252" s="295">
        <v>192</v>
      </c>
      <c r="X252" s="295">
        <v>1245</v>
      </c>
      <c r="Y252" s="295">
        <v>25018</v>
      </c>
      <c r="Z252" s="295">
        <v>3410</v>
      </c>
      <c r="AA252" s="295">
        <v>1571</v>
      </c>
      <c r="AB252" s="295">
        <v>2933</v>
      </c>
      <c r="AC252" s="295">
        <v>6282</v>
      </c>
      <c r="AD252" s="295">
        <v>26726</v>
      </c>
      <c r="AE252" s="295">
        <v>4081</v>
      </c>
      <c r="AF252" s="295">
        <v>843</v>
      </c>
      <c r="AG252" s="295">
        <v>1587</v>
      </c>
    </row>
    <row r="253" spans="1:33">
      <c r="A253" s="297" t="s">
        <v>58</v>
      </c>
      <c r="G253" s="295">
        <v>225961</v>
      </c>
      <c r="H253" s="295">
        <v>2122</v>
      </c>
      <c r="I253" s="295">
        <v>15141</v>
      </c>
      <c r="J253" s="295">
        <v>21832</v>
      </c>
      <c r="K253" s="295">
        <v>28108</v>
      </c>
      <c r="L253" s="295">
        <v>1010</v>
      </c>
      <c r="M253" s="295">
        <v>0</v>
      </c>
      <c r="N253" s="295">
        <v>142</v>
      </c>
      <c r="O253" s="295">
        <v>37</v>
      </c>
      <c r="P253" s="295">
        <v>3234</v>
      </c>
      <c r="Q253" s="295">
        <v>968</v>
      </c>
      <c r="R253" s="295">
        <v>10709</v>
      </c>
      <c r="S253" s="295">
        <v>48295</v>
      </c>
      <c r="T253" s="295">
        <v>878</v>
      </c>
      <c r="U253" s="295">
        <v>5060</v>
      </c>
      <c r="V253" s="295">
        <v>915</v>
      </c>
      <c r="W253" s="295">
        <v>786</v>
      </c>
      <c r="X253" s="295">
        <v>1495</v>
      </c>
      <c r="Y253" s="295">
        <v>26338</v>
      </c>
      <c r="Z253" s="295">
        <v>3496</v>
      </c>
      <c r="AA253" s="295">
        <v>1649</v>
      </c>
      <c r="AB253" s="295">
        <v>3113</v>
      </c>
      <c r="AC253" s="295">
        <v>8555</v>
      </c>
      <c r="AD253" s="295">
        <v>33491</v>
      </c>
      <c r="AE253" s="295">
        <v>6104</v>
      </c>
      <c r="AF253" s="295">
        <v>855</v>
      </c>
      <c r="AG253" s="295">
        <v>1628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316"/>
  <sheetViews>
    <sheetView workbookViewId="0">
      <selection activeCell="K292" sqref="K292"/>
    </sheetView>
  </sheetViews>
  <sheetFormatPr defaultRowHeight="12.75"/>
  <sheetData>
    <row r="1" spans="1:3" ht="36">
      <c r="A1" s="242" t="s">
        <v>190</v>
      </c>
      <c r="B1" s="243">
        <v>3263</v>
      </c>
      <c r="C1" s="244"/>
    </row>
    <row r="2" spans="1:3" ht="36">
      <c r="A2" s="245" t="s">
        <v>190</v>
      </c>
      <c r="B2" s="246">
        <v>3264</v>
      </c>
      <c r="C2" s="247"/>
    </row>
    <row r="3" spans="1:3" ht="36">
      <c r="A3" s="245" t="s">
        <v>190</v>
      </c>
      <c r="B3" s="246">
        <v>3266</v>
      </c>
      <c r="C3" s="247"/>
    </row>
    <row r="4" spans="1:3" ht="36">
      <c r="A4" s="245" t="s">
        <v>190</v>
      </c>
      <c r="B4" s="246">
        <v>3267</v>
      </c>
      <c r="C4" s="247"/>
    </row>
    <row r="5" spans="1:3">
      <c r="A5" s="245" t="s">
        <v>192</v>
      </c>
      <c r="B5" s="246">
        <v>3268</v>
      </c>
      <c r="C5" s="247"/>
    </row>
    <row r="6" spans="1:3">
      <c r="A6" s="245" t="s">
        <v>193</v>
      </c>
      <c r="B6" s="246">
        <v>3269</v>
      </c>
      <c r="C6" s="247"/>
    </row>
    <row r="7" spans="1:3" ht="36">
      <c r="A7" s="245" t="s">
        <v>190</v>
      </c>
      <c r="B7" s="246">
        <v>3271</v>
      </c>
      <c r="C7" s="247"/>
    </row>
    <row r="8" spans="1:3" ht="36">
      <c r="A8" s="245" t="s">
        <v>190</v>
      </c>
      <c r="B8" s="246">
        <v>3272</v>
      </c>
      <c r="C8" s="247"/>
    </row>
    <row r="9" spans="1:3" ht="36">
      <c r="A9" s="245" t="s">
        <v>190</v>
      </c>
      <c r="B9" s="246">
        <v>3273</v>
      </c>
      <c r="C9" s="247"/>
    </row>
    <row r="10" spans="1:3" ht="36">
      <c r="A10" s="245" t="s">
        <v>190</v>
      </c>
      <c r="B10" s="246">
        <v>3274</v>
      </c>
      <c r="C10" s="247"/>
    </row>
    <row r="11" spans="1:3" ht="36">
      <c r="A11" s="245" t="s">
        <v>190</v>
      </c>
      <c r="B11" s="246">
        <v>3277</v>
      </c>
      <c r="C11" s="247"/>
    </row>
    <row r="12" spans="1:3" ht="36">
      <c r="A12" s="245" t="s">
        <v>190</v>
      </c>
      <c r="B12" s="246">
        <v>3278</v>
      </c>
      <c r="C12" s="247"/>
    </row>
    <row r="13" spans="1:3">
      <c r="A13" s="245" t="s">
        <v>194</v>
      </c>
      <c r="B13" s="246">
        <v>3284</v>
      </c>
      <c r="C13" s="247"/>
    </row>
    <row r="14" spans="1:3">
      <c r="A14" s="245" t="s">
        <v>195</v>
      </c>
      <c r="B14" s="246">
        <v>3286</v>
      </c>
      <c r="C14" s="247"/>
    </row>
    <row r="15" spans="1:3" ht="120">
      <c r="A15" s="245" t="s">
        <v>196</v>
      </c>
      <c r="B15" s="246">
        <v>3311</v>
      </c>
      <c r="C15" s="247"/>
    </row>
    <row r="16" spans="1:3">
      <c r="A16" s="245" t="s">
        <v>197</v>
      </c>
      <c r="B16" s="246">
        <v>3316</v>
      </c>
      <c r="C16" s="247"/>
    </row>
    <row r="17" spans="1:3" ht="24">
      <c r="A17" s="245" t="s">
        <v>198</v>
      </c>
      <c r="B17" s="246">
        <v>3282</v>
      </c>
      <c r="C17" s="247"/>
    </row>
    <row r="18" spans="1:3" ht="24">
      <c r="A18" s="245" t="s">
        <v>200</v>
      </c>
      <c r="B18" s="246">
        <v>3282</v>
      </c>
      <c r="C18" s="247"/>
    </row>
    <row r="19" spans="1:3">
      <c r="A19" s="245" t="s">
        <v>201</v>
      </c>
      <c r="B19" s="246">
        <v>3325</v>
      </c>
      <c r="C19" s="247"/>
    </row>
    <row r="20" spans="1:3">
      <c r="A20" s="245" t="s">
        <v>201</v>
      </c>
      <c r="B20" s="246">
        <v>3326</v>
      </c>
      <c r="C20" s="247"/>
    </row>
    <row r="21" spans="1:3">
      <c r="A21" s="245" t="s">
        <v>201</v>
      </c>
      <c r="B21" s="246">
        <v>3327</v>
      </c>
      <c r="C21" s="247"/>
    </row>
    <row r="22" spans="1:3" ht="24">
      <c r="A22" s="245" t="s">
        <v>202</v>
      </c>
      <c r="B22" s="246">
        <v>3351</v>
      </c>
      <c r="C22" s="247"/>
    </row>
    <row r="23" spans="1:3" ht="48">
      <c r="A23" s="245" t="s">
        <v>204</v>
      </c>
      <c r="B23" s="246">
        <v>3368</v>
      </c>
      <c r="C23" s="247"/>
    </row>
    <row r="24" spans="1:3" ht="48">
      <c r="A24" s="245" t="s">
        <v>204</v>
      </c>
      <c r="B24" s="246">
        <v>3362</v>
      </c>
      <c r="C24" s="247"/>
    </row>
    <row r="25" spans="1:3" ht="48">
      <c r="A25" s="245" t="s">
        <v>204</v>
      </c>
      <c r="B25" s="246">
        <v>3366</v>
      </c>
      <c r="C25" s="247"/>
    </row>
    <row r="26" spans="1:3" ht="48">
      <c r="A26" s="245" t="s">
        <v>204</v>
      </c>
      <c r="B26" s="246">
        <v>3360</v>
      </c>
      <c r="C26" s="247"/>
    </row>
    <row r="27" spans="1:3" ht="48">
      <c r="A27" s="245" t="s">
        <v>204</v>
      </c>
      <c r="B27" s="246">
        <v>3367</v>
      </c>
      <c r="C27" s="247"/>
    </row>
    <row r="28" spans="1:3" ht="48">
      <c r="A28" s="245" t="s">
        <v>204</v>
      </c>
      <c r="B28" s="246">
        <v>3364</v>
      </c>
      <c r="C28" s="247"/>
    </row>
    <row r="29" spans="1:3" ht="48">
      <c r="A29" s="245" t="s">
        <v>204</v>
      </c>
      <c r="B29" s="246">
        <v>3363</v>
      </c>
      <c r="C29" s="247"/>
    </row>
    <row r="30" spans="1:3" ht="24">
      <c r="A30" s="245" t="s">
        <v>205</v>
      </c>
      <c r="B30" s="246">
        <v>3001</v>
      </c>
      <c r="C30" s="247"/>
    </row>
    <row r="31" spans="1:3" ht="24">
      <c r="A31" s="245" t="s">
        <v>206</v>
      </c>
      <c r="B31" s="246">
        <v>3001</v>
      </c>
      <c r="C31" s="247"/>
    </row>
    <row r="32" spans="1:3" ht="24">
      <c r="A32" s="245" t="s">
        <v>207</v>
      </c>
      <c r="B32" s="246">
        <v>3011</v>
      </c>
      <c r="C32" s="247"/>
    </row>
    <row r="33" spans="1:3" ht="24">
      <c r="A33" s="245" t="s">
        <v>207</v>
      </c>
      <c r="B33" s="246">
        <v>3006</v>
      </c>
      <c r="C33" s="247"/>
    </row>
    <row r="34" spans="1:3" ht="24">
      <c r="A34" s="245" t="s">
        <v>207</v>
      </c>
      <c r="B34" s="246">
        <v>3009</v>
      </c>
      <c r="C34" s="247"/>
    </row>
    <row r="35" spans="1:3" ht="24">
      <c r="A35" s="245" t="s">
        <v>207</v>
      </c>
      <c r="B35" s="246">
        <v>3004</v>
      </c>
      <c r="C35" s="247"/>
    </row>
    <row r="36" spans="1:3" ht="24">
      <c r="A36" s="245" t="s">
        <v>207</v>
      </c>
      <c r="B36" s="246">
        <v>3010</v>
      </c>
      <c r="C36" s="247"/>
    </row>
    <row r="37" spans="1:3" ht="24">
      <c r="A37" s="245" t="s">
        <v>207</v>
      </c>
      <c r="B37" s="246">
        <v>3008</v>
      </c>
      <c r="C37" s="247"/>
    </row>
    <row r="38" spans="1:3" ht="24">
      <c r="A38" s="245" t="s">
        <v>207</v>
      </c>
      <c r="B38" s="246">
        <v>3007</v>
      </c>
      <c r="C38" s="247"/>
    </row>
    <row r="39" spans="1:3" ht="48">
      <c r="A39" s="245" t="s">
        <v>210</v>
      </c>
      <c r="B39" s="246">
        <v>3359</v>
      </c>
      <c r="C39" s="247"/>
    </row>
    <row r="40" spans="1:3">
      <c r="A40" s="245" t="s">
        <v>211</v>
      </c>
      <c r="B40" s="246">
        <v>3359</v>
      </c>
      <c r="C40" s="247"/>
    </row>
    <row r="41" spans="1:3" ht="48">
      <c r="A41" s="245" t="s">
        <v>212</v>
      </c>
      <c r="B41" s="246">
        <v>3359</v>
      </c>
      <c r="C41" s="247"/>
    </row>
    <row r="42" spans="1:3" ht="48">
      <c r="A42" s="245" t="s">
        <v>213</v>
      </c>
      <c r="B42" s="246">
        <v>3359</v>
      </c>
      <c r="C42" s="247"/>
    </row>
    <row r="43" spans="1:3" ht="48">
      <c r="A43" s="245" t="s">
        <v>214</v>
      </c>
      <c r="B43" s="246">
        <v>3359</v>
      </c>
      <c r="C43" s="247"/>
    </row>
    <row r="44" spans="1:3" ht="24">
      <c r="A44" s="245" t="s">
        <v>215</v>
      </c>
      <c r="B44" s="246">
        <v>3371</v>
      </c>
      <c r="C44" s="247"/>
    </row>
    <row r="45" spans="1:3" ht="36">
      <c r="A45" s="245" t="s">
        <v>216</v>
      </c>
      <c r="B45" s="246">
        <v>3299</v>
      </c>
      <c r="C45" s="247"/>
    </row>
    <row r="46" spans="1:3" ht="36">
      <c r="A46" s="245" t="s">
        <v>217</v>
      </c>
      <c r="B46" s="246">
        <v>3012</v>
      </c>
      <c r="C46" s="247"/>
    </row>
    <row r="47" spans="1:3" ht="36">
      <c r="A47" s="245" t="s">
        <v>216</v>
      </c>
      <c r="B47" s="246">
        <v>3304</v>
      </c>
      <c r="C47" s="247"/>
    </row>
    <row r="48" spans="1:3" ht="24">
      <c r="A48" s="245" t="s">
        <v>220</v>
      </c>
      <c r="B48" s="246">
        <v>3373</v>
      </c>
      <c r="C48" s="247"/>
    </row>
    <row r="49" spans="1:3" ht="24">
      <c r="A49" s="245" t="s">
        <v>223</v>
      </c>
      <c r="B49" s="246">
        <v>3375</v>
      </c>
      <c r="C49" s="247"/>
    </row>
    <row r="50" spans="1:3" ht="36">
      <c r="A50" s="245" t="s">
        <v>217</v>
      </c>
      <c r="B50" s="246">
        <v>3013</v>
      </c>
      <c r="C50" s="247"/>
    </row>
    <row r="51" spans="1:3">
      <c r="A51" s="245" t="s">
        <v>225</v>
      </c>
      <c r="B51" s="246">
        <v>3379</v>
      </c>
      <c r="C51" s="247"/>
    </row>
    <row r="52" spans="1:3">
      <c r="A52" s="245" t="s">
        <v>226</v>
      </c>
      <c r="B52" s="246">
        <v>3380</v>
      </c>
      <c r="C52" s="247"/>
    </row>
    <row r="53" spans="1:3">
      <c r="A53" s="245" t="s">
        <v>227</v>
      </c>
      <c r="B53" s="246">
        <v>3383</v>
      </c>
      <c r="C53" s="247"/>
    </row>
    <row r="54" spans="1:3" ht="24">
      <c r="A54" s="245" t="s">
        <v>4998</v>
      </c>
      <c r="B54" s="246">
        <v>3390</v>
      </c>
      <c r="C54" s="247"/>
    </row>
    <row r="55" spans="1:3" ht="24">
      <c r="A55" s="245" t="s">
        <v>4998</v>
      </c>
      <c r="B55" s="246">
        <v>3391</v>
      </c>
      <c r="C55" s="247"/>
    </row>
    <row r="56" spans="1:3" ht="24">
      <c r="A56" s="245" t="s">
        <v>4998</v>
      </c>
      <c r="B56" s="246">
        <v>3392</v>
      </c>
      <c r="C56" s="247"/>
    </row>
    <row r="57" spans="1:3" ht="24">
      <c r="A57" s="245" t="s">
        <v>4998</v>
      </c>
      <c r="B57" s="246">
        <v>3393</v>
      </c>
      <c r="C57" s="247"/>
    </row>
    <row r="58" spans="1:3" ht="24">
      <c r="A58" s="245" t="s">
        <v>4998</v>
      </c>
      <c r="B58" s="246">
        <v>3395</v>
      </c>
      <c r="C58" s="247"/>
    </row>
    <row r="59" spans="1:3" ht="24">
      <c r="A59" s="245" t="s">
        <v>4998</v>
      </c>
      <c r="B59" s="246">
        <v>3397</v>
      </c>
      <c r="C59" s="247"/>
    </row>
    <row r="60" spans="1:3" ht="24">
      <c r="A60" s="245" t="s">
        <v>4998</v>
      </c>
      <c r="B60" s="246">
        <v>3398</v>
      </c>
      <c r="C60" s="247"/>
    </row>
    <row r="61" spans="1:3" ht="36">
      <c r="A61" s="245" t="s">
        <v>4999</v>
      </c>
      <c r="B61" s="246">
        <v>3403</v>
      </c>
      <c r="C61" s="247"/>
    </row>
    <row r="62" spans="1:3">
      <c r="A62" s="245" t="s">
        <v>5186</v>
      </c>
      <c r="B62" s="246">
        <v>3406</v>
      </c>
      <c r="C62" s="247"/>
    </row>
    <row r="63" spans="1:3">
      <c r="A63" s="245" t="s">
        <v>5187</v>
      </c>
      <c r="B63" s="246">
        <v>3407</v>
      </c>
      <c r="C63" s="247"/>
    </row>
    <row r="64" spans="1:3" ht="24">
      <c r="A64" s="245" t="s">
        <v>5188</v>
      </c>
      <c r="B64" s="246">
        <v>3408</v>
      </c>
      <c r="C64" s="247"/>
    </row>
    <row r="65" spans="1:3">
      <c r="A65" s="245" t="s">
        <v>5190</v>
      </c>
      <c r="B65" s="246">
        <v>3418</v>
      </c>
      <c r="C65" s="247"/>
    </row>
    <row r="66" spans="1:3">
      <c r="A66" s="245" t="s">
        <v>5191</v>
      </c>
      <c r="B66" s="246">
        <v>3418</v>
      </c>
      <c r="C66" s="247"/>
    </row>
    <row r="67" spans="1:3" ht="36">
      <c r="A67" s="245" t="s">
        <v>5192</v>
      </c>
      <c r="B67" s="246">
        <v>3418</v>
      </c>
      <c r="C67" s="247"/>
    </row>
    <row r="68" spans="1:3">
      <c r="A68" s="245" t="s">
        <v>5193</v>
      </c>
      <c r="B68" s="246">
        <v>3418</v>
      </c>
      <c r="C68" s="247"/>
    </row>
    <row r="69" spans="1:3">
      <c r="A69" s="245" t="s">
        <v>5194</v>
      </c>
      <c r="B69" s="246">
        <v>3419</v>
      </c>
      <c r="C69" s="247"/>
    </row>
    <row r="70" spans="1:3">
      <c r="A70" s="245" t="s">
        <v>5195</v>
      </c>
      <c r="B70" s="246">
        <v>3418</v>
      </c>
      <c r="C70" s="247"/>
    </row>
    <row r="71" spans="1:3">
      <c r="A71" s="245" t="s">
        <v>5196</v>
      </c>
      <c r="B71" s="246">
        <v>3412</v>
      </c>
      <c r="C71" s="247"/>
    </row>
    <row r="72" spans="1:3" ht="24">
      <c r="A72" s="245" t="s">
        <v>5879</v>
      </c>
      <c r="B72" s="246">
        <v>3420</v>
      </c>
      <c r="C72" s="247"/>
    </row>
    <row r="73" spans="1:3" ht="24">
      <c r="A73" s="245" t="s">
        <v>5879</v>
      </c>
      <c r="B73" s="246">
        <v>3421</v>
      </c>
      <c r="C73" s="247"/>
    </row>
    <row r="74" spans="1:3">
      <c r="A74" s="245" t="s">
        <v>5197</v>
      </c>
      <c r="B74" s="246">
        <v>3421</v>
      </c>
      <c r="C74" s="247"/>
    </row>
    <row r="75" spans="1:3">
      <c r="A75" s="245" t="s">
        <v>5198</v>
      </c>
      <c r="B75" s="246">
        <v>3423</v>
      </c>
      <c r="C75" s="247"/>
    </row>
    <row r="76" spans="1:3">
      <c r="A76" s="245" t="s">
        <v>5199</v>
      </c>
      <c r="B76" s="246">
        <v>3425</v>
      </c>
      <c r="C76" s="247"/>
    </row>
    <row r="77" spans="1:3">
      <c r="A77" s="245" t="s">
        <v>5198</v>
      </c>
      <c r="B77" s="246">
        <v>3424</v>
      </c>
      <c r="C77" s="247"/>
    </row>
    <row r="78" spans="1:3">
      <c r="A78" s="245" t="s">
        <v>5199</v>
      </c>
      <c r="B78" s="246">
        <v>3424</v>
      </c>
      <c r="C78" s="247"/>
    </row>
    <row r="79" spans="1:3">
      <c r="A79" s="245" t="s">
        <v>5200</v>
      </c>
      <c r="B79" s="246">
        <v>3428</v>
      </c>
      <c r="C79" s="247"/>
    </row>
    <row r="80" spans="1:3">
      <c r="A80" s="245" t="s">
        <v>5200</v>
      </c>
      <c r="B80" s="246">
        <v>3427</v>
      </c>
      <c r="C80" s="247"/>
    </row>
    <row r="81" spans="1:3">
      <c r="A81" s="245" t="s">
        <v>5200</v>
      </c>
      <c r="B81" s="246">
        <v>3426</v>
      </c>
      <c r="C81" s="247"/>
    </row>
    <row r="82" spans="1:3">
      <c r="A82" s="245" t="s">
        <v>5201</v>
      </c>
      <c r="B82" s="246">
        <v>3436</v>
      </c>
      <c r="C82" s="247"/>
    </row>
    <row r="83" spans="1:3">
      <c r="A83" s="245" t="s">
        <v>5201</v>
      </c>
      <c r="B83" s="246">
        <v>3431</v>
      </c>
      <c r="C83" s="247"/>
    </row>
    <row r="84" spans="1:3">
      <c r="A84" s="245" t="s">
        <v>5201</v>
      </c>
      <c r="B84" s="246">
        <v>3434</v>
      </c>
      <c r="C84" s="247"/>
    </row>
    <row r="85" spans="1:3">
      <c r="A85" s="245" t="s">
        <v>5201</v>
      </c>
      <c r="B85" s="246">
        <v>3429</v>
      </c>
      <c r="C85" s="247"/>
    </row>
    <row r="86" spans="1:3">
      <c r="A86" s="245" t="s">
        <v>5201</v>
      </c>
      <c r="B86" s="246">
        <v>3435</v>
      </c>
      <c r="C86" s="247"/>
    </row>
    <row r="87" spans="1:3">
      <c r="A87" s="245" t="s">
        <v>5201</v>
      </c>
      <c r="B87" s="246">
        <v>3433</v>
      </c>
      <c r="C87" s="247"/>
    </row>
    <row r="88" spans="1:3">
      <c r="A88" s="245" t="s">
        <v>5201</v>
      </c>
      <c r="B88" s="246">
        <v>3432</v>
      </c>
      <c r="C88" s="247"/>
    </row>
    <row r="89" spans="1:3">
      <c r="A89" s="245" t="s">
        <v>5196</v>
      </c>
      <c r="B89" s="246">
        <v>3411</v>
      </c>
      <c r="C89" s="247"/>
    </row>
    <row r="90" spans="1:3">
      <c r="A90" s="245" t="s">
        <v>5196</v>
      </c>
      <c r="B90" s="246">
        <v>3413</v>
      </c>
      <c r="C90" s="247"/>
    </row>
    <row r="91" spans="1:3">
      <c r="A91" s="245" t="s">
        <v>5203</v>
      </c>
      <c r="B91" s="246">
        <v>3442</v>
      </c>
      <c r="C91" s="247"/>
    </row>
    <row r="92" spans="1:3">
      <c r="A92" s="245" t="s">
        <v>5309</v>
      </c>
      <c r="B92" s="246">
        <v>3465</v>
      </c>
      <c r="C92" s="247"/>
    </row>
    <row r="93" spans="1:3" ht="60">
      <c r="A93" s="245" t="s">
        <v>5310</v>
      </c>
      <c r="B93" s="246">
        <v>3465</v>
      </c>
      <c r="C93" s="247"/>
    </row>
    <row r="94" spans="1:3">
      <c r="A94" s="245" t="s">
        <v>5311</v>
      </c>
      <c r="B94" s="246">
        <v>3468</v>
      </c>
      <c r="C94" s="247"/>
    </row>
    <row r="95" spans="1:3">
      <c r="A95" s="245" t="s">
        <v>5311</v>
      </c>
      <c r="B95" s="246">
        <v>3466</v>
      </c>
      <c r="C95" s="247"/>
    </row>
    <row r="96" spans="1:3">
      <c r="A96" s="245" t="s">
        <v>5311</v>
      </c>
      <c r="B96" s="246">
        <v>3469</v>
      </c>
      <c r="C96" s="247"/>
    </row>
    <row r="97" spans="1:3">
      <c r="A97" s="245" t="s">
        <v>5311</v>
      </c>
      <c r="B97" s="246">
        <v>3467</v>
      </c>
      <c r="C97" s="247"/>
    </row>
    <row r="98" spans="1:3">
      <c r="A98" s="245" t="s">
        <v>5311</v>
      </c>
      <c r="B98" s="246">
        <v>3460</v>
      </c>
      <c r="C98" s="247"/>
    </row>
    <row r="99" spans="1:3" ht="48">
      <c r="A99" s="245" t="s">
        <v>5312</v>
      </c>
      <c r="B99" s="246">
        <v>3470</v>
      </c>
      <c r="C99" s="247"/>
    </row>
    <row r="100" spans="1:3" ht="48">
      <c r="A100" s="245" t="s">
        <v>5313</v>
      </c>
      <c r="B100" s="246">
        <v>3465</v>
      </c>
      <c r="C100" s="247"/>
    </row>
    <row r="101" spans="1:3" ht="276">
      <c r="A101" s="245" t="s">
        <v>5314</v>
      </c>
      <c r="B101" s="246">
        <v>3474</v>
      </c>
      <c r="C101" s="247"/>
    </row>
    <row r="102" spans="1:3" ht="24">
      <c r="A102" s="245" t="s">
        <v>5315</v>
      </c>
      <c r="B102" s="246">
        <v>3475</v>
      </c>
      <c r="C102" s="247"/>
    </row>
    <row r="103" spans="1:3" ht="144">
      <c r="A103" s="245" t="s">
        <v>5316</v>
      </c>
      <c r="B103" s="246">
        <v>3476</v>
      </c>
      <c r="C103" s="247"/>
    </row>
    <row r="104" spans="1:3" ht="72">
      <c r="A104" s="245" t="s">
        <v>5317</v>
      </c>
      <c r="B104" s="246">
        <v>3481</v>
      </c>
      <c r="C104" s="247"/>
    </row>
    <row r="105" spans="1:3" ht="72">
      <c r="A105" s="245" t="s">
        <v>5317</v>
      </c>
      <c r="B105" s="246">
        <v>3482</v>
      </c>
      <c r="C105" s="247"/>
    </row>
    <row r="106" spans="1:3" ht="72">
      <c r="A106" s="245" t="s">
        <v>5317</v>
      </c>
      <c r="B106" s="246">
        <v>3483</v>
      </c>
      <c r="C106" s="247"/>
    </row>
    <row r="107" spans="1:3" ht="24">
      <c r="A107" s="245" t="s">
        <v>5356</v>
      </c>
      <c r="B107" s="246">
        <v>3475</v>
      </c>
      <c r="C107" s="247"/>
    </row>
    <row r="108" spans="1:3" ht="72">
      <c r="A108" s="245" t="s">
        <v>5317</v>
      </c>
      <c r="B108" s="246">
        <v>3484</v>
      </c>
      <c r="C108" s="247"/>
    </row>
    <row r="109" spans="1:3" ht="24">
      <c r="A109" s="245" t="s">
        <v>5358</v>
      </c>
      <c r="B109" s="246">
        <v>3487</v>
      </c>
      <c r="C109" s="247"/>
    </row>
    <row r="110" spans="1:3">
      <c r="A110" s="245" t="s">
        <v>5599</v>
      </c>
      <c r="B110" s="246">
        <v>3494</v>
      </c>
      <c r="C110" s="247"/>
    </row>
    <row r="111" spans="1:3" ht="24">
      <c r="A111" s="245" t="s">
        <v>5600</v>
      </c>
      <c r="B111" s="246">
        <v>3489</v>
      </c>
      <c r="C111" s="247"/>
    </row>
    <row r="112" spans="1:3" ht="24">
      <c r="A112" s="245" t="s">
        <v>5601</v>
      </c>
      <c r="B112" s="246">
        <v>3490</v>
      </c>
      <c r="C112" s="247"/>
    </row>
    <row r="113" spans="1:3" ht="24">
      <c r="A113" s="245" t="s">
        <v>5602</v>
      </c>
      <c r="B113" s="246">
        <v>3491</v>
      </c>
      <c r="C113" s="247"/>
    </row>
    <row r="114" spans="1:3" ht="24">
      <c r="A114" s="245" t="s">
        <v>5603</v>
      </c>
      <c r="B114" s="246">
        <v>3492</v>
      </c>
      <c r="C114" s="247"/>
    </row>
    <row r="115" spans="1:3" ht="24">
      <c r="A115" s="245" t="s">
        <v>5604</v>
      </c>
      <c r="B115" s="246">
        <v>3493</v>
      </c>
      <c r="C115" s="247"/>
    </row>
    <row r="116" spans="1:3">
      <c r="A116" s="245" t="s">
        <v>5599</v>
      </c>
      <c r="B116" s="246">
        <v>3496</v>
      </c>
      <c r="C116" s="247"/>
    </row>
    <row r="117" spans="1:3">
      <c r="A117" s="245" t="s">
        <v>5599</v>
      </c>
      <c r="B117" s="246">
        <v>3498</v>
      </c>
      <c r="C117" s="247"/>
    </row>
    <row r="118" spans="1:3">
      <c r="A118" s="245" t="s">
        <v>5605</v>
      </c>
      <c r="B118" s="246">
        <v>3500</v>
      </c>
      <c r="C118" s="247"/>
    </row>
    <row r="119" spans="1:3">
      <c r="A119" s="245" t="s">
        <v>5606</v>
      </c>
      <c r="B119" s="246">
        <v>3465</v>
      </c>
      <c r="C119" s="247"/>
    </row>
    <row r="120" spans="1:3">
      <c r="A120" s="245" t="s">
        <v>5607</v>
      </c>
      <c r="B120" s="246">
        <v>3506</v>
      </c>
      <c r="C120" s="247"/>
    </row>
    <row r="121" spans="1:3" ht="24">
      <c r="A121" s="245" t="s">
        <v>5608</v>
      </c>
      <c r="B121" s="246">
        <v>3507</v>
      </c>
      <c r="C121" s="247"/>
    </row>
    <row r="122" spans="1:3">
      <c r="A122" s="245" t="s">
        <v>5609</v>
      </c>
      <c r="B122" s="246">
        <v>3515</v>
      </c>
      <c r="C122" s="247"/>
    </row>
    <row r="123" spans="1:3">
      <c r="A123" s="245" t="s">
        <v>5610</v>
      </c>
      <c r="B123" s="246">
        <v>3516</v>
      </c>
      <c r="C123" s="247"/>
    </row>
    <row r="124" spans="1:3">
      <c r="A124" s="245" t="s">
        <v>5611</v>
      </c>
      <c r="B124" s="246">
        <v>3523</v>
      </c>
      <c r="C124" s="247"/>
    </row>
    <row r="125" spans="1:3">
      <c r="A125" s="245" t="s">
        <v>5609</v>
      </c>
      <c r="B125" s="246">
        <v>3524</v>
      </c>
      <c r="C125" s="247"/>
    </row>
    <row r="126" spans="1:3">
      <c r="A126" s="245" t="s">
        <v>5610</v>
      </c>
      <c r="B126" s="246">
        <v>3525</v>
      </c>
      <c r="C126" s="247"/>
    </row>
    <row r="127" spans="1:3">
      <c r="A127" s="245" t="s">
        <v>5611</v>
      </c>
      <c r="B127" s="246">
        <v>3532</v>
      </c>
      <c r="C127" s="247"/>
    </row>
    <row r="128" spans="1:3">
      <c r="A128" s="245" t="s">
        <v>5609</v>
      </c>
      <c r="B128" s="246">
        <v>3533</v>
      </c>
      <c r="C128" s="247"/>
    </row>
    <row r="129" spans="1:3">
      <c r="A129" s="245" t="s">
        <v>5610</v>
      </c>
      <c r="B129" s="246">
        <v>3534</v>
      </c>
      <c r="C129" s="247"/>
    </row>
    <row r="130" spans="1:3" ht="24">
      <c r="A130" s="245" t="s">
        <v>5324</v>
      </c>
      <c r="B130" s="246">
        <v>3541</v>
      </c>
      <c r="C130" s="247"/>
    </row>
    <row r="131" spans="1:3" ht="72">
      <c r="A131" s="245" t="s">
        <v>5317</v>
      </c>
      <c r="B131" s="246">
        <v>3541</v>
      </c>
      <c r="C131" s="247"/>
    </row>
    <row r="132" spans="1:3">
      <c r="A132" s="245" t="s">
        <v>5611</v>
      </c>
      <c r="B132" s="246">
        <v>3514</v>
      </c>
      <c r="C132" s="247"/>
    </row>
    <row r="133" spans="1:3" ht="72">
      <c r="A133" s="245" t="s">
        <v>5317</v>
      </c>
      <c r="B133" s="246">
        <v>3542</v>
      </c>
      <c r="C133" s="247"/>
    </row>
    <row r="134" spans="1:3">
      <c r="A134" s="245" t="s">
        <v>5612</v>
      </c>
      <c r="B134" s="246">
        <v>3510</v>
      </c>
      <c r="C134" s="247"/>
    </row>
    <row r="135" spans="1:3" ht="36">
      <c r="A135" s="245" t="s">
        <v>5613</v>
      </c>
      <c r="B135" s="246">
        <v>3509</v>
      </c>
      <c r="C135" s="247"/>
    </row>
    <row r="136" spans="1:3" ht="72">
      <c r="A136" s="245" t="s">
        <v>5615</v>
      </c>
      <c r="B136" s="246">
        <v>3544</v>
      </c>
      <c r="C136" s="247"/>
    </row>
    <row r="137" spans="1:3" ht="72">
      <c r="A137" s="245" t="s">
        <v>5615</v>
      </c>
      <c r="B137" s="246">
        <v>3547</v>
      </c>
      <c r="C137" s="247"/>
    </row>
    <row r="138" spans="1:3" ht="24">
      <c r="A138" s="245" t="s">
        <v>5616</v>
      </c>
      <c r="B138" s="246">
        <v>3511</v>
      </c>
      <c r="C138" s="247"/>
    </row>
    <row r="139" spans="1:3" ht="72">
      <c r="A139" s="245" t="s">
        <v>5615</v>
      </c>
      <c r="B139" s="246">
        <v>3548</v>
      </c>
      <c r="C139" s="247"/>
    </row>
    <row r="140" spans="1:3" ht="72">
      <c r="A140" s="245" t="s">
        <v>5615</v>
      </c>
      <c r="B140" s="246">
        <v>3549</v>
      </c>
      <c r="C140" s="247"/>
    </row>
    <row r="141" spans="1:3">
      <c r="A141" s="245" t="s">
        <v>5617</v>
      </c>
      <c r="B141" s="246">
        <v>3517</v>
      </c>
      <c r="C141" s="247"/>
    </row>
    <row r="142" spans="1:3">
      <c r="A142" s="245" t="s">
        <v>5618</v>
      </c>
      <c r="B142" s="246">
        <v>3518</v>
      </c>
      <c r="C142" s="247"/>
    </row>
    <row r="143" spans="1:3">
      <c r="A143" s="245" t="s">
        <v>5619</v>
      </c>
      <c r="B143" s="246">
        <v>3519</v>
      </c>
      <c r="C143" s="247"/>
    </row>
    <row r="144" spans="1:3">
      <c r="A144" s="245" t="s">
        <v>5620</v>
      </c>
      <c r="B144" s="246">
        <v>3520</v>
      </c>
      <c r="C144" s="247"/>
    </row>
    <row r="145" spans="1:3">
      <c r="A145" s="245" t="s">
        <v>5621</v>
      </c>
      <c r="B145" s="246">
        <v>3521</v>
      </c>
      <c r="C145" s="247"/>
    </row>
    <row r="146" spans="1:3">
      <c r="A146" s="245" t="s">
        <v>5622</v>
      </c>
      <c r="B146" s="246">
        <v>3522</v>
      </c>
      <c r="C146" s="247"/>
    </row>
    <row r="147" spans="1:3">
      <c r="A147" s="245" t="s">
        <v>5617</v>
      </c>
      <c r="B147" s="246">
        <v>3526</v>
      </c>
      <c r="C147" s="247"/>
    </row>
    <row r="148" spans="1:3">
      <c r="A148" s="245" t="s">
        <v>5618</v>
      </c>
      <c r="B148" s="246">
        <v>3527</v>
      </c>
      <c r="C148" s="247"/>
    </row>
    <row r="149" spans="1:3">
      <c r="A149" s="245" t="s">
        <v>5619</v>
      </c>
      <c r="B149" s="246">
        <v>3528</v>
      </c>
      <c r="C149" s="247"/>
    </row>
    <row r="150" spans="1:3">
      <c r="A150" s="245" t="s">
        <v>5620</v>
      </c>
      <c r="B150" s="246">
        <v>3529</v>
      </c>
      <c r="C150" s="247"/>
    </row>
    <row r="151" spans="1:3">
      <c r="A151" s="245" t="s">
        <v>5621</v>
      </c>
      <c r="B151" s="246">
        <v>3530</v>
      </c>
      <c r="C151" s="247"/>
    </row>
    <row r="152" spans="1:3">
      <c r="A152" s="245" t="s">
        <v>5622</v>
      </c>
      <c r="B152" s="246">
        <v>3531</v>
      </c>
      <c r="C152" s="247"/>
    </row>
    <row r="153" spans="1:3" ht="120">
      <c r="A153" s="245" t="s">
        <v>5318</v>
      </c>
      <c r="B153" s="246">
        <v>3497</v>
      </c>
      <c r="C153" s="247"/>
    </row>
    <row r="154" spans="1:3">
      <c r="A154" s="245" t="s">
        <v>5617</v>
      </c>
      <c r="B154" s="246">
        <v>3535</v>
      </c>
      <c r="C154" s="247"/>
    </row>
    <row r="155" spans="1:3">
      <c r="A155" s="245" t="s">
        <v>5618</v>
      </c>
      <c r="B155" s="246">
        <v>3536</v>
      </c>
      <c r="C155" s="247"/>
    </row>
    <row r="156" spans="1:3">
      <c r="A156" s="245" t="s">
        <v>5619</v>
      </c>
      <c r="B156" s="246">
        <v>3537</v>
      </c>
      <c r="C156" s="247"/>
    </row>
    <row r="157" spans="1:3">
      <c r="A157" s="245" t="s">
        <v>5620</v>
      </c>
      <c r="B157" s="246">
        <v>3538</v>
      </c>
      <c r="C157" s="247"/>
    </row>
    <row r="158" spans="1:3">
      <c r="A158" s="245" t="s">
        <v>5621</v>
      </c>
      <c r="B158" s="246">
        <v>3539</v>
      </c>
      <c r="C158" s="247"/>
    </row>
    <row r="159" spans="1:3">
      <c r="A159" s="245" t="s">
        <v>5622</v>
      </c>
      <c r="B159" s="246">
        <v>3540</v>
      </c>
      <c r="C159" s="247"/>
    </row>
    <row r="160" spans="1:3" ht="72">
      <c r="A160" s="245" t="s">
        <v>5615</v>
      </c>
      <c r="B160" s="246">
        <v>3550</v>
      </c>
      <c r="C160" s="247"/>
    </row>
    <row r="161" spans="1:3" ht="72">
      <c r="A161" s="245" t="s">
        <v>5615</v>
      </c>
      <c r="B161" s="246">
        <v>3551</v>
      </c>
      <c r="C161" s="247"/>
    </row>
    <row r="162" spans="1:3" ht="24">
      <c r="A162" s="245" t="s">
        <v>5623</v>
      </c>
      <c r="B162" s="246">
        <v>3552</v>
      </c>
      <c r="C162" s="247"/>
    </row>
    <row r="163" spans="1:3">
      <c r="A163" s="245" t="s">
        <v>5624</v>
      </c>
      <c r="B163" s="246">
        <v>3553</v>
      </c>
      <c r="C163" s="247"/>
    </row>
    <row r="164" spans="1:3">
      <c r="A164" s="245" t="s">
        <v>224</v>
      </c>
      <c r="B164" s="246">
        <v>3376</v>
      </c>
      <c r="C164" s="247"/>
    </row>
    <row r="165" spans="1:3" ht="24">
      <c r="A165" s="245" t="s">
        <v>5917</v>
      </c>
      <c r="B165" s="246">
        <v>3555</v>
      </c>
      <c r="C165" s="247"/>
    </row>
    <row r="166" spans="1:3" ht="24">
      <c r="A166" s="245" t="s">
        <v>5880</v>
      </c>
      <c r="B166" s="246">
        <v>3556</v>
      </c>
      <c r="C166" s="247"/>
    </row>
    <row r="167" spans="1:3">
      <c r="A167" s="245" t="s">
        <v>5202</v>
      </c>
      <c r="B167" s="246">
        <v>3437</v>
      </c>
      <c r="C167" s="247"/>
    </row>
    <row r="168" spans="1:3">
      <c r="A168" s="245" t="s">
        <v>5202</v>
      </c>
      <c r="B168" s="246">
        <v>3557</v>
      </c>
      <c r="C168" s="247"/>
    </row>
    <row r="169" spans="1:3">
      <c r="A169" s="245" t="s">
        <v>5881</v>
      </c>
      <c r="B169" s="246">
        <v>3558</v>
      </c>
      <c r="C169" s="247"/>
    </row>
    <row r="170" spans="1:3" ht="24">
      <c r="A170" s="245" t="s">
        <v>5882</v>
      </c>
      <c r="B170" s="246">
        <v>3560</v>
      </c>
      <c r="C170" s="247"/>
    </row>
    <row r="171" spans="1:3">
      <c r="A171" s="245" t="s">
        <v>5883</v>
      </c>
      <c r="B171" s="246">
        <v>3421</v>
      </c>
      <c r="C171" s="247"/>
    </row>
    <row r="172" spans="1:3" ht="24">
      <c r="A172" s="245" t="s">
        <v>5884</v>
      </c>
      <c r="B172" s="246">
        <v>3562</v>
      </c>
      <c r="C172" s="247"/>
    </row>
    <row r="173" spans="1:3">
      <c r="A173" s="245" t="s">
        <v>5885</v>
      </c>
      <c r="B173" s="246">
        <v>3564</v>
      </c>
      <c r="C173" s="247"/>
    </row>
    <row r="174" spans="1:3">
      <c r="A174" s="245" t="s">
        <v>5885</v>
      </c>
      <c r="B174" s="246">
        <v>3565</v>
      </c>
      <c r="C174" s="247"/>
    </row>
    <row r="175" spans="1:3">
      <c r="A175" s="245" t="s">
        <v>5886</v>
      </c>
      <c r="B175" s="246">
        <v>3568</v>
      </c>
      <c r="C175" s="247"/>
    </row>
    <row r="176" spans="1:3">
      <c r="A176" s="245" t="s">
        <v>5886</v>
      </c>
      <c r="B176" s="246">
        <v>3567</v>
      </c>
      <c r="C176" s="247"/>
    </row>
    <row r="177" spans="1:3">
      <c r="A177" s="245" t="s">
        <v>5886</v>
      </c>
      <c r="B177" s="246">
        <v>3566</v>
      </c>
      <c r="C177" s="247"/>
    </row>
    <row r="178" spans="1:3">
      <c r="A178" s="245" t="s">
        <v>5887</v>
      </c>
      <c r="B178" s="246">
        <v>3571</v>
      </c>
      <c r="C178" s="247"/>
    </row>
    <row r="179" spans="1:3">
      <c r="A179" s="245" t="s">
        <v>5887</v>
      </c>
      <c r="B179" s="246">
        <v>3570</v>
      </c>
      <c r="C179" s="247"/>
    </row>
    <row r="180" spans="1:3">
      <c r="A180" s="245" t="s">
        <v>5887</v>
      </c>
      <c r="B180" s="246">
        <v>3569</v>
      </c>
      <c r="C180" s="247"/>
    </row>
    <row r="181" spans="1:3">
      <c r="A181" s="245" t="s">
        <v>5888</v>
      </c>
      <c r="B181" s="246">
        <v>3572</v>
      </c>
      <c r="C181" s="247"/>
    </row>
    <row r="182" spans="1:3">
      <c r="A182" s="245" t="s">
        <v>5888</v>
      </c>
      <c r="B182" s="246">
        <v>3573</v>
      </c>
      <c r="C182" s="247"/>
    </row>
    <row r="183" spans="1:3">
      <c r="A183" s="245" t="s">
        <v>5889</v>
      </c>
      <c r="B183" s="246">
        <v>3575</v>
      </c>
      <c r="C183" s="247"/>
    </row>
    <row r="184" spans="1:3">
      <c r="A184" s="245" t="s">
        <v>5889</v>
      </c>
      <c r="B184" s="246">
        <v>3576</v>
      </c>
      <c r="C184" s="247"/>
    </row>
    <row r="185" spans="1:3" ht="60">
      <c r="A185" s="245" t="s">
        <v>5891</v>
      </c>
      <c r="B185" s="246">
        <v>3577</v>
      </c>
      <c r="C185" s="247"/>
    </row>
    <row r="186" spans="1:3">
      <c r="A186" s="245" t="s">
        <v>5892</v>
      </c>
      <c r="B186" s="246">
        <v>3578</v>
      </c>
      <c r="C186" s="247"/>
    </row>
    <row r="187" spans="1:3" ht="36">
      <c r="A187" s="245" t="s">
        <v>5893</v>
      </c>
      <c r="B187" s="246">
        <v>3579</v>
      </c>
      <c r="C187" s="247"/>
    </row>
    <row r="188" spans="1:3" ht="24">
      <c r="A188" s="245" t="s">
        <v>218</v>
      </c>
      <c r="B188" s="246">
        <v>3372</v>
      </c>
      <c r="C188" s="247"/>
    </row>
    <row r="189" spans="1:3" ht="24">
      <c r="A189" s="245" t="s">
        <v>219</v>
      </c>
      <c r="B189" s="246">
        <v>3372</v>
      </c>
      <c r="C189" s="247"/>
    </row>
    <row r="190" spans="1:3" ht="24">
      <c r="A190" s="245" t="s">
        <v>208</v>
      </c>
      <c r="B190" s="246">
        <v>3580</v>
      </c>
      <c r="C190" s="247"/>
    </row>
    <row r="191" spans="1:3" ht="24">
      <c r="A191" s="245" t="s">
        <v>208</v>
      </c>
      <c r="B191" s="246">
        <v>3369</v>
      </c>
      <c r="C191" s="247"/>
    </row>
    <row r="192" spans="1:3" ht="24">
      <c r="A192" s="245" t="s">
        <v>209</v>
      </c>
      <c r="B192" s="246">
        <v>3369</v>
      </c>
      <c r="C192" s="247"/>
    </row>
    <row r="193" spans="1:3" ht="24">
      <c r="A193" s="245" t="s">
        <v>221</v>
      </c>
      <c r="B193" s="246">
        <v>3374</v>
      </c>
      <c r="C193" s="247"/>
    </row>
    <row r="194" spans="1:3" ht="24">
      <c r="A194" s="245" t="s">
        <v>222</v>
      </c>
      <c r="B194" s="246">
        <v>3374</v>
      </c>
      <c r="C194" s="247"/>
    </row>
    <row r="195" spans="1:3">
      <c r="A195" s="245" t="s">
        <v>5918</v>
      </c>
      <c r="B195" s="246">
        <v>3582</v>
      </c>
      <c r="C195" s="247"/>
    </row>
    <row r="196" spans="1:3" ht="24">
      <c r="A196" s="245" t="s">
        <v>191</v>
      </c>
      <c r="B196" s="246">
        <v>3259</v>
      </c>
      <c r="C196" s="247"/>
    </row>
    <row r="197" spans="1:3">
      <c r="A197" s="245" t="s">
        <v>201</v>
      </c>
      <c r="B197" s="246">
        <v>3329</v>
      </c>
      <c r="C197" s="247"/>
    </row>
    <row r="198" spans="1:3">
      <c r="A198" s="245" t="s">
        <v>201</v>
      </c>
      <c r="B198" s="246">
        <v>3330</v>
      </c>
      <c r="C198" s="247"/>
    </row>
    <row r="199" spans="1:3">
      <c r="A199" s="245" t="s">
        <v>201</v>
      </c>
      <c r="B199" s="246">
        <v>3331</v>
      </c>
      <c r="C199" s="247"/>
    </row>
    <row r="200" spans="1:3">
      <c r="A200" s="245" t="s">
        <v>201</v>
      </c>
      <c r="B200" s="246">
        <v>3334</v>
      </c>
      <c r="C200" s="247"/>
    </row>
    <row r="201" spans="1:3">
      <c r="A201" s="245" t="s">
        <v>201</v>
      </c>
      <c r="B201" s="246">
        <v>3342</v>
      </c>
      <c r="C201" s="247"/>
    </row>
    <row r="202" spans="1:3" ht="48">
      <c r="A202" s="245" t="s">
        <v>204</v>
      </c>
      <c r="B202" s="246">
        <v>3361</v>
      </c>
      <c r="C202" s="247"/>
    </row>
    <row r="203" spans="1:3" ht="24">
      <c r="A203" s="245" t="s">
        <v>228</v>
      </c>
      <c r="B203" s="246">
        <v>3001</v>
      </c>
      <c r="C203" s="247"/>
    </row>
    <row r="204" spans="1:3" ht="24">
      <c r="A204" s="245" t="s">
        <v>207</v>
      </c>
      <c r="B204" s="246">
        <v>3005</v>
      </c>
      <c r="C204" s="247"/>
    </row>
    <row r="205" spans="1:3">
      <c r="A205" s="245" t="s">
        <v>5201</v>
      </c>
      <c r="B205" s="246">
        <v>3430</v>
      </c>
      <c r="C205" s="247"/>
    </row>
    <row r="206" spans="1:3">
      <c r="A206" s="245" t="s">
        <v>5196</v>
      </c>
      <c r="B206" s="246">
        <v>3414</v>
      </c>
      <c r="C206" s="247"/>
    </row>
    <row r="207" spans="1:3">
      <c r="A207" s="245" t="s">
        <v>5196</v>
      </c>
      <c r="B207" s="246">
        <v>3415</v>
      </c>
      <c r="C207" s="247"/>
    </row>
    <row r="208" spans="1:3">
      <c r="A208" s="245" t="s">
        <v>5196</v>
      </c>
      <c r="B208" s="246">
        <v>3416</v>
      </c>
      <c r="C208" s="247"/>
    </row>
    <row r="209" spans="1:3">
      <c r="A209" s="245" t="s">
        <v>5196</v>
      </c>
      <c r="B209" s="246">
        <v>3444</v>
      </c>
      <c r="C209" s="247"/>
    </row>
    <row r="210" spans="1:3">
      <c r="A210" s="245" t="s">
        <v>5196</v>
      </c>
      <c r="B210" s="246">
        <v>3445</v>
      </c>
      <c r="C210" s="247"/>
    </row>
    <row r="211" spans="1:3">
      <c r="A211" s="245" t="s">
        <v>5196</v>
      </c>
      <c r="B211" s="246">
        <v>3446</v>
      </c>
      <c r="C211" s="247"/>
    </row>
    <row r="212" spans="1:3">
      <c r="A212" s="245" t="s">
        <v>5196</v>
      </c>
      <c r="B212" s="246">
        <v>3448</v>
      </c>
      <c r="C212" s="247"/>
    </row>
    <row r="213" spans="1:3">
      <c r="A213" s="245" t="s">
        <v>5196</v>
      </c>
      <c r="B213" s="246">
        <v>3449</v>
      </c>
      <c r="C213" s="247"/>
    </row>
    <row r="214" spans="1:3">
      <c r="A214" s="245" t="s">
        <v>5196</v>
      </c>
      <c r="B214" s="246">
        <v>3450</v>
      </c>
      <c r="C214" s="247"/>
    </row>
    <row r="215" spans="1:3">
      <c r="A215" s="245" t="s">
        <v>5196</v>
      </c>
      <c r="B215" s="246">
        <v>3453</v>
      </c>
      <c r="C215" s="247"/>
    </row>
    <row r="216" spans="1:3">
      <c r="A216" s="245" t="s">
        <v>5196</v>
      </c>
      <c r="B216" s="246">
        <v>3454</v>
      </c>
      <c r="C216" s="247"/>
    </row>
    <row r="217" spans="1:3">
      <c r="A217" s="245" t="s">
        <v>5196</v>
      </c>
      <c r="B217" s="246">
        <v>3455</v>
      </c>
      <c r="C217" s="247"/>
    </row>
    <row r="218" spans="1:3">
      <c r="A218" s="245" t="s">
        <v>5196</v>
      </c>
      <c r="B218" s="246">
        <v>3456</v>
      </c>
      <c r="C218" s="247"/>
    </row>
    <row r="219" spans="1:3">
      <c r="A219" s="245" t="s">
        <v>5196</v>
      </c>
      <c r="B219" s="246">
        <v>3457</v>
      </c>
      <c r="C219" s="247"/>
    </row>
    <row r="220" spans="1:3">
      <c r="A220" s="245" t="s">
        <v>5196</v>
      </c>
      <c r="B220" s="246">
        <v>3458</v>
      </c>
      <c r="C220" s="247"/>
    </row>
    <row r="221" spans="1:3" ht="120">
      <c r="A221" s="245" t="s">
        <v>5318</v>
      </c>
      <c r="B221" s="246">
        <v>3476</v>
      </c>
      <c r="C221" s="247"/>
    </row>
    <row r="222" spans="1:3" ht="72">
      <c r="A222" s="245" t="s">
        <v>5317</v>
      </c>
      <c r="B222" s="246">
        <v>3478</v>
      </c>
      <c r="C222" s="247"/>
    </row>
    <row r="223" spans="1:3" ht="48">
      <c r="A223" s="245" t="s">
        <v>5319</v>
      </c>
      <c r="B223" s="246">
        <v>3478</v>
      </c>
      <c r="C223" s="247"/>
    </row>
    <row r="224" spans="1:3" ht="72">
      <c r="A224" s="245" t="s">
        <v>5317</v>
      </c>
      <c r="B224" s="246">
        <v>3479</v>
      </c>
      <c r="C224" s="247"/>
    </row>
    <row r="225" spans="1:3" ht="72">
      <c r="A225" s="245" t="s">
        <v>5317</v>
      </c>
      <c r="B225" s="246">
        <v>3480</v>
      </c>
      <c r="C225" s="247"/>
    </row>
    <row r="226" spans="1:3" ht="24">
      <c r="A226" s="245" t="s">
        <v>5357</v>
      </c>
      <c r="B226" s="246">
        <v>3486</v>
      </c>
      <c r="C226" s="247"/>
    </row>
    <row r="227" spans="1:3" ht="24">
      <c r="A227" s="245" t="s">
        <v>5625</v>
      </c>
      <c r="B227" s="246">
        <v>3503</v>
      </c>
      <c r="C227" s="247"/>
    </row>
    <row r="228" spans="1:3">
      <c r="A228" s="245" t="s">
        <v>5626</v>
      </c>
      <c r="B228" s="246">
        <v>3503</v>
      </c>
      <c r="C228" s="247"/>
    </row>
    <row r="229" spans="1:3" ht="24">
      <c r="A229" s="245" t="s">
        <v>5627</v>
      </c>
      <c r="B229" s="246">
        <v>3504</v>
      </c>
      <c r="C229" s="247"/>
    </row>
    <row r="230" spans="1:3">
      <c r="A230" s="245" t="s">
        <v>5628</v>
      </c>
      <c r="B230" s="246">
        <v>3504</v>
      </c>
      <c r="C230" s="247"/>
    </row>
    <row r="231" spans="1:3" ht="24">
      <c r="A231" s="245" t="s">
        <v>5629</v>
      </c>
      <c r="B231" s="246">
        <v>3505</v>
      </c>
      <c r="C231" s="247"/>
    </row>
    <row r="232" spans="1:3">
      <c r="A232" s="245" t="s">
        <v>5630</v>
      </c>
      <c r="B232" s="246">
        <v>3505</v>
      </c>
      <c r="C232" s="247"/>
    </row>
    <row r="233" spans="1:3" ht="72">
      <c r="A233" s="245" t="s">
        <v>5615</v>
      </c>
      <c r="B233" s="246">
        <v>3543</v>
      </c>
      <c r="C233" s="247"/>
    </row>
    <row r="234" spans="1:3" ht="72">
      <c r="A234" s="245" t="s">
        <v>5615</v>
      </c>
      <c r="B234" s="246">
        <v>3545</v>
      </c>
      <c r="C234" s="247"/>
    </row>
    <row r="235" spans="1:3" ht="72">
      <c r="A235" s="245" t="s">
        <v>5615</v>
      </c>
      <c r="B235" s="246">
        <v>3546</v>
      </c>
      <c r="C235" s="247"/>
    </row>
    <row r="236" spans="1:3" ht="24">
      <c r="A236" s="245" t="s">
        <v>5890</v>
      </c>
      <c r="B236" s="246">
        <v>3559</v>
      </c>
      <c r="C236" s="247"/>
    </row>
    <row r="237" spans="1:3" ht="84">
      <c r="A237" s="245" t="s">
        <v>5894</v>
      </c>
      <c r="B237" s="246">
        <v>3577</v>
      </c>
      <c r="C237" s="247"/>
    </row>
    <row r="238" spans="1:3" ht="24">
      <c r="A238" s="245" t="s">
        <v>4998</v>
      </c>
      <c r="B238" s="246">
        <v>3394</v>
      </c>
      <c r="C238" s="247"/>
    </row>
    <row r="239" spans="1:3" ht="24">
      <c r="A239" s="245" t="s">
        <v>191</v>
      </c>
      <c r="B239" s="246">
        <v>3254</v>
      </c>
      <c r="C239" s="247"/>
    </row>
    <row r="240" spans="1:3" ht="36">
      <c r="A240" s="245" t="s">
        <v>190</v>
      </c>
      <c r="B240" s="246">
        <v>3254</v>
      </c>
      <c r="C240" s="247"/>
    </row>
    <row r="241" spans="1:3" ht="24">
      <c r="A241" s="245" t="s">
        <v>199</v>
      </c>
      <c r="B241" s="246">
        <v>3282</v>
      </c>
      <c r="C241" s="247"/>
    </row>
    <row r="242" spans="1:3" ht="36">
      <c r="A242" s="245" t="s">
        <v>190</v>
      </c>
      <c r="B242" s="246">
        <v>3270</v>
      </c>
      <c r="C242" s="247"/>
    </row>
    <row r="243" spans="1:3">
      <c r="A243" s="245" t="s">
        <v>201</v>
      </c>
      <c r="B243" s="246">
        <v>3339</v>
      </c>
      <c r="C243" s="247"/>
    </row>
    <row r="244" spans="1:3">
      <c r="A244" s="245" t="s">
        <v>201</v>
      </c>
      <c r="B244" s="246">
        <v>3340</v>
      </c>
      <c r="C244" s="247"/>
    </row>
    <row r="245" spans="1:3" ht="96">
      <c r="A245" s="245" t="s">
        <v>5320</v>
      </c>
      <c r="B245" s="246">
        <v>3359</v>
      </c>
      <c r="C245" s="247"/>
    </row>
    <row r="246" spans="1:3" ht="24">
      <c r="A246" s="245" t="s">
        <v>5321</v>
      </c>
      <c r="B246" s="246">
        <v>3359</v>
      </c>
      <c r="C246" s="247"/>
    </row>
    <row r="247" spans="1:3" ht="108">
      <c r="A247" s="245" t="s">
        <v>5322</v>
      </c>
      <c r="B247" s="246">
        <v>3359</v>
      </c>
      <c r="C247" s="247"/>
    </row>
    <row r="248" spans="1:3" ht="24">
      <c r="A248" s="245" t="s">
        <v>4998</v>
      </c>
      <c r="B248" s="246">
        <v>3396</v>
      </c>
      <c r="C248" s="247"/>
    </row>
    <row r="249" spans="1:3" ht="36">
      <c r="A249" s="245" t="s">
        <v>5204</v>
      </c>
      <c r="B249" s="246">
        <v>3408</v>
      </c>
      <c r="C249" s="247"/>
    </row>
    <row r="250" spans="1:3">
      <c r="A250" s="245" t="s">
        <v>5205</v>
      </c>
      <c r="B250" s="246">
        <v>3419</v>
      </c>
      <c r="C250" s="247"/>
    </row>
    <row r="251" spans="1:3" ht="24">
      <c r="A251" s="245" t="s">
        <v>5879</v>
      </c>
      <c r="B251" s="246">
        <v>3422</v>
      </c>
      <c r="C251" s="247"/>
    </row>
    <row r="252" spans="1:3" ht="24">
      <c r="A252" s="245" t="s">
        <v>5206</v>
      </c>
      <c r="B252" s="246">
        <v>3424</v>
      </c>
      <c r="C252" s="247"/>
    </row>
    <row r="253" spans="1:3" ht="24">
      <c r="A253" s="245" t="s">
        <v>5206</v>
      </c>
      <c r="B253" s="246">
        <v>3423</v>
      </c>
      <c r="C253" s="247"/>
    </row>
    <row r="254" spans="1:3">
      <c r="A254" s="245" t="s">
        <v>5631</v>
      </c>
      <c r="B254" s="246">
        <v>3501</v>
      </c>
      <c r="C254" s="247"/>
    </row>
    <row r="255" spans="1:3">
      <c r="A255" s="245" t="s">
        <v>5631</v>
      </c>
      <c r="B255" s="246">
        <v>3502</v>
      </c>
      <c r="C255" s="247"/>
    </row>
    <row r="256" spans="1:3">
      <c r="A256" s="245" t="s">
        <v>5605</v>
      </c>
      <c r="B256" s="246">
        <v>3499</v>
      </c>
      <c r="C256" s="247"/>
    </row>
    <row r="257" spans="1:3" ht="24">
      <c r="A257" s="245" t="s">
        <v>5632</v>
      </c>
      <c r="B257" s="246">
        <v>3444</v>
      </c>
      <c r="C257" s="247"/>
    </row>
    <row r="258" spans="1:3" ht="24">
      <c r="A258" s="245" t="s">
        <v>5632</v>
      </c>
      <c r="B258" s="246">
        <v>3445</v>
      </c>
      <c r="C258" s="247"/>
    </row>
    <row r="259" spans="1:3" ht="24">
      <c r="A259" s="245" t="s">
        <v>5632</v>
      </c>
      <c r="B259" s="246">
        <v>3446</v>
      </c>
      <c r="C259" s="247"/>
    </row>
    <row r="260" spans="1:3" ht="24">
      <c r="A260" s="245" t="s">
        <v>5324</v>
      </c>
      <c r="B260" s="246">
        <v>3542</v>
      </c>
      <c r="C260" s="247"/>
    </row>
    <row r="261" spans="1:3">
      <c r="A261" s="245" t="s">
        <v>192</v>
      </c>
      <c r="B261" s="246">
        <v>3263</v>
      </c>
      <c r="C261" s="247"/>
    </row>
    <row r="262" spans="1:3">
      <c r="A262" s="245" t="s">
        <v>193</v>
      </c>
      <c r="B262" s="246">
        <v>3263</v>
      </c>
      <c r="C262" s="247"/>
    </row>
    <row r="263" spans="1:3">
      <c r="A263" s="245" t="s">
        <v>5633</v>
      </c>
      <c r="B263" s="246">
        <v>3511</v>
      </c>
      <c r="C263" s="247"/>
    </row>
    <row r="264" spans="1:3">
      <c r="A264" s="245" t="s">
        <v>5634</v>
      </c>
      <c r="B264" s="246">
        <v>3511</v>
      </c>
      <c r="C264" s="247"/>
    </row>
    <row r="265" spans="1:3" ht="24">
      <c r="A265" s="245" t="s">
        <v>5635</v>
      </c>
      <c r="B265" s="246">
        <v>3512</v>
      </c>
      <c r="C265" s="247"/>
    </row>
    <row r="266" spans="1:3" ht="24">
      <c r="A266" s="245" t="s">
        <v>5636</v>
      </c>
      <c r="B266" s="246">
        <v>3513</v>
      </c>
      <c r="C266" s="247"/>
    </row>
    <row r="267" spans="1:3">
      <c r="A267" s="245" t="s">
        <v>5895</v>
      </c>
      <c r="B267" s="246">
        <v>3561</v>
      </c>
      <c r="C267" s="247"/>
    </row>
    <row r="268" spans="1:3">
      <c r="A268" s="245" t="s">
        <v>5896</v>
      </c>
      <c r="B268" s="246">
        <v>3563</v>
      </c>
      <c r="C268" s="247"/>
    </row>
    <row r="269" spans="1:3">
      <c r="A269" s="245" t="s">
        <v>5888</v>
      </c>
      <c r="B269" s="246">
        <v>3574</v>
      </c>
      <c r="C269" s="247"/>
    </row>
    <row r="270" spans="1:3" ht="24">
      <c r="A270" s="245" t="s">
        <v>5897</v>
      </c>
      <c r="B270" s="246">
        <v>3580</v>
      </c>
      <c r="C270" s="247"/>
    </row>
    <row r="271" spans="1:3">
      <c r="A271" s="245" t="s">
        <v>192</v>
      </c>
      <c r="B271" s="246">
        <v>3274</v>
      </c>
      <c r="C271" s="247"/>
    </row>
    <row r="272" spans="1:3">
      <c r="A272" s="245" t="s">
        <v>193</v>
      </c>
      <c r="B272" s="246">
        <v>3274</v>
      </c>
      <c r="C272" s="247"/>
    </row>
    <row r="273" spans="1:3">
      <c r="A273" s="245" t="s">
        <v>192</v>
      </c>
      <c r="B273" s="246">
        <v>3278</v>
      </c>
      <c r="C273" s="247"/>
    </row>
    <row r="274" spans="1:3">
      <c r="A274" s="245" t="s">
        <v>193</v>
      </c>
      <c r="B274" s="246">
        <v>3278</v>
      </c>
      <c r="C274" s="247"/>
    </row>
    <row r="275" spans="1:3">
      <c r="A275" s="245" t="s">
        <v>201</v>
      </c>
      <c r="B275" s="246">
        <v>3344</v>
      </c>
      <c r="C275" s="247"/>
    </row>
    <row r="276" spans="1:3">
      <c r="A276" s="245" t="s">
        <v>203</v>
      </c>
      <c r="B276" s="246">
        <v>3358</v>
      </c>
      <c r="C276" s="247"/>
    </row>
    <row r="277" spans="1:3" ht="24">
      <c r="A277" s="245" t="s">
        <v>4998</v>
      </c>
      <c r="B277" s="246">
        <v>3389</v>
      </c>
      <c r="C277" s="247"/>
    </row>
    <row r="278" spans="1:3">
      <c r="A278" s="245" t="s">
        <v>5000</v>
      </c>
      <c r="B278" s="246">
        <v>3359</v>
      </c>
      <c r="C278" s="247"/>
    </row>
    <row r="279" spans="1:3" ht="24">
      <c r="A279" s="245" t="s">
        <v>5189</v>
      </c>
      <c r="B279" s="246">
        <v>3409</v>
      </c>
      <c r="C279" s="247"/>
    </row>
    <row r="280" spans="1:3">
      <c r="A280" s="245" t="s">
        <v>5196</v>
      </c>
      <c r="B280" s="246">
        <v>3417</v>
      </c>
      <c r="C280" s="247"/>
    </row>
    <row r="281" spans="1:3" ht="24">
      <c r="A281" s="245" t="s">
        <v>5308</v>
      </c>
      <c r="B281" s="246">
        <v>3464</v>
      </c>
      <c r="C281" s="247"/>
    </row>
    <row r="282" spans="1:3" ht="24">
      <c r="A282" s="245" t="s">
        <v>5637</v>
      </c>
      <c r="B282" s="246">
        <v>3473</v>
      </c>
      <c r="C282" s="247"/>
    </row>
    <row r="283" spans="1:3">
      <c r="A283" s="245" t="s">
        <v>5638</v>
      </c>
      <c r="B283" s="246">
        <v>3503</v>
      </c>
      <c r="C283" s="247"/>
    </row>
    <row r="284" spans="1:3">
      <c r="A284" s="245" t="s">
        <v>5639</v>
      </c>
      <c r="B284" s="246">
        <v>3504</v>
      </c>
      <c r="C284" s="247"/>
    </row>
    <row r="285" spans="1:3">
      <c r="A285" s="245" t="s">
        <v>5640</v>
      </c>
      <c r="B285" s="246">
        <v>3505</v>
      </c>
      <c r="C285" s="247"/>
    </row>
    <row r="286" spans="1:3" ht="24">
      <c r="A286" s="245" t="s">
        <v>5641</v>
      </c>
      <c r="B286" s="246">
        <v>3339</v>
      </c>
      <c r="C286" s="247"/>
    </row>
    <row r="287" spans="1:3" ht="24">
      <c r="A287" s="245" t="s">
        <v>5641</v>
      </c>
      <c r="B287" s="246">
        <v>3340</v>
      </c>
      <c r="C287" s="247"/>
    </row>
    <row r="288" spans="1:3" ht="24">
      <c r="A288" s="245" t="s">
        <v>5642</v>
      </c>
      <c r="B288" s="246">
        <v>3509</v>
      </c>
      <c r="C288" s="247"/>
    </row>
    <row r="289" spans="1:3" ht="36">
      <c r="A289" s="245" t="s">
        <v>5614</v>
      </c>
      <c r="B289" s="246">
        <v>3509</v>
      </c>
      <c r="C289" s="247"/>
    </row>
    <row r="290" spans="1:3" ht="120">
      <c r="A290" s="245" t="s">
        <v>5318</v>
      </c>
      <c r="B290" s="246">
        <v>3485</v>
      </c>
      <c r="C290" s="247"/>
    </row>
    <row r="291" spans="1:3" ht="120">
      <c r="A291" s="245" t="s">
        <v>5318</v>
      </c>
      <c r="B291" s="246">
        <v>3495</v>
      </c>
      <c r="C291" s="247"/>
    </row>
    <row r="292" spans="1:3" ht="24">
      <c r="A292" s="245" t="s">
        <v>5898</v>
      </c>
      <c r="B292" s="246">
        <v>3577</v>
      </c>
      <c r="C292" s="247"/>
    </row>
    <row r="293" spans="1:3" ht="24">
      <c r="A293" s="245" t="s">
        <v>5919</v>
      </c>
      <c r="B293" s="246">
        <v>3559</v>
      </c>
      <c r="C293" s="247"/>
    </row>
    <row r="294" spans="1:3" ht="48">
      <c r="A294" s="245" t="s">
        <v>232</v>
      </c>
      <c r="B294" s="246">
        <v>3001</v>
      </c>
      <c r="C294" s="247"/>
    </row>
    <row r="295" spans="1:3" ht="60">
      <c r="A295" s="245" t="s">
        <v>233</v>
      </c>
      <c r="B295" s="246">
        <v>3001</v>
      </c>
      <c r="C295" s="247"/>
    </row>
    <row r="296" spans="1:3" ht="60">
      <c r="A296" s="245" t="s">
        <v>5207</v>
      </c>
      <c r="B296" s="246">
        <v>3418</v>
      </c>
      <c r="C296" s="247"/>
    </row>
    <row r="297" spans="1:3" ht="24">
      <c r="A297" s="245" t="s">
        <v>5208</v>
      </c>
      <c r="B297" s="246">
        <v>3419</v>
      </c>
      <c r="C297" s="247"/>
    </row>
    <row r="298" spans="1:3" ht="204">
      <c r="A298" s="245" t="s">
        <v>5323</v>
      </c>
      <c r="B298" s="246">
        <v>3359</v>
      </c>
      <c r="C298" s="247"/>
    </row>
    <row r="299" spans="1:3" ht="48">
      <c r="A299" s="245" t="s">
        <v>230</v>
      </c>
      <c r="B299" s="246">
        <v>3372</v>
      </c>
      <c r="C299" s="247"/>
    </row>
    <row r="300" spans="1:3" ht="48">
      <c r="A300" s="245" t="s">
        <v>229</v>
      </c>
      <c r="B300" s="246">
        <v>3369</v>
      </c>
      <c r="C300" s="247"/>
    </row>
    <row r="301" spans="1:3" ht="48">
      <c r="A301" s="245" t="s">
        <v>231</v>
      </c>
      <c r="B301" s="246">
        <v>3374</v>
      </c>
      <c r="C301" s="247"/>
    </row>
    <row r="302" spans="1:3" ht="72">
      <c r="A302" s="245" t="s">
        <v>5317</v>
      </c>
      <c r="B302" s="246">
        <v>3477</v>
      </c>
      <c r="C302" s="247"/>
    </row>
    <row r="303" spans="1:3" ht="24">
      <c r="A303" s="245" t="s">
        <v>5324</v>
      </c>
      <c r="B303" s="246">
        <v>3477</v>
      </c>
      <c r="C303" s="247"/>
    </row>
    <row r="304" spans="1:3" ht="72">
      <c r="A304" s="245" t="s">
        <v>5615</v>
      </c>
      <c r="B304" s="246">
        <v>3581</v>
      </c>
      <c r="C304" s="247"/>
    </row>
    <row r="305" spans="1:3" ht="36">
      <c r="A305" s="245" t="s">
        <v>5325</v>
      </c>
      <c r="B305" s="246">
        <v>3476</v>
      </c>
      <c r="C305" s="247"/>
    </row>
    <row r="306" spans="1:3" ht="36">
      <c r="A306" s="245" t="s">
        <v>5325</v>
      </c>
      <c r="B306" s="246">
        <v>3551</v>
      </c>
      <c r="C306" s="247"/>
    </row>
    <row r="307" spans="1:3" ht="24">
      <c r="A307" s="245" t="s">
        <v>5643</v>
      </c>
      <c r="B307" s="246">
        <v>3509</v>
      </c>
      <c r="C307" s="247"/>
    </row>
    <row r="308" spans="1:3" ht="24">
      <c r="A308" s="245" t="s">
        <v>5899</v>
      </c>
      <c r="B308" s="246">
        <v>3358</v>
      </c>
      <c r="C308" s="247"/>
    </row>
    <row r="309" spans="1:3" ht="24">
      <c r="A309" s="245" t="s">
        <v>5900</v>
      </c>
      <c r="B309" s="246">
        <v>3577</v>
      </c>
      <c r="C309" s="247"/>
    </row>
    <row r="310" spans="1:3" ht="36">
      <c r="A310" s="245" t="s">
        <v>5901</v>
      </c>
      <c r="B310" s="246">
        <v>3577</v>
      </c>
      <c r="C310" s="247"/>
    </row>
    <row r="311" spans="1:3" ht="24">
      <c r="A311" s="245" t="s">
        <v>5902</v>
      </c>
      <c r="B311" s="246">
        <v>3577</v>
      </c>
      <c r="C311" s="247"/>
    </row>
    <row r="312" spans="1:3">
      <c r="A312" s="245" t="s">
        <v>192</v>
      </c>
      <c r="B312" s="246">
        <v>3264</v>
      </c>
      <c r="C312" s="247"/>
    </row>
    <row r="313" spans="1:3">
      <c r="A313" s="245" t="s">
        <v>193</v>
      </c>
      <c r="B313" s="246">
        <v>3264</v>
      </c>
      <c r="C313" s="247"/>
    </row>
    <row r="314" spans="1:3">
      <c r="A314" s="245" t="s">
        <v>5903</v>
      </c>
      <c r="B314" s="246">
        <v>3560</v>
      </c>
      <c r="C314" s="247"/>
    </row>
    <row r="315" spans="1:3">
      <c r="A315" s="245" t="s">
        <v>5904</v>
      </c>
      <c r="B315" s="246">
        <v>3562</v>
      </c>
      <c r="C315" s="247"/>
    </row>
    <row r="316" spans="1:3">
      <c r="A316" s="248"/>
      <c r="C316" s="19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9">
    <tabColor rgb="FF00B050"/>
  </sheetPr>
  <dimension ref="D2:E34"/>
  <sheetViews>
    <sheetView tabSelected="1" zoomScale="120" zoomScaleNormal="120" workbookViewId="0">
      <selection activeCell="M26" sqref="M26"/>
    </sheetView>
  </sheetViews>
  <sheetFormatPr defaultRowHeight="12.75"/>
  <sheetData>
    <row r="2" spans="4:5">
      <c r="D2" t="s">
        <v>5060</v>
      </c>
    </row>
    <row r="3" spans="4:5">
      <c r="D3" t="s">
        <v>4912</v>
      </c>
    </row>
    <row r="4" spans="4:5">
      <c r="D4" t="s">
        <v>4913</v>
      </c>
    </row>
    <row r="5" spans="4:5">
      <c r="D5" t="s">
        <v>4914</v>
      </c>
    </row>
    <row r="6" spans="4:5">
      <c r="E6" t="s">
        <v>4915</v>
      </c>
    </row>
    <row r="7" spans="4:5">
      <c r="E7" t="s">
        <v>4916</v>
      </c>
    </row>
    <row r="8" spans="4:5">
      <c r="E8" t="s">
        <v>4917</v>
      </c>
    </row>
    <row r="9" spans="4:5">
      <c r="D9" t="s">
        <v>4918</v>
      </c>
    </row>
    <row r="10" spans="4:5">
      <c r="D10" t="s">
        <v>4919</v>
      </c>
    </row>
    <row r="11" spans="4:5">
      <c r="D11" t="s">
        <v>4920</v>
      </c>
    </row>
    <row r="12" spans="4:5">
      <c r="D12" t="s">
        <v>5061</v>
      </c>
    </row>
    <row r="13" spans="4:5">
      <c r="D13" t="s">
        <v>5062</v>
      </c>
    </row>
    <row r="14" spans="4:5">
      <c r="E14" t="s">
        <v>5063</v>
      </c>
    </row>
    <row r="15" spans="4:5">
      <c r="E15" t="s">
        <v>5064</v>
      </c>
    </row>
    <row r="16" spans="4:5">
      <c r="D16" t="s">
        <v>5065</v>
      </c>
    </row>
    <row r="17" spans="4:5">
      <c r="E17" t="s">
        <v>4921</v>
      </c>
    </row>
    <row r="18" spans="4:5">
      <c r="E18" t="s">
        <v>4922</v>
      </c>
    </row>
    <row r="19" spans="4:5">
      <c r="E19" t="s">
        <v>4923</v>
      </c>
    </row>
    <row r="20" spans="4:5">
      <c r="D20" t="s">
        <v>4924</v>
      </c>
    </row>
    <row r="21" spans="4:5">
      <c r="D21" t="s">
        <v>4925</v>
      </c>
    </row>
    <row r="22" spans="4:5">
      <c r="D22" t="s">
        <v>4926</v>
      </c>
    </row>
    <row r="24" spans="4:5">
      <c r="D24" t="s">
        <v>5066</v>
      </c>
    </row>
    <row r="25" spans="4:5">
      <c r="D25" t="s">
        <v>5067</v>
      </c>
    </row>
    <row r="26" spans="4:5">
      <c r="D26" t="s">
        <v>5070</v>
      </c>
    </row>
    <row r="27" spans="4:5">
      <c r="E27" t="s">
        <v>5068</v>
      </c>
    </row>
    <row r="28" spans="4:5">
      <c r="E28" t="s">
        <v>4916</v>
      </c>
    </row>
    <row r="29" spans="4:5">
      <c r="E29" t="s">
        <v>5069</v>
      </c>
    </row>
    <row r="30" spans="4:5">
      <c r="D30" t="s">
        <v>5071</v>
      </c>
    </row>
    <row r="31" spans="4:5">
      <c r="D31" t="s">
        <v>5072</v>
      </c>
    </row>
    <row r="32" spans="4:5">
      <c r="D32" t="s">
        <v>5073</v>
      </c>
    </row>
    <row r="33" spans="4:4">
      <c r="D33" t="s">
        <v>5074</v>
      </c>
    </row>
    <row r="34" spans="4:4">
      <c r="D34" t="s">
        <v>5075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nfigButton">
          <controlPr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2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051" r:id="rId4" name="ConfigButton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initializeData">
            <anchor moveWithCells="1" sizeWithCells="1">
              <from>
                <xdr:col>0</xdr:col>
                <xdr:colOff>0</xdr:colOff>
                <xdr:row>4</xdr:row>
                <xdr:rowOff>9525</xdr:rowOff>
              </from>
              <to>
                <xdr:col>1</xdr:col>
                <xdr:colOff>609600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"/>
  <dimension ref="A1:AH25"/>
  <sheetViews>
    <sheetView zoomScale="160" zoomScaleNormal="160" workbookViewId="0">
      <pane xSplit="4" ySplit="2" topLeftCell="R3" activePane="bottomRight" state="frozen"/>
      <selection pane="topRight" activeCell="E1" sqref="E1"/>
      <selection pane="bottomLeft" activeCell="A3" sqref="A3"/>
      <selection pane="bottomRight" activeCell="C21" sqref="C21"/>
    </sheetView>
  </sheetViews>
  <sheetFormatPr defaultColWidth="8.85546875" defaultRowHeight="12.75"/>
  <cols>
    <col min="1" max="1" width="7.85546875" style="45" bestFit="1" customWidth="1"/>
    <col min="2" max="2" width="21.42578125" style="45" customWidth="1"/>
    <col min="3" max="3" width="8.85546875" style="45"/>
    <col min="4" max="4" width="9.5703125" style="45" customWidth="1"/>
    <col min="5" max="33" width="6.7109375" style="45" customWidth="1"/>
    <col min="34" max="34" width="9.140625" style="45" customWidth="1"/>
    <col min="35" max="16384" width="8.85546875" style="45"/>
  </cols>
  <sheetData>
    <row r="1" spans="1:34">
      <c r="A1" s="416"/>
      <c r="B1" s="416"/>
      <c r="C1" s="416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</row>
    <row r="2" spans="1:34">
      <c r="A2" s="418"/>
      <c r="B2" s="418"/>
      <c r="C2" s="418"/>
      <c r="D2" s="49">
        <v>1</v>
      </c>
      <c r="E2" s="49">
        <v>2</v>
      </c>
      <c r="F2" s="49">
        <v>3</v>
      </c>
      <c r="G2" s="49">
        <v>4</v>
      </c>
      <c r="H2" s="49">
        <v>5</v>
      </c>
      <c r="I2" s="49">
        <v>6</v>
      </c>
      <c r="J2" s="49">
        <v>7</v>
      </c>
      <c r="K2" s="49">
        <v>8</v>
      </c>
      <c r="L2" s="49">
        <v>9</v>
      </c>
      <c r="M2" s="49">
        <v>10</v>
      </c>
      <c r="N2" s="49">
        <v>11</v>
      </c>
      <c r="O2" s="49">
        <v>12</v>
      </c>
      <c r="P2" s="49">
        <v>13</v>
      </c>
      <c r="Q2" s="49">
        <v>14</v>
      </c>
      <c r="R2" s="49">
        <v>15</v>
      </c>
      <c r="S2" s="49">
        <v>16</v>
      </c>
      <c r="T2" s="49">
        <v>17</v>
      </c>
      <c r="U2" s="49">
        <v>18</v>
      </c>
      <c r="V2" s="49">
        <v>19</v>
      </c>
      <c r="W2" s="49">
        <v>20</v>
      </c>
      <c r="X2" s="49">
        <v>21</v>
      </c>
      <c r="Y2" s="49">
        <v>22</v>
      </c>
      <c r="Z2" s="49">
        <v>23</v>
      </c>
      <c r="AA2" s="49">
        <v>24</v>
      </c>
      <c r="AB2" s="49">
        <v>25</v>
      </c>
      <c r="AC2" s="49">
        <v>26</v>
      </c>
      <c r="AD2" s="49">
        <v>27</v>
      </c>
      <c r="AE2" s="49">
        <v>28</v>
      </c>
      <c r="AF2" s="49">
        <v>29</v>
      </c>
      <c r="AG2" s="49">
        <v>30</v>
      </c>
      <c r="AH2" s="49">
        <v>31</v>
      </c>
    </row>
    <row r="3" spans="1:34">
      <c r="A3" s="410" t="s">
        <v>2</v>
      </c>
      <c r="B3" s="411"/>
      <c r="C3" s="412"/>
      <c r="D3" s="50">
        <v>0</v>
      </c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1">
        <f>Timing0!E10</f>
        <v>30658.103000000003</v>
      </c>
    </row>
    <row r="4" spans="1:34">
      <c r="A4" s="410" t="s">
        <v>1</v>
      </c>
      <c r="B4" s="411"/>
      <c r="C4" s="412"/>
      <c r="D4" s="52">
        <f>AH3/C22</f>
        <v>1459.9096666666669</v>
      </c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4"/>
      <c r="AH4" s="52">
        <f>D4</f>
        <v>1459.9096666666669</v>
      </c>
    </row>
    <row r="5" spans="1:34">
      <c r="A5" s="410" t="s">
        <v>14</v>
      </c>
      <c r="B5" s="411"/>
      <c r="C5" s="412"/>
      <c r="D5" s="55">
        <v>0</v>
      </c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4"/>
      <c r="AH5" s="55"/>
    </row>
    <row r="6" spans="1:3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>
      <c r="A7" s="410" t="s">
        <v>8</v>
      </c>
      <c r="B7" s="411"/>
      <c r="C7" s="412"/>
      <c r="D7" s="56">
        <v>0</v>
      </c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7">
        <v>1979.6000000000001</v>
      </c>
    </row>
    <row r="8" spans="1:34">
      <c r="A8" s="410" t="s">
        <v>27</v>
      </c>
      <c r="B8" s="411"/>
      <c r="C8" s="412"/>
      <c r="D8" s="56">
        <v>0</v>
      </c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7">
        <v>5125</v>
      </c>
    </row>
    <row r="9" spans="1:34">
      <c r="A9" s="410" t="s">
        <v>0</v>
      </c>
      <c r="B9" s="411"/>
      <c r="C9" s="412"/>
      <c r="D9" s="58">
        <f>AH7/C22</f>
        <v>94.26666666666668</v>
      </c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60">
        <f>D9</f>
        <v>94.26666666666668</v>
      </c>
    </row>
    <row r="10" spans="1:34">
      <c r="A10" s="410" t="s">
        <v>26</v>
      </c>
      <c r="B10" s="411"/>
      <c r="C10" s="412"/>
      <c r="D10" s="58">
        <f>AH8/C22</f>
        <v>244.04761904761904</v>
      </c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60">
        <f>D10</f>
        <v>244.04761904761904</v>
      </c>
    </row>
    <row r="11" spans="1:34">
      <c r="A11" s="413" t="s">
        <v>15</v>
      </c>
      <c r="B11" s="414"/>
      <c r="C11" s="415"/>
      <c r="D11" s="57">
        <v>0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7" t="e">
        <f>#REF!</f>
        <v>#REF!</v>
      </c>
    </row>
    <row r="12" spans="1:34">
      <c r="A12" s="413" t="s">
        <v>16</v>
      </c>
      <c r="B12" s="414"/>
      <c r="C12" s="415"/>
      <c r="D12" s="56">
        <v>0</v>
      </c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7" t="e">
        <f>#REF!</f>
        <v>#REF!</v>
      </c>
    </row>
    <row r="13" spans="1:3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>
      <c r="A14" s="410" t="s">
        <v>3</v>
      </c>
      <c r="B14" s="411"/>
      <c r="C14" s="412"/>
      <c r="D14" s="56">
        <v>650</v>
      </c>
      <c r="E14" s="56">
        <v>650</v>
      </c>
      <c r="F14" s="56">
        <v>650</v>
      </c>
      <c r="G14" s="56">
        <v>650</v>
      </c>
      <c r="H14" s="56">
        <v>650</v>
      </c>
      <c r="I14" s="56">
        <v>650</v>
      </c>
      <c r="J14" s="56">
        <v>650</v>
      </c>
      <c r="K14" s="56">
        <v>650</v>
      </c>
      <c r="L14" s="56">
        <v>650</v>
      </c>
      <c r="M14" s="56">
        <v>650</v>
      </c>
      <c r="N14" s="56">
        <v>650</v>
      </c>
      <c r="O14" s="56">
        <v>650</v>
      </c>
      <c r="P14" s="56">
        <v>650</v>
      </c>
      <c r="Q14" s="56">
        <v>650</v>
      </c>
      <c r="R14" s="56">
        <v>650</v>
      </c>
      <c r="S14" s="56">
        <v>650</v>
      </c>
      <c r="T14" s="56">
        <v>650</v>
      </c>
      <c r="U14" s="56">
        <v>650</v>
      </c>
      <c r="V14" s="56">
        <v>650</v>
      </c>
      <c r="W14" s="56">
        <v>650</v>
      </c>
      <c r="X14" s="56">
        <v>650</v>
      </c>
      <c r="Y14" s="56">
        <v>650</v>
      </c>
      <c r="Z14" s="56">
        <v>650</v>
      </c>
      <c r="AA14" s="56">
        <v>650</v>
      </c>
      <c r="AB14" s="56">
        <v>650</v>
      </c>
      <c r="AC14" s="56">
        <v>650</v>
      </c>
      <c r="AD14" s="56">
        <v>650</v>
      </c>
      <c r="AE14" s="56">
        <v>650</v>
      </c>
      <c r="AF14" s="56">
        <v>650</v>
      </c>
      <c r="AG14" s="56">
        <v>650</v>
      </c>
      <c r="AH14" s="57">
        <v>650</v>
      </c>
    </row>
    <row r="15" spans="1:34">
      <c r="A15" s="410" t="s">
        <v>4</v>
      </c>
      <c r="B15" s="411"/>
      <c r="C15" s="412"/>
      <c r="D15" s="56">
        <v>950</v>
      </c>
      <c r="E15" s="56">
        <v>950</v>
      </c>
      <c r="F15" s="56">
        <v>950</v>
      </c>
      <c r="G15" s="56">
        <v>950</v>
      </c>
      <c r="H15" s="56">
        <v>950</v>
      </c>
      <c r="I15" s="56">
        <v>950</v>
      </c>
      <c r="J15" s="56">
        <v>950</v>
      </c>
      <c r="K15" s="56">
        <v>950</v>
      </c>
      <c r="L15" s="56">
        <v>950</v>
      </c>
      <c r="M15" s="56">
        <v>950</v>
      </c>
      <c r="N15" s="56">
        <v>950</v>
      </c>
      <c r="O15" s="56">
        <v>950</v>
      </c>
      <c r="P15" s="56">
        <v>950</v>
      </c>
      <c r="Q15" s="56">
        <v>950</v>
      </c>
      <c r="R15" s="56">
        <v>950</v>
      </c>
      <c r="S15" s="56">
        <v>950</v>
      </c>
      <c r="T15" s="56">
        <v>950</v>
      </c>
      <c r="U15" s="56">
        <v>950</v>
      </c>
      <c r="V15" s="56">
        <v>950</v>
      </c>
      <c r="W15" s="56">
        <v>950</v>
      </c>
      <c r="X15" s="56">
        <v>950</v>
      </c>
      <c r="Y15" s="56">
        <v>950</v>
      </c>
      <c r="Z15" s="56">
        <v>950</v>
      </c>
      <c r="AA15" s="56">
        <v>950</v>
      </c>
      <c r="AB15" s="56">
        <v>950</v>
      </c>
      <c r="AC15" s="56">
        <v>950</v>
      </c>
      <c r="AD15" s="56">
        <v>950</v>
      </c>
      <c r="AE15" s="56">
        <v>950</v>
      </c>
      <c r="AF15" s="56">
        <v>950</v>
      </c>
      <c r="AG15" s="56">
        <v>950</v>
      </c>
      <c r="AH15" s="56">
        <v>950</v>
      </c>
    </row>
    <row r="17" spans="1:34">
      <c r="A17" s="410" t="s">
        <v>10</v>
      </c>
      <c r="B17" s="411"/>
      <c r="C17" s="412"/>
      <c r="D17" s="50">
        <v>0</v>
      </c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72">
        <f>AH3</f>
        <v>30658.103000000003</v>
      </c>
    </row>
    <row r="18" spans="1:34">
      <c r="A18" s="410" t="s">
        <v>11</v>
      </c>
      <c r="B18" s="411"/>
      <c r="C18" s="412"/>
      <c r="D18" s="55">
        <v>0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4"/>
      <c r="AH18" s="46"/>
    </row>
    <row r="20" spans="1:34">
      <c r="B20" s="191" t="s">
        <v>4994</v>
      </c>
      <c r="C20" s="193" t="s">
        <v>5813</v>
      </c>
    </row>
    <row r="21" spans="1:34">
      <c r="B21" s="191" t="s">
        <v>4995</v>
      </c>
      <c r="C21" s="193">
        <v>2022</v>
      </c>
    </row>
    <row r="22" spans="1:34">
      <c r="B22" s="47" t="s">
        <v>35</v>
      </c>
      <c r="C22" s="192">
        <v>21</v>
      </c>
    </row>
    <row r="23" spans="1:34">
      <c r="A23" s="48"/>
    </row>
    <row r="24" spans="1:34">
      <c r="A24" s="48"/>
    </row>
    <row r="25" spans="1:34">
      <c r="A25" s="48"/>
    </row>
  </sheetData>
  <mergeCells count="16">
    <mergeCell ref="A1:C1"/>
    <mergeCell ref="D1:M1"/>
    <mergeCell ref="A2:C2"/>
    <mergeCell ref="A3:C3"/>
    <mergeCell ref="A4:C4"/>
    <mergeCell ref="A18:C18"/>
    <mergeCell ref="A5:C5"/>
    <mergeCell ref="A11:C11"/>
    <mergeCell ref="A12:C12"/>
    <mergeCell ref="A14:C14"/>
    <mergeCell ref="A15:C15"/>
    <mergeCell ref="A7:C7"/>
    <mergeCell ref="A9:C9"/>
    <mergeCell ref="A10:C10"/>
    <mergeCell ref="A8:C8"/>
    <mergeCell ref="A17:C17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5"/>
  <dimension ref="A1:B4065"/>
  <sheetViews>
    <sheetView topLeftCell="A3961" workbookViewId="0">
      <selection activeCell="L3909" sqref="L3909"/>
    </sheetView>
  </sheetViews>
  <sheetFormatPr defaultRowHeight="12.75"/>
  <sheetData>
    <row r="1" spans="1:2">
      <c r="A1" t="s">
        <v>4550</v>
      </c>
      <c r="B1" t="s">
        <v>4551</v>
      </c>
    </row>
    <row r="2" spans="1:2" ht="13.5">
      <c r="A2" s="168" t="s">
        <v>558</v>
      </c>
      <c r="B2" s="100" t="s">
        <v>96</v>
      </c>
    </row>
    <row r="3" spans="1:2" ht="13.5">
      <c r="A3" s="168" t="s">
        <v>559</v>
      </c>
      <c r="B3" s="100" t="s">
        <v>96</v>
      </c>
    </row>
    <row r="4" spans="1:2" ht="13.5">
      <c r="A4" s="168" t="s">
        <v>560</v>
      </c>
      <c r="B4" s="100" t="s">
        <v>96</v>
      </c>
    </row>
    <row r="5" spans="1:2" ht="13.5">
      <c r="A5" s="169" t="s">
        <v>561</v>
      </c>
      <c r="B5" s="100" t="s">
        <v>4552</v>
      </c>
    </row>
    <row r="6" spans="1:2" ht="13.5">
      <c r="A6" s="169" t="s">
        <v>562</v>
      </c>
      <c r="B6" s="100" t="s">
        <v>4553</v>
      </c>
    </row>
    <row r="7" spans="1:2" ht="13.5">
      <c r="A7" s="169" t="s">
        <v>563</v>
      </c>
      <c r="B7" s="100" t="s">
        <v>4552</v>
      </c>
    </row>
    <row r="8" spans="1:2" ht="13.5">
      <c r="A8" s="169" t="s">
        <v>564</v>
      </c>
      <c r="B8" s="100" t="s">
        <v>4554</v>
      </c>
    </row>
    <row r="9" spans="1:2" ht="13.5">
      <c r="A9" s="169" t="s">
        <v>565</v>
      </c>
      <c r="B9" s="100" t="s">
        <v>4552</v>
      </c>
    </row>
    <row r="10" spans="1:2" ht="13.5">
      <c r="A10" s="168" t="s">
        <v>566</v>
      </c>
      <c r="B10" s="100" t="s">
        <v>4555</v>
      </c>
    </row>
    <row r="11" spans="1:2" ht="13.5">
      <c r="A11" s="169" t="s">
        <v>567</v>
      </c>
      <c r="B11" s="100" t="s">
        <v>4556</v>
      </c>
    </row>
    <row r="12" spans="1:2" ht="13.5">
      <c r="A12" s="168" t="s">
        <v>568</v>
      </c>
      <c r="B12" s="100" t="s">
        <v>4557</v>
      </c>
    </row>
    <row r="13" spans="1:2" ht="13.5">
      <c r="A13" s="168" t="s">
        <v>569</v>
      </c>
      <c r="B13" s="100" t="s">
        <v>79</v>
      </c>
    </row>
    <row r="14" spans="1:2" ht="13.5">
      <c r="A14" s="169" t="s">
        <v>570</v>
      </c>
      <c r="B14" s="100" t="s">
        <v>4552</v>
      </c>
    </row>
    <row r="15" spans="1:2" ht="13.5">
      <c r="A15" s="169" t="s">
        <v>571</v>
      </c>
      <c r="B15" s="100" t="s">
        <v>4552</v>
      </c>
    </row>
    <row r="16" spans="1:2" ht="13.5">
      <c r="A16" s="169" t="s">
        <v>572</v>
      </c>
      <c r="B16" s="100" t="s">
        <v>4552</v>
      </c>
    </row>
    <row r="17" spans="1:2" ht="13.5">
      <c r="A17" s="169" t="s">
        <v>573</v>
      </c>
      <c r="B17" s="100" t="s">
        <v>4552</v>
      </c>
    </row>
    <row r="18" spans="1:2" ht="13.5">
      <c r="A18" s="168" t="s">
        <v>574</v>
      </c>
      <c r="B18" s="100" t="s">
        <v>4558</v>
      </c>
    </row>
    <row r="19" spans="1:2" ht="13.5">
      <c r="A19" s="168" t="s">
        <v>575</v>
      </c>
      <c r="B19" s="100" t="s">
        <v>4558</v>
      </c>
    </row>
    <row r="20" spans="1:2" ht="13.5">
      <c r="A20" s="169" t="s">
        <v>576</v>
      </c>
      <c r="B20" s="100" t="s">
        <v>4559</v>
      </c>
    </row>
    <row r="21" spans="1:2" ht="13.5">
      <c r="A21" s="169" t="s">
        <v>577</v>
      </c>
      <c r="B21" s="100" t="s">
        <v>4552</v>
      </c>
    </row>
    <row r="22" spans="1:2" ht="13.5">
      <c r="A22" s="168" t="s">
        <v>578</v>
      </c>
      <c r="B22" s="100" t="s">
        <v>4558</v>
      </c>
    </row>
    <row r="23" spans="1:2" ht="13.5">
      <c r="A23" s="168" t="s">
        <v>579</v>
      </c>
      <c r="B23" s="100" t="s">
        <v>4560</v>
      </c>
    </row>
    <row r="24" spans="1:2" ht="13.5">
      <c r="A24" s="169" t="s">
        <v>580</v>
      </c>
      <c r="B24" s="100" t="s">
        <v>4552</v>
      </c>
    </row>
    <row r="25" spans="1:2" ht="13.5">
      <c r="A25" s="169" t="s">
        <v>581</v>
      </c>
      <c r="B25" s="100" t="s">
        <v>4552</v>
      </c>
    </row>
    <row r="26" spans="1:2" ht="13.5">
      <c r="A26" s="169" t="s">
        <v>582</v>
      </c>
      <c r="B26" s="100" t="s">
        <v>4552</v>
      </c>
    </row>
    <row r="27" spans="1:2" ht="13.5">
      <c r="A27" s="169" t="s">
        <v>583</v>
      </c>
      <c r="B27" s="100" t="s">
        <v>4552</v>
      </c>
    </row>
    <row r="28" spans="1:2" ht="13.5">
      <c r="A28" s="168" t="s">
        <v>584</v>
      </c>
      <c r="B28" s="100" t="s">
        <v>4558</v>
      </c>
    </row>
    <row r="29" spans="1:2" ht="13.5">
      <c r="A29" s="168" t="s">
        <v>585</v>
      </c>
      <c r="B29" s="100" t="s">
        <v>4558</v>
      </c>
    </row>
    <row r="30" spans="1:2" ht="13.5">
      <c r="A30" s="169" t="s">
        <v>586</v>
      </c>
      <c r="B30" s="100" t="s">
        <v>4552</v>
      </c>
    </row>
    <row r="31" spans="1:2" ht="13.5">
      <c r="A31" s="168" t="s">
        <v>587</v>
      </c>
      <c r="B31" s="100" t="s">
        <v>4558</v>
      </c>
    </row>
    <row r="32" spans="1:2" ht="13.5">
      <c r="A32" s="168" t="s">
        <v>588</v>
      </c>
      <c r="B32" s="100" t="s">
        <v>4558</v>
      </c>
    </row>
    <row r="33" spans="1:2" ht="13.5">
      <c r="A33" s="168" t="s">
        <v>589</v>
      </c>
      <c r="B33" s="100" t="s">
        <v>4558</v>
      </c>
    </row>
    <row r="34" spans="1:2" ht="13.5">
      <c r="A34" s="168" t="s">
        <v>590</v>
      </c>
      <c r="B34" s="100" t="s">
        <v>4561</v>
      </c>
    </row>
    <row r="35" spans="1:2" ht="13.5">
      <c r="A35" s="168" t="s">
        <v>591</v>
      </c>
      <c r="B35" s="100" t="s">
        <v>4562</v>
      </c>
    </row>
    <row r="36" spans="1:2" ht="13.5">
      <c r="A36" s="168" t="s">
        <v>592</v>
      </c>
      <c r="B36" s="100" t="s">
        <v>4558</v>
      </c>
    </row>
    <row r="37" spans="1:2" ht="13.5">
      <c r="A37" s="169" t="s">
        <v>593</v>
      </c>
      <c r="B37" s="100" t="s">
        <v>4552</v>
      </c>
    </row>
    <row r="38" spans="1:2" ht="13.5">
      <c r="A38" s="169" t="s">
        <v>594</v>
      </c>
      <c r="B38" s="100" t="s">
        <v>4552</v>
      </c>
    </row>
    <row r="39" spans="1:2" ht="13.5">
      <c r="A39" s="168" t="s">
        <v>595</v>
      </c>
      <c r="B39" s="100" t="s">
        <v>4558</v>
      </c>
    </row>
    <row r="40" spans="1:2" ht="13.5">
      <c r="A40" s="168" t="s">
        <v>596</v>
      </c>
      <c r="B40" s="100" t="s">
        <v>4558</v>
      </c>
    </row>
    <row r="41" spans="1:2" ht="13.5">
      <c r="A41" s="168" t="s">
        <v>597</v>
      </c>
      <c r="B41" s="100" t="s">
        <v>4558</v>
      </c>
    </row>
    <row r="42" spans="1:2" ht="13.5">
      <c r="A42" s="168" t="s">
        <v>598</v>
      </c>
      <c r="B42" s="100" t="s">
        <v>4558</v>
      </c>
    </row>
    <row r="43" spans="1:2" ht="13.5">
      <c r="A43" s="168" t="s">
        <v>4563</v>
      </c>
      <c r="B43" s="100" t="s">
        <v>4558</v>
      </c>
    </row>
    <row r="44" spans="1:2" ht="13.5">
      <c r="A44" s="168" t="s">
        <v>599</v>
      </c>
      <c r="B44" s="100" t="s">
        <v>4558</v>
      </c>
    </row>
    <row r="45" spans="1:2" ht="13.5">
      <c r="A45" s="168" t="s">
        <v>600</v>
      </c>
      <c r="B45" s="100" t="s">
        <v>4562</v>
      </c>
    </row>
    <row r="46" spans="1:2" ht="13.5">
      <c r="A46" s="169" t="s">
        <v>601</v>
      </c>
      <c r="B46" s="100" t="s">
        <v>4559</v>
      </c>
    </row>
    <row r="47" spans="1:2" ht="13.5">
      <c r="A47" s="168" t="s">
        <v>602</v>
      </c>
      <c r="B47" s="100" t="s">
        <v>4561</v>
      </c>
    </row>
    <row r="48" spans="1:2" ht="13.5">
      <c r="A48" s="169" t="s">
        <v>603</v>
      </c>
      <c r="B48" s="100" t="s">
        <v>4559</v>
      </c>
    </row>
    <row r="49" spans="1:2" ht="13.5">
      <c r="A49" s="168" t="s">
        <v>604</v>
      </c>
      <c r="B49" s="100" t="s">
        <v>4558</v>
      </c>
    </row>
    <row r="50" spans="1:2" ht="13.5">
      <c r="A50" s="168" t="s">
        <v>605</v>
      </c>
      <c r="B50" s="100" t="s">
        <v>4558</v>
      </c>
    </row>
    <row r="51" spans="1:2" ht="13.5">
      <c r="A51" s="168" t="s">
        <v>606</v>
      </c>
      <c r="B51" s="100" t="s">
        <v>4558</v>
      </c>
    </row>
    <row r="52" spans="1:2" ht="13.5">
      <c r="A52" s="168" t="s">
        <v>607</v>
      </c>
      <c r="B52" s="100" t="s">
        <v>4558</v>
      </c>
    </row>
    <row r="53" spans="1:2" ht="13.5">
      <c r="A53" s="168" t="s">
        <v>608</v>
      </c>
      <c r="B53" s="100" t="s">
        <v>4558</v>
      </c>
    </row>
    <row r="54" spans="1:2" ht="13.5">
      <c r="A54" s="169" t="s">
        <v>609</v>
      </c>
      <c r="B54" s="100" t="s">
        <v>4552</v>
      </c>
    </row>
    <row r="55" spans="1:2" ht="13.5">
      <c r="A55" s="169" t="s">
        <v>610</v>
      </c>
      <c r="B55" s="100" t="s">
        <v>4559</v>
      </c>
    </row>
    <row r="56" spans="1:2" ht="13.5">
      <c r="A56" s="168" t="s">
        <v>611</v>
      </c>
      <c r="B56" s="100" t="s">
        <v>4558</v>
      </c>
    </row>
    <row r="57" spans="1:2" ht="13.5">
      <c r="A57" s="168" t="s">
        <v>612</v>
      </c>
      <c r="B57" s="100" t="s">
        <v>4558</v>
      </c>
    </row>
    <row r="58" spans="1:2" ht="13.5">
      <c r="A58" s="168" t="s">
        <v>613</v>
      </c>
      <c r="B58" s="100" t="s">
        <v>4558</v>
      </c>
    </row>
    <row r="59" spans="1:2" ht="13.5">
      <c r="A59" s="168" t="s">
        <v>614</v>
      </c>
      <c r="B59" s="100" t="s">
        <v>4558</v>
      </c>
    </row>
    <row r="60" spans="1:2" ht="13.5">
      <c r="A60" s="168" t="s">
        <v>615</v>
      </c>
      <c r="B60" s="100" t="s">
        <v>4558</v>
      </c>
    </row>
    <row r="61" spans="1:2" ht="13.5">
      <c r="A61" s="168" t="s">
        <v>616</v>
      </c>
      <c r="B61" s="100" t="s">
        <v>4558</v>
      </c>
    </row>
    <row r="62" spans="1:2" ht="13.5">
      <c r="A62" s="168" t="s">
        <v>617</v>
      </c>
      <c r="B62" s="100" t="s">
        <v>4558</v>
      </c>
    </row>
    <row r="63" spans="1:2" ht="13.5">
      <c r="A63" s="168" t="s">
        <v>618</v>
      </c>
      <c r="B63" s="100" t="s">
        <v>4558</v>
      </c>
    </row>
    <row r="64" spans="1:2" ht="13.5">
      <c r="A64" s="169" t="s">
        <v>619</v>
      </c>
      <c r="B64" s="100" t="s">
        <v>4564</v>
      </c>
    </row>
    <row r="65" spans="1:2" ht="13.5">
      <c r="A65" s="168" t="s">
        <v>620</v>
      </c>
      <c r="B65" s="100" t="s">
        <v>4558</v>
      </c>
    </row>
    <row r="66" spans="1:2" ht="13.5">
      <c r="A66" s="168" t="s">
        <v>621</v>
      </c>
      <c r="B66" s="100" t="s">
        <v>4558</v>
      </c>
    </row>
    <row r="67" spans="1:2" ht="13.5">
      <c r="A67" s="169" t="s">
        <v>622</v>
      </c>
      <c r="B67" s="100" t="s">
        <v>4552</v>
      </c>
    </row>
    <row r="68" spans="1:2" ht="13.5">
      <c r="A68" s="168" t="s">
        <v>623</v>
      </c>
      <c r="B68" s="100" t="s">
        <v>4558</v>
      </c>
    </row>
    <row r="69" spans="1:2" ht="13.5">
      <c r="A69" s="168" t="s">
        <v>624</v>
      </c>
      <c r="B69" s="100" t="s">
        <v>4558</v>
      </c>
    </row>
    <row r="70" spans="1:2" ht="13.5">
      <c r="A70" s="168" t="s">
        <v>625</v>
      </c>
      <c r="B70" s="100" t="s">
        <v>4558</v>
      </c>
    </row>
    <row r="71" spans="1:2" ht="13.5">
      <c r="A71" s="168" t="s">
        <v>626</v>
      </c>
      <c r="B71" s="100" t="s">
        <v>4558</v>
      </c>
    </row>
    <row r="72" spans="1:2" ht="13.5">
      <c r="A72" s="168" t="s">
        <v>627</v>
      </c>
      <c r="B72" s="100" t="s">
        <v>4558</v>
      </c>
    </row>
    <row r="73" spans="1:2" ht="13.5">
      <c r="A73" s="168" t="s">
        <v>628</v>
      </c>
      <c r="B73" s="100" t="s">
        <v>4558</v>
      </c>
    </row>
    <row r="74" spans="1:2" ht="13.5">
      <c r="A74" s="168" t="s">
        <v>629</v>
      </c>
      <c r="B74" s="100" t="s">
        <v>4558</v>
      </c>
    </row>
    <row r="75" spans="1:2" ht="13.5">
      <c r="A75" s="168" t="s">
        <v>630</v>
      </c>
      <c r="B75" s="100" t="s">
        <v>4565</v>
      </c>
    </row>
    <row r="76" spans="1:2" ht="13.5">
      <c r="A76" s="168" t="s">
        <v>631</v>
      </c>
      <c r="B76" s="100" t="s">
        <v>4558</v>
      </c>
    </row>
    <row r="77" spans="1:2" ht="13.5">
      <c r="A77" s="168" t="s">
        <v>632</v>
      </c>
      <c r="B77" s="100" t="s">
        <v>4558</v>
      </c>
    </row>
    <row r="78" spans="1:2" ht="13.5">
      <c r="A78" s="168" t="s">
        <v>633</v>
      </c>
      <c r="B78" s="100" t="s">
        <v>4558</v>
      </c>
    </row>
    <row r="79" spans="1:2" ht="13.5">
      <c r="A79" s="168" t="s">
        <v>634</v>
      </c>
      <c r="B79" s="100" t="s">
        <v>4558</v>
      </c>
    </row>
    <row r="80" spans="1:2" ht="13.5">
      <c r="A80" s="168" t="s">
        <v>635</v>
      </c>
      <c r="B80" s="100" t="s">
        <v>4558</v>
      </c>
    </row>
    <row r="81" spans="1:2" ht="13.5">
      <c r="A81" s="168" t="s">
        <v>636</v>
      </c>
      <c r="B81" s="100" t="s">
        <v>4558</v>
      </c>
    </row>
    <row r="82" spans="1:2" ht="13.5">
      <c r="A82" s="168" t="s">
        <v>637</v>
      </c>
      <c r="B82" s="100" t="s">
        <v>4558</v>
      </c>
    </row>
    <row r="83" spans="1:2" ht="13.5">
      <c r="A83" s="168" t="s">
        <v>638</v>
      </c>
      <c r="B83" s="100" t="s">
        <v>4558</v>
      </c>
    </row>
    <row r="84" spans="1:2" ht="13.5">
      <c r="A84" s="168" t="s">
        <v>639</v>
      </c>
      <c r="B84" s="100" t="s">
        <v>4558</v>
      </c>
    </row>
    <row r="85" spans="1:2" ht="13.5">
      <c r="A85" s="168" t="s">
        <v>640</v>
      </c>
      <c r="B85" s="100" t="s">
        <v>4558</v>
      </c>
    </row>
    <row r="86" spans="1:2" ht="13.5">
      <c r="A86" s="168" t="s">
        <v>641</v>
      </c>
      <c r="B86" s="100" t="s">
        <v>4558</v>
      </c>
    </row>
    <row r="87" spans="1:2" ht="13.5">
      <c r="A87" s="169" t="s">
        <v>642</v>
      </c>
      <c r="B87" s="100" t="s">
        <v>4552</v>
      </c>
    </row>
    <row r="88" spans="1:2" ht="13.5">
      <c r="A88" s="168" t="s">
        <v>643</v>
      </c>
      <c r="B88" s="100" t="s">
        <v>4558</v>
      </c>
    </row>
    <row r="89" spans="1:2" ht="13.5">
      <c r="A89" s="168" t="s">
        <v>644</v>
      </c>
      <c r="B89" s="100" t="s">
        <v>4558</v>
      </c>
    </row>
    <row r="90" spans="1:2" ht="13.5">
      <c r="A90" s="169" t="s">
        <v>645</v>
      </c>
      <c r="B90" s="100" t="s">
        <v>4552</v>
      </c>
    </row>
    <row r="91" spans="1:2" ht="13.5">
      <c r="A91" s="168" t="s">
        <v>646</v>
      </c>
      <c r="B91" s="100" t="s">
        <v>4558</v>
      </c>
    </row>
    <row r="92" spans="1:2" ht="13.5">
      <c r="A92" s="168" t="s">
        <v>647</v>
      </c>
      <c r="B92" s="100" t="s">
        <v>4565</v>
      </c>
    </row>
    <row r="93" spans="1:2" ht="13.5">
      <c r="A93" s="168" t="s">
        <v>648</v>
      </c>
      <c r="B93" s="100" t="s">
        <v>4558</v>
      </c>
    </row>
    <row r="94" spans="1:2" ht="13.5">
      <c r="A94" s="168" t="s">
        <v>649</v>
      </c>
      <c r="B94" s="100" t="s">
        <v>4558</v>
      </c>
    </row>
    <row r="95" spans="1:2" ht="13.5">
      <c r="A95" s="168" t="s">
        <v>650</v>
      </c>
      <c r="B95" s="100" t="s">
        <v>4558</v>
      </c>
    </row>
    <row r="96" spans="1:2" ht="13.5">
      <c r="A96" s="168" t="s">
        <v>651</v>
      </c>
      <c r="B96" s="100" t="s">
        <v>4558</v>
      </c>
    </row>
    <row r="97" spans="1:2" ht="13.5">
      <c r="A97" s="168" t="s">
        <v>652</v>
      </c>
      <c r="B97" s="100" t="s">
        <v>4561</v>
      </c>
    </row>
    <row r="98" spans="1:2" ht="13.5">
      <c r="A98" s="168" t="s">
        <v>653</v>
      </c>
      <c r="B98" s="100" t="s">
        <v>4558</v>
      </c>
    </row>
    <row r="99" spans="1:2" ht="13.5">
      <c r="A99" s="168" t="s">
        <v>654</v>
      </c>
      <c r="B99" s="100" t="s">
        <v>4558</v>
      </c>
    </row>
    <row r="100" spans="1:2" ht="13.5">
      <c r="A100" s="168" t="s">
        <v>655</v>
      </c>
      <c r="B100" s="100" t="s">
        <v>4558</v>
      </c>
    </row>
    <row r="101" spans="1:2" ht="13.5">
      <c r="A101" s="168" t="s">
        <v>656</v>
      </c>
      <c r="B101" s="100" t="s">
        <v>4565</v>
      </c>
    </row>
    <row r="102" spans="1:2" ht="13.5">
      <c r="A102" s="168" t="s">
        <v>657</v>
      </c>
      <c r="B102" s="100" t="s">
        <v>4558</v>
      </c>
    </row>
    <row r="103" spans="1:2" ht="13.5">
      <c r="A103" s="168" t="s">
        <v>658</v>
      </c>
      <c r="B103" s="100" t="s">
        <v>4558</v>
      </c>
    </row>
    <row r="104" spans="1:2" ht="13.5">
      <c r="A104" s="168" t="s">
        <v>659</v>
      </c>
      <c r="B104" s="100" t="s">
        <v>4566</v>
      </c>
    </row>
    <row r="105" spans="1:2" ht="13.5">
      <c r="A105" s="168" t="s">
        <v>660</v>
      </c>
      <c r="B105" s="100" t="s">
        <v>4558</v>
      </c>
    </row>
    <row r="106" spans="1:2" ht="13.5">
      <c r="A106" s="168" t="s">
        <v>661</v>
      </c>
      <c r="B106" s="100" t="s">
        <v>4565</v>
      </c>
    </row>
    <row r="107" spans="1:2" ht="13.5">
      <c r="A107" s="168" t="s">
        <v>662</v>
      </c>
      <c r="B107" s="100" t="s">
        <v>4561</v>
      </c>
    </row>
    <row r="108" spans="1:2" ht="13.5">
      <c r="A108" s="168" t="s">
        <v>663</v>
      </c>
      <c r="B108" s="100" t="s">
        <v>4561</v>
      </c>
    </row>
    <row r="109" spans="1:2" ht="13.5">
      <c r="A109" s="168" t="s">
        <v>664</v>
      </c>
      <c r="B109" s="100" t="s">
        <v>4565</v>
      </c>
    </row>
    <row r="110" spans="1:2" ht="13.5">
      <c r="A110" s="168" t="s">
        <v>665</v>
      </c>
      <c r="B110" s="100" t="s">
        <v>4558</v>
      </c>
    </row>
    <row r="111" spans="1:2" ht="13.5">
      <c r="A111" s="168" t="s">
        <v>666</v>
      </c>
      <c r="B111" s="100" t="s">
        <v>4558</v>
      </c>
    </row>
    <row r="112" spans="1:2" ht="13.5">
      <c r="A112" s="169" t="s">
        <v>667</v>
      </c>
      <c r="B112" s="100" t="s">
        <v>4559</v>
      </c>
    </row>
    <row r="113" spans="1:2" ht="13.5">
      <c r="A113" s="168" t="s">
        <v>668</v>
      </c>
      <c r="B113" s="100" t="s">
        <v>4558</v>
      </c>
    </row>
    <row r="114" spans="1:2" ht="13.5">
      <c r="A114" s="168" t="s">
        <v>669</v>
      </c>
      <c r="B114" s="100" t="s">
        <v>4558</v>
      </c>
    </row>
    <row r="115" spans="1:2" ht="13.5">
      <c r="A115" s="168" t="s">
        <v>670</v>
      </c>
      <c r="B115" s="100" t="s">
        <v>4565</v>
      </c>
    </row>
    <row r="116" spans="1:2" ht="13.5">
      <c r="A116" s="168" t="s">
        <v>4567</v>
      </c>
      <c r="B116" s="100" t="s">
        <v>4568</v>
      </c>
    </row>
    <row r="117" spans="1:2" ht="13.5">
      <c r="A117" s="168" t="s">
        <v>4569</v>
      </c>
      <c r="B117" s="100" t="s">
        <v>4568</v>
      </c>
    </row>
    <row r="118" spans="1:2" ht="13.5">
      <c r="A118" s="168" t="s">
        <v>671</v>
      </c>
      <c r="B118" s="100" t="s">
        <v>4570</v>
      </c>
    </row>
    <row r="119" spans="1:2" ht="13.5">
      <c r="A119" s="168" t="s">
        <v>672</v>
      </c>
      <c r="B119" s="100" t="s">
        <v>4561</v>
      </c>
    </row>
    <row r="120" spans="1:2" ht="13.5">
      <c r="A120" s="168" t="s">
        <v>4571</v>
      </c>
      <c r="B120" s="100" t="s">
        <v>4561</v>
      </c>
    </row>
    <row r="121" spans="1:2" ht="13.5">
      <c r="A121" s="168" t="s">
        <v>673</v>
      </c>
      <c r="B121" s="100" t="s">
        <v>4566</v>
      </c>
    </row>
    <row r="122" spans="1:2" ht="13.5">
      <c r="A122" s="168" t="s">
        <v>674</v>
      </c>
      <c r="B122" s="100" t="s">
        <v>4561</v>
      </c>
    </row>
    <row r="123" spans="1:2" ht="13.5">
      <c r="A123" s="168" t="s">
        <v>4572</v>
      </c>
      <c r="B123" s="100" t="s">
        <v>4558</v>
      </c>
    </row>
    <row r="124" spans="1:2" ht="13.5">
      <c r="A124" s="168" t="s">
        <v>675</v>
      </c>
      <c r="B124" s="100" t="s">
        <v>4573</v>
      </c>
    </row>
    <row r="125" spans="1:2" ht="13.5">
      <c r="A125" s="168" t="s">
        <v>676</v>
      </c>
      <c r="B125" s="100" t="s">
        <v>4566</v>
      </c>
    </row>
    <row r="126" spans="1:2" ht="13.5">
      <c r="A126" s="168" t="s">
        <v>677</v>
      </c>
      <c r="B126" s="100" t="s">
        <v>4558</v>
      </c>
    </row>
    <row r="127" spans="1:2" ht="13.5">
      <c r="A127" s="168" t="s">
        <v>678</v>
      </c>
      <c r="B127" s="100" t="s">
        <v>4561</v>
      </c>
    </row>
    <row r="128" spans="1:2" ht="13.5">
      <c r="A128" s="168" t="s">
        <v>679</v>
      </c>
      <c r="B128" s="100" t="s">
        <v>4561</v>
      </c>
    </row>
    <row r="129" spans="1:2" ht="13.5">
      <c r="A129" s="168" t="s">
        <v>680</v>
      </c>
      <c r="B129" s="100" t="s">
        <v>4566</v>
      </c>
    </row>
    <row r="130" spans="1:2" ht="13.5">
      <c r="A130" s="168" t="s">
        <v>681</v>
      </c>
      <c r="B130" s="100" t="s">
        <v>4558</v>
      </c>
    </row>
    <row r="131" spans="1:2" ht="13.5">
      <c r="A131" s="168" t="s">
        <v>682</v>
      </c>
      <c r="B131" s="100" t="s">
        <v>4561</v>
      </c>
    </row>
    <row r="132" spans="1:2" ht="13.5">
      <c r="A132" s="168" t="s">
        <v>4574</v>
      </c>
      <c r="B132" s="100" t="s">
        <v>4558</v>
      </c>
    </row>
    <row r="133" spans="1:2" ht="13.5">
      <c r="A133" s="168" t="s">
        <v>683</v>
      </c>
      <c r="B133" s="100" t="s">
        <v>4558</v>
      </c>
    </row>
    <row r="134" spans="1:2" ht="13.5">
      <c r="A134" s="168" t="s">
        <v>684</v>
      </c>
      <c r="B134" s="100" t="s">
        <v>4565</v>
      </c>
    </row>
    <row r="135" spans="1:2" ht="13.5">
      <c r="A135" s="168" t="s">
        <v>685</v>
      </c>
      <c r="B135" s="100" t="s">
        <v>4561</v>
      </c>
    </row>
    <row r="136" spans="1:2" ht="13.5">
      <c r="A136" s="168" t="s">
        <v>686</v>
      </c>
      <c r="B136" s="100" t="s">
        <v>4558</v>
      </c>
    </row>
    <row r="137" spans="1:2" ht="13.5">
      <c r="A137" s="168" t="s">
        <v>4575</v>
      </c>
      <c r="B137" s="100" t="s">
        <v>4561</v>
      </c>
    </row>
    <row r="138" spans="1:2" ht="13.5">
      <c r="A138" s="168" t="s">
        <v>4576</v>
      </c>
      <c r="B138" s="100" t="s">
        <v>4558</v>
      </c>
    </row>
    <row r="139" spans="1:2" ht="13.5">
      <c r="A139" s="168" t="s">
        <v>4577</v>
      </c>
      <c r="B139" s="100" t="s">
        <v>4565</v>
      </c>
    </row>
    <row r="140" spans="1:2" ht="13.5">
      <c r="A140" s="168" t="s">
        <v>4578</v>
      </c>
      <c r="B140" s="100" t="s">
        <v>4565</v>
      </c>
    </row>
    <row r="141" spans="1:2" ht="13.5">
      <c r="A141" s="168" t="s">
        <v>687</v>
      </c>
      <c r="B141" s="100" t="s">
        <v>4561</v>
      </c>
    </row>
    <row r="142" spans="1:2" ht="13.5">
      <c r="A142" s="168" t="s">
        <v>688</v>
      </c>
      <c r="B142" s="100" t="s">
        <v>4562</v>
      </c>
    </row>
    <row r="143" spans="1:2" ht="13.5">
      <c r="A143" s="168" t="s">
        <v>689</v>
      </c>
      <c r="B143" s="100" t="s">
        <v>4558</v>
      </c>
    </row>
    <row r="144" spans="1:2" ht="13.5">
      <c r="A144" s="168" t="s">
        <v>690</v>
      </c>
      <c r="B144" s="100" t="s">
        <v>4558</v>
      </c>
    </row>
    <row r="145" spans="1:2" ht="13.5">
      <c r="A145" s="168" t="s">
        <v>691</v>
      </c>
      <c r="B145" s="100" t="s">
        <v>4558</v>
      </c>
    </row>
    <row r="146" spans="1:2" ht="13.5">
      <c r="A146" s="168" t="s">
        <v>4579</v>
      </c>
      <c r="B146" s="100" t="s">
        <v>147</v>
      </c>
    </row>
    <row r="147" spans="1:2" ht="13.5">
      <c r="A147" s="168" t="s">
        <v>692</v>
      </c>
      <c r="B147" s="100" t="s">
        <v>4558</v>
      </c>
    </row>
    <row r="148" spans="1:2" ht="13.5">
      <c r="A148" s="168" t="s">
        <v>693</v>
      </c>
      <c r="B148" s="100" t="s">
        <v>4558</v>
      </c>
    </row>
    <row r="149" spans="1:2" ht="13.5">
      <c r="A149" s="168" t="s">
        <v>694</v>
      </c>
      <c r="B149" s="100" t="s">
        <v>4558</v>
      </c>
    </row>
    <row r="150" spans="1:2" ht="13.5">
      <c r="A150" s="168" t="s">
        <v>695</v>
      </c>
      <c r="B150" s="100" t="s">
        <v>4558</v>
      </c>
    </row>
    <row r="151" spans="1:2" ht="13.5">
      <c r="A151" s="168" t="s">
        <v>696</v>
      </c>
      <c r="B151" s="100" t="s">
        <v>4561</v>
      </c>
    </row>
    <row r="152" spans="1:2" ht="13.5">
      <c r="A152" s="168" t="s">
        <v>697</v>
      </c>
      <c r="B152" s="100" t="s">
        <v>4561</v>
      </c>
    </row>
    <row r="153" spans="1:2" ht="13.5">
      <c r="A153" s="168" t="s">
        <v>698</v>
      </c>
      <c r="B153" s="100" t="s">
        <v>4566</v>
      </c>
    </row>
    <row r="154" spans="1:2" ht="13.5">
      <c r="A154" s="168" t="s">
        <v>699</v>
      </c>
      <c r="B154" s="100" t="s">
        <v>4566</v>
      </c>
    </row>
    <row r="155" spans="1:2" ht="13.5">
      <c r="A155" s="168" t="s">
        <v>700</v>
      </c>
      <c r="B155" s="100" t="s">
        <v>4565</v>
      </c>
    </row>
    <row r="156" spans="1:2" ht="13.5">
      <c r="A156" s="168" t="s">
        <v>701</v>
      </c>
      <c r="B156" s="100" t="s">
        <v>4558</v>
      </c>
    </row>
    <row r="157" spans="1:2" ht="13.5">
      <c r="A157" s="168" t="s">
        <v>702</v>
      </c>
      <c r="B157" s="100" t="s">
        <v>4558</v>
      </c>
    </row>
    <row r="158" spans="1:2" ht="13.5">
      <c r="A158" s="168" t="s">
        <v>703</v>
      </c>
      <c r="B158" s="100" t="s">
        <v>4558</v>
      </c>
    </row>
    <row r="159" spans="1:2" ht="13.5">
      <c r="A159" s="168" t="s">
        <v>704</v>
      </c>
      <c r="B159" s="100" t="s">
        <v>4580</v>
      </c>
    </row>
    <row r="160" spans="1:2" ht="13.5">
      <c r="A160" s="168" t="s">
        <v>705</v>
      </c>
      <c r="B160" s="100" t="s">
        <v>4565</v>
      </c>
    </row>
    <row r="161" spans="1:2" ht="13.5">
      <c r="A161" s="168" t="s">
        <v>706</v>
      </c>
      <c r="B161" s="100" t="s">
        <v>4558</v>
      </c>
    </row>
    <row r="162" spans="1:2" ht="13.5">
      <c r="A162" s="168" t="s">
        <v>707</v>
      </c>
      <c r="B162" s="100" t="s">
        <v>4558</v>
      </c>
    </row>
    <row r="163" spans="1:2" ht="13.5">
      <c r="A163" s="168" t="s">
        <v>708</v>
      </c>
      <c r="B163" s="100" t="s">
        <v>4570</v>
      </c>
    </row>
    <row r="164" spans="1:2" ht="13.5">
      <c r="A164" s="168" t="s">
        <v>4581</v>
      </c>
      <c r="B164" s="100" t="s">
        <v>4558</v>
      </c>
    </row>
    <row r="165" spans="1:2" ht="13.5">
      <c r="A165" s="168" t="s">
        <v>709</v>
      </c>
      <c r="B165" s="100" t="s">
        <v>4558</v>
      </c>
    </row>
    <row r="166" spans="1:2" ht="13.5">
      <c r="A166" s="168" t="s">
        <v>710</v>
      </c>
      <c r="B166" s="100" t="s">
        <v>4558</v>
      </c>
    </row>
    <row r="167" spans="1:2" ht="13.5">
      <c r="A167" s="168" t="s">
        <v>711</v>
      </c>
      <c r="B167" s="100" t="s">
        <v>4558</v>
      </c>
    </row>
    <row r="168" spans="1:2" ht="13.5">
      <c r="A168" s="168" t="s">
        <v>712</v>
      </c>
      <c r="B168" s="100" t="s">
        <v>4566</v>
      </c>
    </row>
    <row r="169" spans="1:2" ht="13.5">
      <c r="A169" s="168" t="s">
        <v>713</v>
      </c>
      <c r="B169" s="100" t="s">
        <v>4558</v>
      </c>
    </row>
    <row r="170" spans="1:2" ht="13.5">
      <c r="A170" s="168" t="s">
        <v>714</v>
      </c>
      <c r="B170" s="100" t="s">
        <v>4558</v>
      </c>
    </row>
    <row r="171" spans="1:2" ht="13.5">
      <c r="A171" s="168" t="s">
        <v>715</v>
      </c>
      <c r="B171" s="100" t="s">
        <v>4558</v>
      </c>
    </row>
    <row r="172" spans="1:2" ht="13.5">
      <c r="A172" s="168" t="s">
        <v>716</v>
      </c>
      <c r="B172" s="100" t="s">
        <v>527</v>
      </c>
    </row>
    <row r="173" spans="1:2" ht="13.5">
      <c r="A173" s="169" t="s">
        <v>717</v>
      </c>
      <c r="B173" s="100" t="s">
        <v>4559</v>
      </c>
    </row>
    <row r="174" spans="1:2" ht="13.5">
      <c r="A174" s="169" t="s">
        <v>718</v>
      </c>
      <c r="B174" s="100" t="s">
        <v>4559</v>
      </c>
    </row>
    <row r="175" spans="1:2" ht="13.5">
      <c r="A175" s="169" t="s">
        <v>719</v>
      </c>
      <c r="B175" s="100" t="s">
        <v>4559</v>
      </c>
    </row>
    <row r="176" spans="1:2" ht="13.5">
      <c r="A176" s="169" t="s">
        <v>720</v>
      </c>
      <c r="B176" s="100" t="s">
        <v>4552</v>
      </c>
    </row>
    <row r="177" spans="1:2" ht="13.5">
      <c r="A177" s="168" t="s">
        <v>721</v>
      </c>
      <c r="B177" s="100" t="s">
        <v>4582</v>
      </c>
    </row>
    <row r="178" spans="1:2" ht="13.5">
      <c r="A178" s="168" t="s">
        <v>722</v>
      </c>
      <c r="B178" s="100" t="s">
        <v>4583</v>
      </c>
    </row>
    <row r="179" spans="1:2" ht="13.5">
      <c r="A179" s="168" t="s">
        <v>723</v>
      </c>
      <c r="B179" s="100" t="s">
        <v>4583</v>
      </c>
    </row>
    <row r="180" spans="1:2" ht="13.5">
      <c r="A180" s="168" t="s">
        <v>724</v>
      </c>
      <c r="B180" s="100" t="s">
        <v>4584</v>
      </c>
    </row>
    <row r="181" spans="1:2" ht="13.5">
      <c r="A181" s="168" t="s">
        <v>725</v>
      </c>
      <c r="B181" s="100" t="s">
        <v>4565</v>
      </c>
    </row>
    <row r="182" spans="1:2" ht="13.5">
      <c r="A182" s="168" t="s">
        <v>726</v>
      </c>
      <c r="B182" s="100" t="s">
        <v>4558</v>
      </c>
    </row>
    <row r="183" spans="1:2" ht="13.5">
      <c r="A183" s="168" t="s">
        <v>4585</v>
      </c>
      <c r="B183" s="100" t="s">
        <v>4568</v>
      </c>
    </row>
    <row r="184" spans="1:2" ht="13.5">
      <c r="A184" s="168" t="s">
        <v>727</v>
      </c>
      <c r="B184" s="100" t="s">
        <v>4558</v>
      </c>
    </row>
    <row r="185" spans="1:2" ht="13.5">
      <c r="A185" s="168" t="s">
        <v>728</v>
      </c>
      <c r="B185" s="100" t="s">
        <v>4558</v>
      </c>
    </row>
    <row r="186" spans="1:2" ht="13.5">
      <c r="A186" s="168" t="s">
        <v>4586</v>
      </c>
      <c r="B186" s="100" t="s">
        <v>4558</v>
      </c>
    </row>
    <row r="187" spans="1:2" ht="13.5">
      <c r="A187" s="168" t="s">
        <v>729</v>
      </c>
      <c r="B187" s="100" t="s">
        <v>4558</v>
      </c>
    </row>
    <row r="188" spans="1:2" ht="13.5">
      <c r="A188" s="168" t="s">
        <v>730</v>
      </c>
      <c r="B188" s="100" t="s">
        <v>4558</v>
      </c>
    </row>
    <row r="189" spans="1:2" ht="13.5">
      <c r="A189" s="168" t="s">
        <v>731</v>
      </c>
      <c r="B189" s="100" t="s">
        <v>4558</v>
      </c>
    </row>
    <row r="190" spans="1:2" ht="13.5">
      <c r="A190" s="168" t="s">
        <v>732</v>
      </c>
      <c r="B190" s="100" t="s">
        <v>4558</v>
      </c>
    </row>
    <row r="191" spans="1:2" ht="13.5">
      <c r="A191" s="168" t="s">
        <v>733</v>
      </c>
      <c r="B191" s="100" t="s">
        <v>4558</v>
      </c>
    </row>
    <row r="192" spans="1:2" ht="13.5">
      <c r="A192" s="168" t="s">
        <v>734</v>
      </c>
      <c r="B192" s="100" t="s">
        <v>4558</v>
      </c>
    </row>
    <row r="193" spans="1:2" ht="13.5">
      <c r="A193" s="168" t="s">
        <v>735</v>
      </c>
      <c r="B193" s="100" t="s">
        <v>4558</v>
      </c>
    </row>
    <row r="194" spans="1:2" ht="13.5">
      <c r="A194" s="168" t="s">
        <v>736</v>
      </c>
      <c r="B194" s="100" t="s">
        <v>4558</v>
      </c>
    </row>
    <row r="195" spans="1:2" ht="13.5">
      <c r="A195" s="168" t="s">
        <v>737</v>
      </c>
      <c r="B195" s="100" t="s">
        <v>4558</v>
      </c>
    </row>
    <row r="196" spans="1:2" ht="13.5">
      <c r="A196" s="168" t="s">
        <v>738</v>
      </c>
      <c r="B196" s="100" t="s">
        <v>4558</v>
      </c>
    </row>
    <row r="197" spans="1:2" ht="13.5">
      <c r="A197" s="168" t="s">
        <v>739</v>
      </c>
      <c r="B197" s="100" t="s">
        <v>4558</v>
      </c>
    </row>
    <row r="198" spans="1:2" ht="13.5">
      <c r="A198" s="168" t="s">
        <v>740</v>
      </c>
      <c r="B198" s="100" t="s">
        <v>4558</v>
      </c>
    </row>
    <row r="199" spans="1:2" ht="13.5">
      <c r="A199" s="168" t="s">
        <v>741</v>
      </c>
      <c r="B199" s="100" t="s">
        <v>4558</v>
      </c>
    </row>
    <row r="200" spans="1:2" ht="13.5">
      <c r="A200" s="168" t="s">
        <v>742</v>
      </c>
      <c r="B200" s="100" t="s">
        <v>4558</v>
      </c>
    </row>
    <row r="201" spans="1:2" ht="13.5">
      <c r="A201" s="168" t="s">
        <v>743</v>
      </c>
      <c r="B201" s="100" t="s">
        <v>4558</v>
      </c>
    </row>
    <row r="202" spans="1:2" ht="13.5">
      <c r="A202" s="168" t="s">
        <v>744</v>
      </c>
      <c r="B202" s="100" t="s">
        <v>4558</v>
      </c>
    </row>
    <row r="203" spans="1:2" ht="13.5">
      <c r="A203" s="168" t="s">
        <v>745</v>
      </c>
      <c r="B203" s="100" t="s">
        <v>4558</v>
      </c>
    </row>
    <row r="204" spans="1:2" ht="13.5">
      <c r="A204" s="168" t="s">
        <v>746</v>
      </c>
      <c r="B204" s="100" t="s">
        <v>4558</v>
      </c>
    </row>
    <row r="205" spans="1:2" ht="13.5">
      <c r="A205" s="168" t="s">
        <v>747</v>
      </c>
      <c r="B205" s="100" t="s">
        <v>4558</v>
      </c>
    </row>
    <row r="206" spans="1:2" ht="13.5">
      <c r="A206" s="168" t="s">
        <v>748</v>
      </c>
      <c r="B206" s="100" t="s">
        <v>4558</v>
      </c>
    </row>
    <row r="207" spans="1:2" ht="13.5">
      <c r="A207" s="168" t="s">
        <v>749</v>
      </c>
      <c r="B207" s="100" t="s">
        <v>4558</v>
      </c>
    </row>
    <row r="208" spans="1:2" ht="13.5">
      <c r="A208" s="168" t="s">
        <v>750</v>
      </c>
      <c r="B208" s="100" t="s">
        <v>4558</v>
      </c>
    </row>
    <row r="209" spans="1:2" ht="13.5">
      <c r="A209" s="168" t="s">
        <v>751</v>
      </c>
      <c r="B209" s="100" t="s">
        <v>4558</v>
      </c>
    </row>
    <row r="210" spans="1:2" ht="13.5">
      <c r="A210" s="168" t="s">
        <v>752</v>
      </c>
      <c r="B210" s="100" t="s">
        <v>4558</v>
      </c>
    </row>
    <row r="211" spans="1:2" ht="13.5">
      <c r="A211" s="168" t="s">
        <v>753</v>
      </c>
      <c r="B211" s="100" t="s">
        <v>4558</v>
      </c>
    </row>
    <row r="212" spans="1:2" ht="13.5">
      <c r="A212" s="168" t="s">
        <v>754</v>
      </c>
      <c r="B212" s="100" t="s">
        <v>4558</v>
      </c>
    </row>
    <row r="213" spans="1:2" ht="13.5">
      <c r="A213" s="168" t="s">
        <v>755</v>
      </c>
      <c r="B213" s="100" t="s">
        <v>4558</v>
      </c>
    </row>
    <row r="214" spans="1:2" ht="13.5">
      <c r="A214" s="168" t="s">
        <v>756</v>
      </c>
      <c r="B214" s="100" t="s">
        <v>4558</v>
      </c>
    </row>
    <row r="215" spans="1:2" ht="13.5">
      <c r="A215" s="168" t="s">
        <v>757</v>
      </c>
      <c r="B215" s="100" t="s">
        <v>4558</v>
      </c>
    </row>
    <row r="216" spans="1:2" ht="13.5">
      <c r="A216" s="168" t="s">
        <v>758</v>
      </c>
      <c r="B216" s="100" t="s">
        <v>4558</v>
      </c>
    </row>
    <row r="217" spans="1:2" ht="13.5">
      <c r="A217" s="168" t="s">
        <v>759</v>
      </c>
      <c r="B217" s="100" t="s">
        <v>4558</v>
      </c>
    </row>
    <row r="218" spans="1:2" ht="13.5">
      <c r="A218" s="169" t="s">
        <v>760</v>
      </c>
      <c r="B218" s="100" t="s">
        <v>4552</v>
      </c>
    </row>
    <row r="219" spans="1:2" ht="13.5">
      <c r="A219" s="168" t="s">
        <v>761</v>
      </c>
      <c r="B219" s="100" t="s">
        <v>4558</v>
      </c>
    </row>
    <row r="220" spans="1:2" ht="13.5">
      <c r="A220" s="168" t="s">
        <v>762</v>
      </c>
      <c r="B220" s="100" t="s">
        <v>4558</v>
      </c>
    </row>
    <row r="221" spans="1:2" ht="13.5">
      <c r="A221" s="169" t="s">
        <v>763</v>
      </c>
      <c r="B221" s="100" t="s">
        <v>4552</v>
      </c>
    </row>
    <row r="222" spans="1:2" ht="13.5">
      <c r="A222" s="169" t="s">
        <v>764</v>
      </c>
      <c r="B222" s="100" t="s">
        <v>4552</v>
      </c>
    </row>
    <row r="223" spans="1:2" ht="13.5">
      <c r="A223" s="169" t="s">
        <v>765</v>
      </c>
      <c r="B223" s="100" t="s">
        <v>4552</v>
      </c>
    </row>
    <row r="224" spans="1:2" ht="13.5">
      <c r="A224" s="169" t="s">
        <v>766</v>
      </c>
      <c r="B224" s="100" t="s">
        <v>4552</v>
      </c>
    </row>
    <row r="225" spans="1:2" ht="13.5">
      <c r="A225" s="169" t="s">
        <v>767</v>
      </c>
      <c r="B225" s="100" t="s">
        <v>4552</v>
      </c>
    </row>
    <row r="226" spans="1:2" ht="13.5">
      <c r="A226" s="169" t="s">
        <v>768</v>
      </c>
      <c r="B226" s="100" t="s">
        <v>4552</v>
      </c>
    </row>
    <row r="227" spans="1:2" ht="13.5">
      <c r="A227" s="169" t="s">
        <v>769</v>
      </c>
      <c r="B227" s="100" t="s">
        <v>4552</v>
      </c>
    </row>
    <row r="228" spans="1:2" ht="13.5">
      <c r="A228" s="169" t="s">
        <v>770</v>
      </c>
      <c r="B228" s="100" t="s">
        <v>4552</v>
      </c>
    </row>
    <row r="229" spans="1:2" ht="13.5">
      <c r="A229" s="169" t="s">
        <v>771</v>
      </c>
      <c r="B229" s="100" t="s">
        <v>4552</v>
      </c>
    </row>
    <row r="230" spans="1:2" ht="13.5">
      <c r="A230" s="169" t="s">
        <v>772</v>
      </c>
      <c r="B230" s="100" t="s">
        <v>4552</v>
      </c>
    </row>
    <row r="231" spans="1:2" ht="13.5">
      <c r="A231" s="169" t="s">
        <v>773</v>
      </c>
      <c r="B231" s="100" t="s">
        <v>4552</v>
      </c>
    </row>
    <row r="232" spans="1:2" ht="13.5">
      <c r="A232" s="169" t="s">
        <v>774</v>
      </c>
      <c r="B232" s="100" t="s">
        <v>4552</v>
      </c>
    </row>
    <row r="233" spans="1:2" ht="13.5">
      <c r="A233" s="169" t="s">
        <v>775</v>
      </c>
      <c r="B233" s="100" t="s">
        <v>4559</v>
      </c>
    </row>
    <row r="234" spans="1:2" ht="13.5">
      <c r="A234" s="169" t="s">
        <v>776</v>
      </c>
      <c r="B234" s="100" t="s">
        <v>4552</v>
      </c>
    </row>
    <row r="235" spans="1:2" ht="13.5">
      <c r="A235" s="169" t="s">
        <v>777</v>
      </c>
      <c r="B235" s="100" t="s">
        <v>4559</v>
      </c>
    </row>
    <row r="236" spans="1:2" ht="13.5">
      <c r="A236" s="169" t="s">
        <v>778</v>
      </c>
      <c r="B236" s="100" t="s">
        <v>4559</v>
      </c>
    </row>
    <row r="237" spans="1:2" ht="13.5">
      <c r="A237" s="169" t="s">
        <v>779</v>
      </c>
      <c r="B237" s="100" t="s">
        <v>4552</v>
      </c>
    </row>
    <row r="238" spans="1:2" ht="13.5">
      <c r="A238" s="168" t="s">
        <v>780</v>
      </c>
      <c r="B238" s="100" t="s">
        <v>4558</v>
      </c>
    </row>
    <row r="239" spans="1:2" ht="13.5">
      <c r="A239" s="168" t="s">
        <v>781</v>
      </c>
      <c r="B239" s="100" t="s">
        <v>4558</v>
      </c>
    </row>
    <row r="240" spans="1:2" ht="13.5">
      <c r="A240" s="168" t="s">
        <v>782</v>
      </c>
      <c r="B240" s="100" t="s">
        <v>4558</v>
      </c>
    </row>
    <row r="241" spans="1:2" ht="13.5">
      <c r="A241" s="169" t="s">
        <v>783</v>
      </c>
      <c r="B241" s="100" t="s">
        <v>4559</v>
      </c>
    </row>
    <row r="242" spans="1:2" ht="13.5">
      <c r="A242" s="168" t="s">
        <v>784</v>
      </c>
      <c r="B242" s="100" t="s">
        <v>4558</v>
      </c>
    </row>
    <row r="243" spans="1:2" ht="13.5">
      <c r="A243" s="168" t="s">
        <v>785</v>
      </c>
      <c r="B243" s="100" t="s">
        <v>4558</v>
      </c>
    </row>
    <row r="244" spans="1:2" ht="13.5">
      <c r="A244" s="168" t="s">
        <v>786</v>
      </c>
      <c r="B244" s="100" t="s">
        <v>4587</v>
      </c>
    </row>
    <row r="245" spans="1:2" ht="13.5">
      <c r="A245" s="168" t="s">
        <v>787</v>
      </c>
      <c r="B245" s="100" t="s">
        <v>4558</v>
      </c>
    </row>
    <row r="246" spans="1:2" ht="13.5">
      <c r="A246" s="168" t="s">
        <v>788</v>
      </c>
      <c r="B246" s="100" t="s">
        <v>4558</v>
      </c>
    </row>
    <row r="247" spans="1:2" ht="13.5">
      <c r="A247" s="168" t="s">
        <v>789</v>
      </c>
      <c r="B247" s="100" t="s">
        <v>4558</v>
      </c>
    </row>
    <row r="248" spans="1:2" ht="13.5">
      <c r="A248" s="168" t="s">
        <v>790</v>
      </c>
      <c r="B248" s="100" t="s">
        <v>4558</v>
      </c>
    </row>
    <row r="249" spans="1:2" ht="13.5">
      <c r="A249" s="168" t="s">
        <v>791</v>
      </c>
      <c r="B249" s="100" t="s">
        <v>4587</v>
      </c>
    </row>
    <row r="250" spans="1:2" ht="13.5">
      <c r="A250" s="169" t="s">
        <v>792</v>
      </c>
      <c r="B250" s="100" t="s">
        <v>4552</v>
      </c>
    </row>
    <row r="251" spans="1:2" ht="13.5">
      <c r="A251" s="169" t="s">
        <v>793</v>
      </c>
      <c r="B251" s="100" t="s">
        <v>4559</v>
      </c>
    </row>
    <row r="252" spans="1:2" ht="13.5">
      <c r="A252" s="169" t="s">
        <v>794</v>
      </c>
      <c r="B252" s="100" t="s">
        <v>4559</v>
      </c>
    </row>
    <row r="253" spans="1:2" ht="13.5">
      <c r="A253" s="168" t="s">
        <v>795</v>
      </c>
      <c r="B253" s="100" t="s">
        <v>4558</v>
      </c>
    </row>
    <row r="254" spans="1:2" ht="13.5">
      <c r="A254" s="168" t="s">
        <v>796</v>
      </c>
      <c r="B254" s="100" t="s">
        <v>4558</v>
      </c>
    </row>
    <row r="255" spans="1:2" ht="13.5">
      <c r="A255" s="168" t="s">
        <v>797</v>
      </c>
      <c r="B255" s="100" t="s">
        <v>4558</v>
      </c>
    </row>
    <row r="256" spans="1:2" ht="13.5">
      <c r="A256" s="168" t="s">
        <v>798</v>
      </c>
      <c r="B256" s="100" t="s">
        <v>4558</v>
      </c>
    </row>
    <row r="257" spans="1:2" ht="13.5">
      <c r="A257" s="169" t="s">
        <v>799</v>
      </c>
      <c r="B257" s="100" t="s">
        <v>4559</v>
      </c>
    </row>
    <row r="258" spans="1:2" ht="13.5">
      <c r="A258" s="169" t="s">
        <v>800</v>
      </c>
      <c r="B258" s="100" t="s">
        <v>4559</v>
      </c>
    </row>
    <row r="259" spans="1:2" ht="13.5">
      <c r="A259" s="169" t="s">
        <v>801</v>
      </c>
      <c r="B259" s="100" t="s">
        <v>4552</v>
      </c>
    </row>
    <row r="260" spans="1:2" ht="13.5">
      <c r="A260" s="169" t="s">
        <v>802</v>
      </c>
      <c r="B260" s="100" t="s">
        <v>4552</v>
      </c>
    </row>
    <row r="261" spans="1:2" ht="13.5">
      <c r="A261" s="169" t="s">
        <v>803</v>
      </c>
      <c r="B261" s="100" t="s">
        <v>4552</v>
      </c>
    </row>
    <row r="262" spans="1:2" ht="13.5">
      <c r="A262" s="169" t="s">
        <v>804</v>
      </c>
      <c r="B262" s="100" t="s">
        <v>4552</v>
      </c>
    </row>
    <row r="263" spans="1:2" ht="13.5">
      <c r="A263" s="169" t="s">
        <v>805</v>
      </c>
      <c r="B263" s="100" t="s">
        <v>4552</v>
      </c>
    </row>
    <row r="264" spans="1:2" ht="13.5">
      <c r="A264" s="169" t="s">
        <v>806</v>
      </c>
      <c r="B264" s="100" t="s">
        <v>4552</v>
      </c>
    </row>
    <row r="265" spans="1:2" ht="13.5">
      <c r="A265" s="169" t="s">
        <v>807</v>
      </c>
      <c r="B265" s="100" t="s">
        <v>4552</v>
      </c>
    </row>
    <row r="266" spans="1:2" ht="13.5">
      <c r="A266" s="169" t="s">
        <v>808</v>
      </c>
      <c r="B266" s="100" t="s">
        <v>4552</v>
      </c>
    </row>
    <row r="267" spans="1:2" ht="13.5">
      <c r="A267" s="169" t="s">
        <v>809</v>
      </c>
      <c r="B267" s="100" t="s">
        <v>4559</v>
      </c>
    </row>
    <row r="268" spans="1:2" ht="13.5">
      <c r="A268" s="168" t="s">
        <v>810</v>
      </c>
      <c r="B268" s="100" t="s">
        <v>4558</v>
      </c>
    </row>
    <row r="269" spans="1:2" ht="13.5">
      <c r="A269" s="168" t="s">
        <v>4588</v>
      </c>
      <c r="B269" s="100" t="s">
        <v>4568</v>
      </c>
    </row>
    <row r="270" spans="1:2" ht="13.5">
      <c r="A270" s="168" t="s">
        <v>811</v>
      </c>
      <c r="B270" s="100" t="s">
        <v>4558</v>
      </c>
    </row>
    <row r="271" spans="1:2" ht="13.5">
      <c r="A271" s="169" t="s">
        <v>812</v>
      </c>
      <c r="B271" s="100" t="s">
        <v>4552</v>
      </c>
    </row>
    <row r="272" spans="1:2" ht="13.5">
      <c r="A272" s="168" t="s">
        <v>813</v>
      </c>
      <c r="B272" s="100" t="s">
        <v>4558</v>
      </c>
    </row>
    <row r="273" spans="1:2" ht="13.5">
      <c r="A273" s="168" t="s">
        <v>814</v>
      </c>
      <c r="B273" s="100" t="s">
        <v>4558</v>
      </c>
    </row>
    <row r="274" spans="1:2" ht="13.5">
      <c r="A274" s="169" t="s">
        <v>815</v>
      </c>
      <c r="B274" s="100" t="s">
        <v>4552</v>
      </c>
    </row>
    <row r="275" spans="1:2" ht="13.5">
      <c r="A275" s="169" t="s">
        <v>816</v>
      </c>
      <c r="B275" s="100" t="s">
        <v>4552</v>
      </c>
    </row>
    <row r="276" spans="1:2" ht="13.5">
      <c r="A276" s="169" t="s">
        <v>817</v>
      </c>
      <c r="B276" s="100" t="s">
        <v>4564</v>
      </c>
    </row>
    <row r="277" spans="1:2" ht="13.5">
      <c r="A277" s="169" t="s">
        <v>818</v>
      </c>
      <c r="B277" s="100" t="s">
        <v>4552</v>
      </c>
    </row>
    <row r="278" spans="1:2" ht="13.5">
      <c r="A278" s="169" t="s">
        <v>819</v>
      </c>
      <c r="B278" s="100" t="s">
        <v>4552</v>
      </c>
    </row>
    <row r="279" spans="1:2" ht="13.5">
      <c r="A279" s="168" t="s">
        <v>820</v>
      </c>
      <c r="B279" s="100" t="s">
        <v>4558</v>
      </c>
    </row>
    <row r="280" spans="1:2" ht="13.5">
      <c r="A280" s="168" t="s">
        <v>821</v>
      </c>
      <c r="B280" s="100" t="s">
        <v>4566</v>
      </c>
    </row>
    <row r="281" spans="1:2" ht="13.5">
      <c r="A281" s="168" t="s">
        <v>822</v>
      </c>
      <c r="B281" s="100" t="s">
        <v>4558</v>
      </c>
    </row>
    <row r="282" spans="1:2" ht="13.5">
      <c r="A282" s="168" t="s">
        <v>823</v>
      </c>
      <c r="B282" s="100" t="s">
        <v>4558</v>
      </c>
    </row>
    <row r="283" spans="1:2" ht="13.5">
      <c r="A283" s="169" t="s">
        <v>824</v>
      </c>
      <c r="B283" s="100" t="s">
        <v>4552</v>
      </c>
    </row>
    <row r="284" spans="1:2" ht="13.5">
      <c r="A284" s="169" t="s">
        <v>825</v>
      </c>
      <c r="B284" s="100" t="s">
        <v>4552</v>
      </c>
    </row>
    <row r="285" spans="1:2" ht="13.5">
      <c r="A285" s="168" t="s">
        <v>826</v>
      </c>
      <c r="B285" s="100" t="s">
        <v>4558</v>
      </c>
    </row>
    <row r="286" spans="1:2" ht="13.5">
      <c r="A286" s="169" t="s">
        <v>827</v>
      </c>
      <c r="B286" s="100" t="s">
        <v>4552</v>
      </c>
    </row>
    <row r="287" spans="1:2" ht="13.5">
      <c r="A287" s="169" t="s">
        <v>828</v>
      </c>
      <c r="B287" s="100" t="s">
        <v>4552</v>
      </c>
    </row>
    <row r="288" spans="1:2" ht="13.5">
      <c r="A288" s="169" t="s">
        <v>829</v>
      </c>
      <c r="B288" s="100" t="s">
        <v>4552</v>
      </c>
    </row>
    <row r="289" spans="1:2" ht="13.5">
      <c r="A289" s="169" t="s">
        <v>830</v>
      </c>
      <c r="B289" s="100" t="s">
        <v>4559</v>
      </c>
    </row>
    <row r="290" spans="1:2" ht="13.5">
      <c r="A290" s="169" t="s">
        <v>831</v>
      </c>
      <c r="B290" s="100" t="s">
        <v>4552</v>
      </c>
    </row>
    <row r="291" spans="1:2" ht="13.5">
      <c r="A291" s="169" t="s">
        <v>832</v>
      </c>
      <c r="B291" s="100" t="s">
        <v>4552</v>
      </c>
    </row>
    <row r="292" spans="1:2" ht="13.5">
      <c r="A292" s="169" t="s">
        <v>833</v>
      </c>
      <c r="B292" s="100" t="s">
        <v>4559</v>
      </c>
    </row>
    <row r="293" spans="1:2" ht="13.5">
      <c r="A293" s="168" t="s">
        <v>834</v>
      </c>
      <c r="B293" s="100" t="s">
        <v>4558</v>
      </c>
    </row>
    <row r="294" spans="1:2" ht="13.5">
      <c r="A294" s="168" t="s">
        <v>835</v>
      </c>
      <c r="B294" s="100" t="s">
        <v>4558</v>
      </c>
    </row>
    <row r="295" spans="1:2" ht="13.5">
      <c r="A295" s="168" t="s">
        <v>836</v>
      </c>
      <c r="B295" s="100" t="s">
        <v>4558</v>
      </c>
    </row>
    <row r="296" spans="1:2" ht="13.5">
      <c r="A296" s="168" t="s">
        <v>4589</v>
      </c>
      <c r="B296" s="100" t="s">
        <v>4558</v>
      </c>
    </row>
    <row r="297" spans="1:2" ht="13.5">
      <c r="A297" s="168" t="s">
        <v>4590</v>
      </c>
      <c r="B297" s="100" t="s">
        <v>4558</v>
      </c>
    </row>
    <row r="298" spans="1:2" ht="13.5">
      <c r="A298" s="168" t="s">
        <v>837</v>
      </c>
      <c r="B298" s="100" t="s">
        <v>4558</v>
      </c>
    </row>
    <row r="299" spans="1:2" ht="13.5">
      <c r="A299" s="168" t="s">
        <v>838</v>
      </c>
      <c r="B299" s="100" t="s">
        <v>4558</v>
      </c>
    </row>
    <row r="300" spans="1:2" ht="13.5">
      <c r="A300" s="168" t="s">
        <v>839</v>
      </c>
      <c r="B300" s="100" t="s">
        <v>4558</v>
      </c>
    </row>
    <row r="301" spans="1:2" ht="13.5">
      <c r="A301" s="169" t="s">
        <v>840</v>
      </c>
      <c r="B301" s="100" t="s">
        <v>4552</v>
      </c>
    </row>
    <row r="302" spans="1:2" ht="13.5">
      <c r="A302" s="169" t="s">
        <v>841</v>
      </c>
      <c r="B302" s="100" t="s">
        <v>4559</v>
      </c>
    </row>
    <row r="303" spans="1:2" ht="13.5">
      <c r="A303" s="169" t="s">
        <v>842</v>
      </c>
      <c r="B303" s="100" t="s">
        <v>4552</v>
      </c>
    </row>
    <row r="304" spans="1:2" ht="13.5">
      <c r="A304" s="169" t="s">
        <v>843</v>
      </c>
      <c r="B304" s="100" t="s">
        <v>4552</v>
      </c>
    </row>
    <row r="305" spans="1:2" ht="13.5">
      <c r="A305" s="169" t="s">
        <v>844</v>
      </c>
      <c r="B305" s="100" t="s">
        <v>4552</v>
      </c>
    </row>
    <row r="306" spans="1:2" ht="13.5">
      <c r="A306" s="169" t="s">
        <v>845</v>
      </c>
      <c r="B306" s="100" t="s">
        <v>4552</v>
      </c>
    </row>
    <row r="307" spans="1:2" ht="13.5">
      <c r="A307" s="169" t="s">
        <v>846</v>
      </c>
      <c r="B307" s="100" t="s">
        <v>4552</v>
      </c>
    </row>
    <row r="308" spans="1:2" ht="13.5">
      <c r="A308" s="168" t="s">
        <v>4591</v>
      </c>
      <c r="B308" s="100" t="s">
        <v>4568</v>
      </c>
    </row>
    <row r="309" spans="1:2" ht="13.5">
      <c r="A309" s="168" t="s">
        <v>4592</v>
      </c>
      <c r="B309" s="100" t="s">
        <v>4558</v>
      </c>
    </row>
    <row r="310" spans="1:2" ht="13.5">
      <c r="A310" s="168" t="s">
        <v>847</v>
      </c>
      <c r="B310" s="100" t="s">
        <v>4558</v>
      </c>
    </row>
    <row r="311" spans="1:2" ht="13.5">
      <c r="A311" s="169" t="s">
        <v>848</v>
      </c>
      <c r="B311" s="100" t="s">
        <v>4559</v>
      </c>
    </row>
    <row r="312" spans="1:2" ht="13.5">
      <c r="A312" s="169" t="s">
        <v>849</v>
      </c>
      <c r="B312" s="100" t="s">
        <v>4559</v>
      </c>
    </row>
    <row r="313" spans="1:2" ht="13.5">
      <c r="A313" s="169" t="s">
        <v>850</v>
      </c>
      <c r="B313" s="100" t="s">
        <v>4552</v>
      </c>
    </row>
    <row r="314" spans="1:2" ht="13.5">
      <c r="A314" s="169" t="s">
        <v>851</v>
      </c>
      <c r="B314" s="100" t="s">
        <v>4552</v>
      </c>
    </row>
    <row r="315" spans="1:2" ht="13.5">
      <c r="A315" s="168" t="s">
        <v>852</v>
      </c>
      <c r="B315" s="100" t="s">
        <v>4558</v>
      </c>
    </row>
    <row r="316" spans="1:2" ht="13.5">
      <c r="A316" s="169" t="s">
        <v>853</v>
      </c>
      <c r="B316" s="100" t="s">
        <v>4552</v>
      </c>
    </row>
    <row r="317" spans="1:2" ht="13.5">
      <c r="A317" s="168" t="s">
        <v>854</v>
      </c>
      <c r="B317" s="100" t="s">
        <v>4558</v>
      </c>
    </row>
    <row r="318" spans="1:2" ht="13.5">
      <c r="A318" s="168" t="s">
        <v>855</v>
      </c>
      <c r="B318" s="100" t="s">
        <v>4558</v>
      </c>
    </row>
    <row r="319" spans="1:2" ht="13.5">
      <c r="A319" s="168" t="s">
        <v>4593</v>
      </c>
      <c r="B319" s="100" t="s">
        <v>4558</v>
      </c>
    </row>
    <row r="320" spans="1:2" ht="13.5">
      <c r="A320" s="168" t="s">
        <v>856</v>
      </c>
      <c r="B320" s="100" t="s">
        <v>4558</v>
      </c>
    </row>
    <row r="321" spans="1:2" ht="13.5">
      <c r="A321" s="169" t="s">
        <v>857</v>
      </c>
      <c r="B321" s="100" t="s">
        <v>4552</v>
      </c>
    </row>
    <row r="322" spans="1:2" ht="13.5">
      <c r="A322" s="169" t="s">
        <v>858</v>
      </c>
      <c r="B322" s="100" t="s">
        <v>4552</v>
      </c>
    </row>
    <row r="323" spans="1:2" ht="13.5">
      <c r="A323" s="168" t="s">
        <v>859</v>
      </c>
      <c r="B323" s="100" t="s">
        <v>4558</v>
      </c>
    </row>
    <row r="324" spans="1:2" ht="13.5">
      <c r="A324" s="169" t="s">
        <v>860</v>
      </c>
      <c r="B324" s="100" t="s">
        <v>4552</v>
      </c>
    </row>
    <row r="325" spans="1:2" ht="13.5">
      <c r="A325" s="169" t="s">
        <v>861</v>
      </c>
      <c r="B325" s="100" t="s">
        <v>4552</v>
      </c>
    </row>
    <row r="326" spans="1:2" ht="13.5">
      <c r="A326" s="169" t="s">
        <v>862</v>
      </c>
      <c r="B326" s="100" t="s">
        <v>4552</v>
      </c>
    </row>
    <row r="327" spans="1:2" ht="13.5">
      <c r="A327" s="169" t="s">
        <v>863</v>
      </c>
      <c r="B327" s="100" t="s">
        <v>4552</v>
      </c>
    </row>
    <row r="328" spans="1:2" ht="13.5">
      <c r="A328" s="169" t="s">
        <v>864</v>
      </c>
      <c r="B328" s="100" t="s">
        <v>4564</v>
      </c>
    </row>
    <row r="329" spans="1:2" ht="13.5">
      <c r="A329" s="169" t="s">
        <v>865</v>
      </c>
      <c r="B329" s="100" t="s">
        <v>4564</v>
      </c>
    </row>
    <row r="330" spans="1:2" ht="13.5">
      <c r="A330" s="169" t="s">
        <v>866</v>
      </c>
      <c r="B330" s="100" t="s">
        <v>4552</v>
      </c>
    </row>
    <row r="331" spans="1:2" ht="13.5">
      <c r="A331" s="168" t="s">
        <v>867</v>
      </c>
      <c r="B331" s="100" t="s">
        <v>4558</v>
      </c>
    </row>
    <row r="332" spans="1:2" ht="13.5">
      <c r="A332" s="168" t="s">
        <v>868</v>
      </c>
      <c r="B332" s="100" t="s">
        <v>4558</v>
      </c>
    </row>
    <row r="333" spans="1:2" ht="13.5">
      <c r="A333" s="169" t="s">
        <v>869</v>
      </c>
      <c r="B333" s="100" t="s">
        <v>4559</v>
      </c>
    </row>
    <row r="334" spans="1:2" ht="13.5">
      <c r="A334" s="169" t="s">
        <v>870</v>
      </c>
      <c r="B334" s="100" t="s">
        <v>4552</v>
      </c>
    </row>
    <row r="335" spans="1:2" ht="13.5">
      <c r="A335" s="168" t="s">
        <v>871</v>
      </c>
      <c r="B335" s="100" t="s">
        <v>4558</v>
      </c>
    </row>
    <row r="336" spans="1:2" ht="13.5">
      <c r="A336" s="168" t="s">
        <v>872</v>
      </c>
      <c r="B336" s="100" t="s">
        <v>4558</v>
      </c>
    </row>
    <row r="337" spans="1:2" ht="13.5">
      <c r="A337" s="169" t="s">
        <v>873</v>
      </c>
      <c r="B337" s="100" t="s">
        <v>4552</v>
      </c>
    </row>
    <row r="338" spans="1:2" ht="13.5">
      <c r="A338" s="169" t="s">
        <v>874</v>
      </c>
      <c r="B338" s="100" t="s">
        <v>4559</v>
      </c>
    </row>
    <row r="339" spans="1:2" ht="13.5">
      <c r="A339" s="169" t="s">
        <v>875</v>
      </c>
      <c r="B339" s="100" t="s">
        <v>4559</v>
      </c>
    </row>
    <row r="340" spans="1:2" ht="13.5">
      <c r="A340" s="169" t="s">
        <v>876</v>
      </c>
      <c r="B340" s="100" t="s">
        <v>4552</v>
      </c>
    </row>
    <row r="341" spans="1:2" ht="13.5">
      <c r="A341" s="169" t="s">
        <v>877</v>
      </c>
      <c r="B341" s="100" t="s">
        <v>4552</v>
      </c>
    </row>
    <row r="342" spans="1:2" ht="13.5">
      <c r="A342" s="169" t="s">
        <v>878</v>
      </c>
      <c r="B342" s="100" t="s">
        <v>4552</v>
      </c>
    </row>
    <row r="343" spans="1:2" ht="13.5">
      <c r="A343" s="169" t="s">
        <v>879</v>
      </c>
      <c r="B343" s="100" t="s">
        <v>4552</v>
      </c>
    </row>
    <row r="344" spans="1:2" ht="13.5">
      <c r="A344" s="168" t="s">
        <v>4594</v>
      </c>
      <c r="B344" s="100" t="s">
        <v>4568</v>
      </c>
    </row>
    <row r="345" spans="1:2" ht="13.5">
      <c r="A345" s="169" t="s">
        <v>880</v>
      </c>
      <c r="B345" s="100" t="s">
        <v>4552</v>
      </c>
    </row>
    <row r="346" spans="1:2" ht="13.5">
      <c r="A346" s="169" t="s">
        <v>881</v>
      </c>
      <c r="B346" s="100" t="s">
        <v>4552</v>
      </c>
    </row>
    <row r="347" spans="1:2" ht="13.5">
      <c r="A347" s="169" t="s">
        <v>882</v>
      </c>
      <c r="B347" s="100" t="s">
        <v>4552</v>
      </c>
    </row>
    <row r="348" spans="1:2" ht="13.5">
      <c r="A348" s="169" t="s">
        <v>883</v>
      </c>
      <c r="B348" s="100" t="s">
        <v>4552</v>
      </c>
    </row>
    <row r="349" spans="1:2" ht="13.5">
      <c r="A349" s="168" t="s">
        <v>884</v>
      </c>
      <c r="B349" s="100" t="s">
        <v>4558</v>
      </c>
    </row>
    <row r="350" spans="1:2" ht="13.5">
      <c r="A350" s="168" t="s">
        <v>885</v>
      </c>
      <c r="B350" s="100" t="s">
        <v>4558</v>
      </c>
    </row>
    <row r="351" spans="1:2" ht="13.5">
      <c r="A351" s="169" t="s">
        <v>886</v>
      </c>
      <c r="B351" s="100" t="s">
        <v>4552</v>
      </c>
    </row>
    <row r="352" spans="1:2" ht="13.5">
      <c r="A352" s="168" t="s">
        <v>4595</v>
      </c>
      <c r="B352" s="100" t="s">
        <v>4558</v>
      </c>
    </row>
    <row r="353" spans="1:2" ht="13.5">
      <c r="A353" s="168" t="s">
        <v>4596</v>
      </c>
      <c r="B353" s="100" t="s">
        <v>4558</v>
      </c>
    </row>
    <row r="354" spans="1:2" ht="13.5">
      <c r="A354" s="169" t="s">
        <v>887</v>
      </c>
      <c r="B354" s="100" t="s">
        <v>4556</v>
      </c>
    </row>
    <row r="355" spans="1:2" ht="13.5">
      <c r="A355" s="168" t="s">
        <v>888</v>
      </c>
      <c r="B355" s="100" t="s">
        <v>4565</v>
      </c>
    </row>
    <row r="356" spans="1:2" ht="13.5">
      <c r="A356" s="168" t="s">
        <v>889</v>
      </c>
      <c r="B356" s="100" t="s">
        <v>4566</v>
      </c>
    </row>
    <row r="357" spans="1:2" ht="13.5">
      <c r="A357" s="169" t="s">
        <v>890</v>
      </c>
      <c r="B357" s="100" t="s">
        <v>4552</v>
      </c>
    </row>
    <row r="358" spans="1:2" ht="13.5">
      <c r="A358" s="168" t="s">
        <v>4597</v>
      </c>
      <c r="B358" s="100" t="s">
        <v>4558</v>
      </c>
    </row>
    <row r="359" spans="1:2" ht="13.5">
      <c r="A359" s="168" t="s">
        <v>891</v>
      </c>
      <c r="B359" s="100" t="s">
        <v>4598</v>
      </c>
    </row>
    <row r="360" spans="1:2" ht="13.5">
      <c r="A360" s="169" t="s">
        <v>892</v>
      </c>
      <c r="B360" s="100" t="s">
        <v>4552</v>
      </c>
    </row>
    <row r="361" spans="1:2" ht="13.5">
      <c r="A361" s="168" t="s">
        <v>893</v>
      </c>
      <c r="B361" s="100" t="s">
        <v>4558</v>
      </c>
    </row>
    <row r="362" spans="1:2" ht="13.5">
      <c r="A362" s="169" t="s">
        <v>894</v>
      </c>
      <c r="B362" s="100" t="s">
        <v>4552</v>
      </c>
    </row>
    <row r="363" spans="1:2" ht="13.5">
      <c r="A363" s="169" t="s">
        <v>895</v>
      </c>
      <c r="B363" s="100" t="s">
        <v>4552</v>
      </c>
    </row>
    <row r="364" spans="1:2" ht="13.5">
      <c r="A364" s="169" t="s">
        <v>896</v>
      </c>
      <c r="B364" s="100" t="s">
        <v>4552</v>
      </c>
    </row>
    <row r="365" spans="1:2" ht="13.5">
      <c r="A365" s="169" t="s">
        <v>897</v>
      </c>
      <c r="B365" s="100" t="s">
        <v>4552</v>
      </c>
    </row>
    <row r="366" spans="1:2" ht="13.5">
      <c r="A366" s="169" t="s">
        <v>898</v>
      </c>
      <c r="B366" s="100" t="s">
        <v>4552</v>
      </c>
    </row>
    <row r="367" spans="1:2" ht="13.5">
      <c r="A367" s="169" t="s">
        <v>899</v>
      </c>
      <c r="B367" s="100" t="s">
        <v>4552</v>
      </c>
    </row>
    <row r="368" spans="1:2" ht="13.5">
      <c r="A368" s="169" t="s">
        <v>900</v>
      </c>
      <c r="B368" s="100" t="s">
        <v>4552</v>
      </c>
    </row>
    <row r="369" spans="1:2" ht="13.5">
      <c r="A369" s="168" t="s">
        <v>901</v>
      </c>
      <c r="B369" s="100" t="s">
        <v>4599</v>
      </c>
    </row>
    <row r="370" spans="1:2" ht="13.5">
      <c r="A370" s="169" t="s">
        <v>902</v>
      </c>
      <c r="B370" s="100" t="s">
        <v>4552</v>
      </c>
    </row>
    <row r="371" spans="1:2" ht="13.5">
      <c r="A371" s="168" t="s">
        <v>903</v>
      </c>
      <c r="B371" s="100" t="s">
        <v>4558</v>
      </c>
    </row>
    <row r="372" spans="1:2" ht="13.5">
      <c r="A372" s="168" t="s">
        <v>904</v>
      </c>
      <c r="B372" s="100" t="s">
        <v>4558</v>
      </c>
    </row>
    <row r="373" spans="1:2" ht="13.5">
      <c r="A373" s="169" t="s">
        <v>905</v>
      </c>
      <c r="B373" s="100" t="s">
        <v>4552</v>
      </c>
    </row>
    <row r="374" spans="1:2" ht="13.5">
      <c r="A374" s="169" t="s">
        <v>906</v>
      </c>
      <c r="B374" s="100" t="s">
        <v>4552</v>
      </c>
    </row>
    <row r="375" spans="1:2" ht="13.5">
      <c r="A375" s="168" t="s">
        <v>907</v>
      </c>
      <c r="B375" s="100" t="s">
        <v>4557</v>
      </c>
    </row>
    <row r="376" spans="1:2" ht="13.5">
      <c r="A376" s="169" t="s">
        <v>908</v>
      </c>
      <c r="B376" s="100" t="s">
        <v>4552</v>
      </c>
    </row>
    <row r="377" spans="1:2" ht="13.5">
      <c r="A377" s="169" t="s">
        <v>909</v>
      </c>
      <c r="B377" s="100" t="s">
        <v>4552</v>
      </c>
    </row>
    <row r="378" spans="1:2" ht="13.5">
      <c r="A378" s="168" t="s">
        <v>910</v>
      </c>
      <c r="B378" s="100" t="s">
        <v>96</v>
      </c>
    </row>
    <row r="379" spans="1:2" ht="13.5">
      <c r="A379" s="168" t="s">
        <v>4600</v>
      </c>
      <c r="B379" s="100" t="s">
        <v>4558</v>
      </c>
    </row>
    <row r="380" spans="1:2" ht="13.5">
      <c r="A380" s="168" t="s">
        <v>4601</v>
      </c>
      <c r="B380" s="100" t="s">
        <v>4558</v>
      </c>
    </row>
    <row r="381" spans="1:2" ht="13.5">
      <c r="A381" s="168" t="s">
        <v>911</v>
      </c>
      <c r="B381" s="100" t="s">
        <v>4565</v>
      </c>
    </row>
    <row r="382" spans="1:2" ht="13.5">
      <c r="A382" s="168" t="s">
        <v>912</v>
      </c>
      <c r="B382" s="100" t="s">
        <v>4560</v>
      </c>
    </row>
    <row r="383" spans="1:2" ht="13.5">
      <c r="A383" s="168" t="s">
        <v>913</v>
      </c>
      <c r="B383" s="100" t="s">
        <v>4558</v>
      </c>
    </row>
    <row r="384" spans="1:2" ht="13.5">
      <c r="A384" s="168" t="s">
        <v>914</v>
      </c>
      <c r="B384" s="100" t="s">
        <v>4587</v>
      </c>
    </row>
    <row r="385" spans="1:2" ht="13.5">
      <c r="A385" s="168" t="s">
        <v>915</v>
      </c>
      <c r="B385" s="100" t="s">
        <v>4558</v>
      </c>
    </row>
    <row r="386" spans="1:2" ht="13.5">
      <c r="A386" s="169" t="s">
        <v>916</v>
      </c>
      <c r="B386" s="100" t="s">
        <v>4552</v>
      </c>
    </row>
    <row r="387" spans="1:2" ht="13.5">
      <c r="A387" s="168" t="s">
        <v>917</v>
      </c>
      <c r="B387" s="100" t="s">
        <v>4602</v>
      </c>
    </row>
    <row r="388" spans="1:2" ht="13.5">
      <c r="A388" s="168" t="s">
        <v>918</v>
      </c>
      <c r="B388" s="100" t="s">
        <v>4560</v>
      </c>
    </row>
    <row r="389" spans="1:2" ht="13.5">
      <c r="A389" s="169" t="s">
        <v>919</v>
      </c>
      <c r="B389" s="100" t="s">
        <v>4552</v>
      </c>
    </row>
    <row r="390" spans="1:2" ht="13.5">
      <c r="A390" s="169" t="s">
        <v>920</v>
      </c>
      <c r="B390" s="100" t="s">
        <v>4552</v>
      </c>
    </row>
    <row r="391" spans="1:2" ht="13.5">
      <c r="A391" s="169" t="s">
        <v>921</v>
      </c>
      <c r="B391" s="100" t="s">
        <v>4552</v>
      </c>
    </row>
    <row r="392" spans="1:2" ht="13.5">
      <c r="A392" s="168" t="s">
        <v>922</v>
      </c>
      <c r="B392" s="100" t="s">
        <v>4603</v>
      </c>
    </row>
    <row r="393" spans="1:2" ht="13.5">
      <c r="A393" s="169" t="s">
        <v>923</v>
      </c>
      <c r="B393" s="100" t="s">
        <v>4559</v>
      </c>
    </row>
    <row r="394" spans="1:2" ht="13.5">
      <c r="A394" s="169" t="s">
        <v>924</v>
      </c>
      <c r="B394" s="100" t="s">
        <v>4552</v>
      </c>
    </row>
    <row r="395" spans="1:2" ht="13.5">
      <c r="A395" s="168" t="s">
        <v>4604</v>
      </c>
      <c r="B395" s="100" t="s">
        <v>4558</v>
      </c>
    </row>
    <row r="396" spans="1:2" ht="13.5">
      <c r="A396" s="169" t="s">
        <v>925</v>
      </c>
      <c r="B396" s="100" t="s">
        <v>4552</v>
      </c>
    </row>
    <row r="397" spans="1:2" ht="13.5">
      <c r="A397" s="169" t="s">
        <v>926</v>
      </c>
      <c r="B397" s="100" t="s">
        <v>4552</v>
      </c>
    </row>
    <row r="398" spans="1:2" ht="13.5">
      <c r="A398" s="169" t="s">
        <v>927</v>
      </c>
      <c r="B398" s="100" t="s">
        <v>4552</v>
      </c>
    </row>
    <row r="399" spans="1:2" ht="13.5">
      <c r="A399" s="169" t="s">
        <v>928</v>
      </c>
      <c r="B399" s="100" t="s">
        <v>4552</v>
      </c>
    </row>
    <row r="400" spans="1:2" ht="13.5">
      <c r="A400" s="169" t="s">
        <v>929</v>
      </c>
      <c r="B400" s="100" t="s">
        <v>4552</v>
      </c>
    </row>
    <row r="401" spans="1:2" ht="13.5">
      <c r="A401" s="169" t="s">
        <v>930</v>
      </c>
      <c r="B401" s="100" t="s">
        <v>4552</v>
      </c>
    </row>
    <row r="402" spans="1:2" ht="13.5">
      <c r="A402" s="169" t="s">
        <v>931</v>
      </c>
      <c r="B402" s="100" t="s">
        <v>4552</v>
      </c>
    </row>
    <row r="403" spans="1:2" ht="13.5">
      <c r="A403" s="169" t="s">
        <v>932</v>
      </c>
      <c r="B403" s="100" t="s">
        <v>4552</v>
      </c>
    </row>
    <row r="404" spans="1:2" ht="13.5">
      <c r="A404" s="169" t="s">
        <v>933</v>
      </c>
      <c r="B404" s="100" t="s">
        <v>4552</v>
      </c>
    </row>
    <row r="405" spans="1:2" ht="13.5">
      <c r="A405" s="169" t="s">
        <v>934</v>
      </c>
      <c r="B405" s="100" t="s">
        <v>4552</v>
      </c>
    </row>
    <row r="406" spans="1:2" ht="13.5">
      <c r="A406" s="169" t="s">
        <v>935</v>
      </c>
      <c r="B406" s="100" t="s">
        <v>4552</v>
      </c>
    </row>
    <row r="407" spans="1:2" ht="13.5">
      <c r="A407" s="169" t="s">
        <v>936</v>
      </c>
      <c r="B407" s="100" t="s">
        <v>4552</v>
      </c>
    </row>
    <row r="408" spans="1:2" ht="13.5">
      <c r="A408" s="169" t="s">
        <v>937</v>
      </c>
      <c r="B408" s="100" t="s">
        <v>4552</v>
      </c>
    </row>
    <row r="409" spans="1:2" ht="13.5">
      <c r="A409" s="169" t="s">
        <v>938</v>
      </c>
      <c r="B409" s="100" t="s">
        <v>4552</v>
      </c>
    </row>
    <row r="410" spans="1:2" ht="13.5">
      <c r="A410" s="169" t="s">
        <v>939</v>
      </c>
      <c r="B410" s="100" t="s">
        <v>4552</v>
      </c>
    </row>
    <row r="411" spans="1:2" ht="13.5">
      <c r="A411" s="169" t="s">
        <v>940</v>
      </c>
      <c r="B411" s="100" t="s">
        <v>4552</v>
      </c>
    </row>
    <row r="412" spans="1:2" ht="13.5">
      <c r="A412" s="169" t="s">
        <v>941</v>
      </c>
      <c r="B412" s="100" t="s">
        <v>4552</v>
      </c>
    </row>
    <row r="413" spans="1:2" ht="13.5">
      <c r="A413" s="169" t="s">
        <v>942</v>
      </c>
      <c r="B413" s="100" t="s">
        <v>4552</v>
      </c>
    </row>
    <row r="414" spans="1:2" ht="13.5">
      <c r="A414" s="169" t="s">
        <v>943</v>
      </c>
      <c r="B414" s="100" t="s">
        <v>4552</v>
      </c>
    </row>
    <row r="415" spans="1:2" ht="13.5">
      <c r="A415" s="169" t="s">
        <v>944</v>
      </c>
      <c r="B415" s="100" t="s">
        <v>4552</v>
      </c>
    </row>
    <row r="416" spans="1:2" ht="13.5">
      <c r="A416" s="169" t="s">
        <v>945</v>
      </c>
      <c r="B416" s="100" t="s">
        <v>4552</v>
      </c>
    </row>
    <row r="417" spans="1:2" ht="13.5">
      <c r="A417" s="169" t="s">
        <v>946</v>
      </c>
      <c r="B417" s="100" t="s">
        <v>4552</v>
      </c>
    </row>
    <row r="418" spans="1:2" ht="13.5">
      <c r="A418" s="169" t="s">
        <v>947</v>
      </c>
      <c r="B418" s="100" t="s">
        <v>4552</v>
      </c>
    </row>
    <row r="419" spans="1:2" ht="13.5">
      <c r="A419" s="169" t="s">
        <v>948</v>
      </c>
      <c r="B419" s="100" t="s">
        <v>4552</v>
      </c>
    </row>
    <row r="420" spans="1:2" ht="13.5">
      <c r="A420" s="169" t="s">
        <v>949</v>
      </c>
      <c r="B420" s="100" t="s">
        <v>4552</v>
      </c>
    </row>
    <row r="421" spans="1:2" ht="13.5">
      <c r="A421" s="169" t="s">
        <v>950</v>
      </c>
      <c r="B421" s="100" t="s">
        <v>4552</v>
      </c>
    </row>
    <row r="422" spans="1:2" ht="13.5">
      <c r="A422" s="169" t="s">
        <v>951</v>
      </c>
      <c r="B422" s="100" t="s">
        <v>4552</v>
      </c>
    </row>
    <row r="423" spans="1:2" ht="13.5">
      <c r="A423" s="169" t="s">
        <v>952</v>
      </c>
      <c r="B423" s="100" t="s">
        <v>4552</v>
      </c>
    </row>
    <row r="424" spans="1:2" ht="13.5">
      <c r="A424" s="169" t="s">
        <v>953</v>
      </c>
      <c r="B424" s="100" t="s">
        <v>4552</v>
      </c>
    </row>
    <row r="425" spans="1:2" ht="13.5">
      <c r="A425" s="169" t="s">
        <v>954</v>
      </c>
      <c r="B425" s="100" t="s">
        <v>4552</v>
      </c>
    </row>
    <row r="426" spans="1:2" ht="13.5">
      <c r="A426" s="169" t="s">
        <v>955</v>
      </c>
      <c r="B426" s="100" t="s">
        <v>4552</v>
      </c>
    </row>
    <row r="427" spans="1:2" ht="13.5">
      <c r="A427" s="169" t="s">
        <v>956</v>
      </c>
      <c r="B427" s="100" t="s">
        <v>4552</v>
      </c>
    </row>
    <row r="428" spans="1:2" ht="13.5">
      <c r="A428" s="169" t="s">
        <v>957</v>
      </c>
      <c r="B428" s="100" t="s">
        <v>4552</v>
      </c>
    </row>
    <row r="429" spans="1:2" ht="13.5">
      <c r="A429" s="169" t="s">
        <v>958</v>
      </c>
      <c r="B429" s="100" t="s">
        <v>4552</v>
      </c>
    </row>
    <row r="430" spans="1:2" ht="13.5">
      <c r="A430" s="169" t="s">
        <v>959</v>
      </c>
      <c r="B430" s="100" t="s">
        <v>4552</v>
      </c>
    </row>
    <row r="431" spans="1:2" ht="13.5">
      <c r="A431" s="169" t="s">
        <v>960</v>
      </c>
      <c r="B431" s="100" t="s">
        <v>4552</v>
      </c>
    </row>
    <row r="432" spans="1:2" ht="13.5">
      <c r="A432" s="169" t="s">
        <v>961</v>
      </c>
      <c r="B432" s="100" t="s">
        <v>4552</v>
      </c>
    </row>
    <row r="433" spans="1:2" ht="13.5">
      <c r="A433" s="169" t="s">
        <v>962</v>
      </c>
      <c r="B433" s="100" t="s">
        <v>4552</v>
      </c>
    </row>
    <row r="434" spans="1:2" ht="13.5">
      <c r="A434" s="169" t="s">
        <v>963</v>
      </c>
      <c r="B434" s="100" t="s">
        <v>4552</v>
      </c>
    </row>
    <row r="435" spans="1:2" ht="13.5">
      <c r="A435" s="169" t="s">
        <v>964</v>
      </c>
      <c r="B435" s="100" t="s">
        <v>4552</v>
      </c>
    </row>
    <row r="436" spans="1:2" ht="13.5">
      <c r="A436" s="169" t="s">
        <v>965</v>
      </c>
      <c r="B436" s="100" t="s">
        <v>4552</v>
      </c>
    </row>
    <row r="437" spans="1:2" ht="13.5">
      <c r="A437" s="169" t="s">
        <v>966</v>
      </c>
      <c r="B437" s="100" t="s">
        <v>4552</v>
      </c>
    </row>
    <row r="438" spans="1:2" ht="13.5">
      <c r="A438" s="169" t="s">
        <v>967</v>
      </c>
      <c r="B438" s="100" t="s">
        <v>4552</v>
      </c>
    </row>
    <row r="439" spans="1:2" ht="13.5">
      <c r="A439" s="169" t="s">
        <v>968</v>
      </c>
      <c r="B439" s="100" t="s">
        <v>4552</v>
      </c>
    </row>
    <row r="440" spans="1:2" ht="13.5">
      <c r="A440" s="169" t="s">
        <v>969</v>
      </c>
      <c r="B440" s="100" t="s">
        <v>4552</v>
      </c>
    </row>
    <row r="441" spans="1:2" ht="13.5">
      <c r="A441" s="169" t="s">
        <v>970</v>
      </c>
      <c r="B441" s="100" t="s">
        <v>4552</v>
      </c>
    </row>
    <row r="442" spans="1:2" ht="13.5">
      <c r="A442" s="169" t="s">
        <v>971</v>
      </c>
      <c r="B442" s="100" t="s">
        <v>4552</v>
      </c>
    </row>
    <row r="443" spans="1:2" ht="13.5">
      <c r="A443" s="169" t="s">
        <v>972</v>
      </c>
      <c r="B443" s="100" t="s">
        <v>4552</v>
      </c>
    </row>
    <row r="444" spans="1:2" ht="13.5">
      <c r="A444" s="169" t="s">
        <v>973</v>
      </c>
      <c r="B444" s="100" t="s">
        <v>4552</v>
      </c>
    </row>
    <row r="445" spans="1:2" ht="13.5">
      <c r="A445" s="169" t="s">
        <v>974</v>
      </c>
      <c r="B445" s="100" t="s">
        <v>4552</v>
      </c>
    </row>
    <row r="446" spans="1:2" ht="13.5">
      <c r="A446" s="169" t="s">
        <v>975</v>
      </c>
      <c r="B446" s="100" t="s">
        <v>4552</v>
      </c>
    </row>
    <row r="447" spans="1:2" ht="13.5">
      <c r="A447" s="169" t="s">
        <v>976</v>
      </c>
      <c r="B447" s="100" t="s">
        <v>4552</v>
      </c>
    </row>
    <row r="448" spans="1:2" ht="13.5">
      <c r="A448" s="169" t="s">
        <v>977</v>
      </c>
      <c r="B448" s="100" t="s">
        <v>4552</v>
      </c>
    </row>
    <row r="449" spans="1:2" ht="13.5">
      <c r="A449" s="169" t="s">
        <v>978</v>
      </c>
      <c r="B449" s="100" t="s">
        <v>4552</v>
      </c>
    </row>
    <row r="450" spans="1:2" ht="13.5">
      <c r="A450" s="169" t="s">
        <v>979</v>
      </c>
      <c r="B450" s="100" t="s">
        <v>4552</v>
      </c>
    </row>
    <row r="451" spans="1:2" ht="13.5">
      <c r="A451" s="169" t="s">
        <v>980</v>
      </c>
      <c r="B451" s="100" t="s">
        <v>4552</v>
      </c>
    </row>
    <row r="452" spans="1:2" ht="13.5">
      <c r="A452" s="169" t="s">
        <v>981</v>
      </c>
      <c r="B452" s="100" t="s">
        <v>4552</v>
      </c>
    </row>
    <row r="453" spans="1:2" ht="13.5">
      <c r="A453" s="169" t="s">
        <v>982</v>
      </c>
      <c r="B453" s="100" t="s">
        <v>4552</v>
      </c>
    </row>
    <row r="454" spans="1:2" ht="13.5">
      <c r="A454" s="169" t="s">
        <v>983</v>
      </c>
      <c r="B454" s="100" t="s">
        <v>4552</v>
      </c>
    </row>
    <row r="455" spans="1:2" ht="13.5">
      <c r="A455" s="169" t="s">
        <v>984</v>
      </c>
      <c r="B455" s="100" t="s">
        <v>4552</v>
      </c>
    </row>
    <row r="456" spans="1:2" ht="13.5">
      <c r="A456" s="169" t="s">
        <v>985</v>
      </c>
      <c r="B456" s="100" t="s">
        <v>4552</v>
      </c>
    </row>
    <row r="457" spans="1:2" ht="13.5">
      <c r="A457" s="169" t="s">
        <v>986</v>
      </c>
      <c r="B457" s="100" t="s">
        <v>4552</v>
      </c>
    </row>
    <row r="458" spans="1:2" ht="13.5">
      <c r="A458" s="169" t="s">
        <v>987</v>
      </c>
      <c r="B458" s="100" t="s">
        <v>4552</v>
      </c>
    </row>
    <row r="459" spans="1:2" ht="13.5">
      <c r="A459" s="169" t="s">
        <v>988</v>
      </c>
      <c r="B459" s="100" t="s">
        <v>4552</v>
      </c>
    </row>
    <row r="460" spans="1:2" ht="13.5">
      <c r="A460" s="169" t="s">
        <v>989</v>
      </c>
      <c r="B460" s="100" t="s">
        <v>4552</v>
      </c>
    </row>
    <row r="461" spans="1:2" ht="13.5">
      <c r="A461" s="169" t="s">
        <v>990</v>
      </c>
      <c r="B461" s="100" t="s">
        <v>4552</v>
      </c>
    </row>
    <row r="462" spans="1:2" ht="13.5">
      <c r="A462" s="169" t="s">
        <v>991</v>
      </c>
      <c r="B462" s="100" t="s">
        <v>4552</v>
      </c>
    </row>
    <row r="463" spans="1:2" ht="13.5">
      <c r="A463" s="169" t="s">
        <v>992</v>
      </c>
      <c r="B463" s="100" t="s">
        <v>4552</v>
      </c>
    </row>
    <row r="464" spans="1:2" ht="13.5">
      <c r="A464" s="169" t="s">
        <v>993</v>
      </c>
      <c r="B464" s="100" t="s">
        <v>4552</v>
      </c>
    </row>
    <row r="465" spans="1:2" ht="13.5">
      <c r="A465" s="169" t="s">
        <v>994</v>
      </c>
      <c r="B465" s="100" t="s">
        <v>4552</v>
      </c>
    </row>
    <row r="466" spans="1:2" ht="13.5">
      <c r="A466" s="169" t="s">
        <v>995</v>
      </c>
      <c r="B466" s="100" t="s">
        <v>4552</v>
      </c>
    </row>
    <row r="467" spans="1:2" ht="13.5">
      <c r="A467" s="169" t="s">
        <v>996</v>
      </c>
      <c r="B467" s="100" t="s">
        <v>4552</v>
      </c>
    </row>
    <row r="468" spans="1:2" ht="13.5">
      <c r="A468" s="169" t="s">
        <v>997</v>
      </c>
      <c r="B468" s="100" t="s">
        <v>4552</v>
      </c>
    </row>
    <row r="469" spans="1:2" ht="13.5">
      <c r="A469" s="169" t="s">
        <v>998</v>
      </c>
      <c r="B469" s="100" t="s">
        <v>4552</v>
      </c>
    </row>
    <row r="470" spans="1:2" ht="13.5">
      <c r="A470" s="169" t="s">
        <v>999</v>
      </c>
      <c r="B470" s="100" t="s">
        <v>4552</v>
      </c>
    </row>
    <row r="471" spans="1:2" ht="13.5">
      <c r="A471" s="169" t="s">
        <v>1000</v>
      </c>
      <c r="B471" s="100" t="s">
        <v>4552</v>
      </c>
    </row>
    <row r="472" spans="1:2" ht="13.5">
      <c r="A472" s="169" t="s">
        <v>1001</v>
      </c>
      <c r="B472" s="100" t="s">
        <v>4552</v>
      </c>
    </row>
    <row r="473" spans="1:2" ht="13.5">
      <c r="A473" s="169" t="s">
        <v>1002</v>
      </c>
      <c r="B473" s="100" t="s">
        <v>4552</v>
      </c>
    </row>
    <row r="474" spans="1:2" ht="13.5">
      <c r="A474" s="169" t="s">
        <v>1003</v>
      </c>
      <c r="B474" s="100" t="s">
        <v>4552</v>
      </c>
    </row>
    <row r="475" spans="1:2" ht="13.5">
      <c r="A475" s="169" t="s">
        <v>1004</v>
      </c>
      <c r="B475" s="100" t="s">
        <v>4552</v>
      </c>
    </row>
    <row r="476" spans="1:2" ht="13.5">
      <c r="A476" s="169" t="s">
        <v>1005</v>
      </c>
      <c r="B476" s="100" t="s">
        <v>4552</v>
      </c>
    </row>
    <row r="477" spans="1:2" ht="13.5">
      <c r="A477" s="169" t="s">
        <v>1006</v>
      </c>
      <c r="B477" s="100" t="s">
        <v>4552</v>
      </c>
    </row>
    <row r="478" spans="1:2" ht="13.5">
      <c r="A478" s="169" t="s">
        <v>1007</v>
      </c>
      <c r="B478" s="100" t="s">
        <v>4552</v>
      </c>
    </row>
    <row r="479" spans="1:2" ht="13.5">
      <c r="A479" s="169" t="s">
        <v>1008</v>
      </c>
      <c r="B479" s="100" t="s">
        <v>4552</v>
      </c>
    </row>
    <row r="480" spans="1:2" ht="13.5">
      <c r="A480" s="169" t="s">
        <v>1009</v>
      </c>
      <c r="B480" s="100" t="s">
        <v>4552</v>
      </c>
    </row>
    <row r="481" spans="1:2" ht="13.5">
      <c r="A481" s="169" t="s">
        <v>1010</v>
      </c>
      <c r="B481" s="100" t="s">
        <v>4552</v>
      </c>
    </row>
    <row r="482" spans="1:2" ht="13.5">
      <c r="A482" s="169" t="s">
        <v>1011</v>
      </c>
      <c r="B482" s="100" t="s">
        <v>4552</v>
      </c>
    </row>
    <row r="483" spans="1:2" ht="13.5">
      <c r="A483" s="169" t="s">
        <v>1012</v>
      </c>
      <c r="B483" s="100" t="s">
        <v>4552</v>
      </c>
    </row>
    <row r="484" spans="1:2" ht="13.5">
      <c r="A484" s="169" t="s">
        <v>1013</v>
      </c>
      <c r="B484" s="100" t="s">
        <v>4552</v>
      </c>
    </row>
    <row r="485" spans="1:2" ht="13.5">
      <c r="A485" s="169" t="s">
        <v>1014</v>
      </c>
      <c r="B485" s="100" t="s">
        <v>4552</v>
      </c>
    </row>
    <row r="486" spans="1:2" ht="13.5">
      <c r="A486" s="169" t="s">
        <v>1015</v>
      </c>
      <c r="B486" s="100" t="s">
        <v>4552</v>
      </c>
    </row>
    <row r="487" spans="1:2" ht="13.5">
      <c r="A487" s="169" t="s">
        <v>1016</v>
      </c>
      <c r="B487" s="100" t="s">
        <v>4552</v>
      </c>
    </row>
    <row r="488" spans="1:2" ht="13.5">
      <c r="A488" s="169" t="s">
        <v>1017</v>
      </c>
      <c r="B488" s="100" t="s">
        <v>4552</v>
      </c>
    </row>
    <row r="489" spans="1:2" ht="13.5">
      <c r="A489" s="169" t="s">
        <v>1018</v>
      </c>
      <c r="B489" s="100" t="s">
        <v>4552</v>
      </c>
    </row>
    <row r="490" spans="1:2" ht="13.5">
      <c r="A490" s="169" t="s">
        <v>1019</v>
      </c>
      <c r="B490" s="100" t="s">
        <v>4552</v>
      </c>
    </row>
    <row r="491" spans="1:2" ht="13.5">
      <c r="A491" s="169" t="s">
        <v>1020</v>
      </c>
      <c r="B491" s="100" t="s">
        <v>4552</v>
      </c>
    </row>
    <row r="492" spans="1:2" ht="13.5">
      <c r="A492" s="169" t="s">
        <v>1021</v>
      </c>
      <c r="B492" s="100" t="s">
        <v>4552</v>
      </c>
    </row>
    <row r="493" spans="1:2" ht="13.5">
      <c r="A493" s="169" t="s">
        <v>1022</v>
      </c>
      <c r="B493" s="100" t="s">
        <v>4552</v>
      </c>
    </row>
    <row r="494" spans="1:2" ht="13.5">
      <c r="A494" s="169" t="s">
        <v>1023</v>
      </c>
      <c r="B494" s="100" t="s">
        <v>4552</v>
      </c>
    </row>
    <row r="495" spans="1:2" ht="13.5">
      <c r="A495" s="169" t="s">
        <v>1024</v>
      </c>
      <c r="B495" s="100" t="s">
        <v>4552</v>
      </c>
    </row>
    <row r="496" spans="1:2" ht="13.5">
      <c r="A496" s="169" t="s">
        <v>1025</v>
      </c>
      <c r="B496" s="100" t="s">
        <v>4552</v>
      </c>
    </row>
    <row r="497" spans="1:2" ht="13.5">
      <c r="A497" s="169" t="s">
        <v>1026</v>
      </c>
      <c r="B497" s="100" t="s">
        <v>4552</v>
      </c>
    </row>
    <row r="498" spans="1:2" ht="13.5">
      <c r="A498" s="169" t="s">
        <v>1027</v>
      </c>
      <c r="B498" s="100" t="s">
        <v>4552</v>
      </c>
    </row>
    <row r="499" spans="1:2" ht="13.5">
      <c r="A499" s="169" t="s">
        <v>1028</v>
      </c>
      <c r="B499" s="100" t="s">
        <v>4552</v>
      </c>
    </row>
    <row r="500" spans="1:2" ht="13.5">
      <c r="A500" s="169" t="s">
        <v>1029</v>
      </c>
      <c r="B500" s="100" t="s">
        <v>4552</v>
      </c>
    </row>
    <row r="501" spans="1:2" ht="13.5">
      <c r="A501" s="169" t="s">
        <v>1030</v>
      </c>
      <c r="B501" s="100" t="s">
        <v>4552</v>
      </c>
    </row>
    <row r="502" spans="1:2" ht="13.5">
      <c r="A502" s="169" t="s">
        <v>1031</v>
      </c>
      <c r="B502" s="100" t="s">
        <v>4552</v>
      </c>
    </row>
    <row r="503" spans="1:2" ht="13.5">
      <c r="A503" s="169" t="s">
        <v>1032</v>
      </c>
      <c r="B503" s="100" t="s">
        <v>4552</v>
      </c>
    </row>
    <row r="504" spans="1:2" ht="13.5">
      <c r="A504" s="169" t="s">
        <v>1033</v>
      </c>
      <c r="B504" s="100" t="s">
        <v>4552</v>
      </c>
    </row>
    <row r="505" spans="1:2" ht="13.5">
      <c r="A505" s="169" t="s">
        <v>1034</v>
      </c>
      <c r="B505" s="100" t="s">
        <v>4552</v>
      </c>
    </row>
    <row r="506" spans="1:2" ht="13.5">
      <c r="A506" s="169" t="s">
        <v>1035</v>
      </c>
      <c r="B506" s="100" t="s">
        <v>4552</v>
      </c>
    </row>
    <row r="507" spans="1:2" ht="13.5">
      <c r="A507" s="169" t="s">
        <v>1036</v>
      </c>
      <c r="B507" s="100" t="s">
        <v>4552</v>
      </c>
    </row>
    <row r="508" spans="1:2" ht="13.5">
      <c r="A508" s="169" t="s">
        <v>1037</v>
      </c>
      <c r="B508" s="100" t="s">
        <v>4552</v>
      </c>
    </row>
    <row r="509" spans="1:2" ht="13.5">
      <c r="A509" s="169" t="s">
        <v>1038</v>
      </c>
      <c r="B509" s="100" t="s">
        <v>4552</v>
      </c>
    </row>
    <row r="510" spans="1:2" ht="13.5">
      <c r="A510" s="169" t="s">
        <v>1039</v>
      </c>
      <c r="B510" s="100" t="s">
        <v>4552</v>
      </c>
    </row>
    <row r="511" spans="1:2" ht="13.5">
      <c r="A511" s="169" t="s">
        <v>1040</v>
      </c>
      <c r="B511" s="100" t="s">
        <v>4552</v>
      </c>
    </row>
    <row r="512" spans="1:2" ht="13.5">
      <c r="A512" s="169" t="s">
        <v>1041</v>
      </c>
      <c r="B512" s="100" t="s">
        <v>4552</v>
      </c>
    </row>
    <row r="513" spans="1:2" ht="13.5">
      <c r="A513" s="169" t="s">
        <v>1042</v>
      </c>
      <c r="B513" s="100" t="s">
        <v>4552</v>
      </c>
    </row>
    <row r="514" spans="1:2" ht="13.5">
      <c r="A514" s="169" t="s">
        <v>1043</v>
      </c>
      <c r="B514" s="100" t="s">
        <v>4552</v>
      </c>
    </row>
    <row r="515" spans="1:2" ht="13.5">
      <c r="A515" s="169" t="s">
        <v>1044</v>
      </c>
      <c r="B515" s="100" t="s">
        <v>4552</v>
      </c>
    </row>
    <row r="516" spans="1:2" ht="13.5">
      <c r="A516" s="169" t="s">
        <v>1045</v>
      </c>
      <c r="B516" s="100" t="s">
        <v>4552</v>
      </c>
    </row>
    <row r="517" spans="1:2" ht="13.5">
      <c r="A517" s="169" t="s">
        <v>1046</v>
      </c>
      <c r="B517" s="100" t="s">
        <v>4552</v>
      </c>
    </row>
    <row r="518" spans="1:2" ht="13.5">
      <c r="A518" s="169" t="s">
        <v>1047</v>
      </c>
      <c r="B518" s="100" t="s">
        <v>4552</v>
      </c>
    </row>
    <row r="519" spans="1:2" ht="13.5">
      <c r="A519" s="169" t="s">
        <v>1048</v>
      </c>
      <c r="B519" s="100" t="s">
        <v>4552</v>
      </c>
    </row>
    <row r="520" spans="1:2" ht="13.5">
      <c r="A520" s="169" t="s">
        <v>1049</v>
      </c>
      <c r="B520" s="100" t="s">
        <v>4552</v>
      </c>
    </row>
    <row r="521" spans="1:2" ht="13.5">
      <c r="A521" s="169" t="s">
        <v>1050</v>
      </c>
      <c r="B521" s="100" t="s">
        <v>4552</v>
      </c>
    </row>
    <row r="522" spans="1:2" ht="13.5">
      <c r="A522" s="169" t="s">
        <v>1051</v>
      </c>
      <c r="B522" s="100" t="s">
        <v>4552</v>
      </c>
    </row>
    <row r="523" spans="1:2" ht="13.5">
      <c r="A523" s="169" t="s">
        <v>1052</v>
      </c>
      <c r="B523" s="100" t="s">
        <v>4552</v>
      </c>
    </row>
    <row r="524" spans="1:2" ht="13.5">
      <c r="A524" s="169" t="s">
        <v>1053</v>
      </c>
      <c r="B524" s="100" t="s">
        <v>4552</v>
      </c>
    </row>
    <row r="525" spans="1:2" ht="13.5">
      <c r="A525" s="169" t="s">
        <v>1054</v>
      </c>
      <c r="B525" s="100" t="s">
        <v>4552</v>
      </c>
    </row>
    <row r="526" spans="1:2" ht="13.5">
      <c r="A526" s="169" t="s">
        <v>1055</v>
      </c>
      <c r="B526" s="100" t="s">
        <v>4552</v>
      </c>
    </row>
    <row r="527" spans="1:2" ht="13.5">
      <c r="A527" s="169" t="s">
        <v>1056</v>
      </c>
      <c r="B527" s="100" t="s">
        <v>4552</v>
      </c>
    </row>
    <row r="528" spans="1:2" ht="13.5">
      <c r="A528" s="169" t="s">
        <v>1057</v>
      </c>
      <c r="B528" s="100" t="s">
        <v>4552</v>
      </c>
    </row>
    <row r="529" spans="1:2" ht="13.5">
      <c r="A529" s="169" t="s">
        <v>1058</v>
      </c>
      <c r="B529" s="100" t="s">
        <v>4552</v>
      </c>
    </row>
    <row r="530" spans="1:2" ht="13.5">
      <c r="A530" s="169" t="s">
        <v>1059</v>
      </c>
      <c r="B530" s="100" t="s">
        <v>4552</v>
      </c>
    </row>
    <row r="531" spans="1:2" ht="13.5">
      <c r="A531" s="169" t="s">
        <v>1060</v>
      </c>
      <c r="B531" s="100" t="s">
        <v>4552</v>
      </c>
    </row>
    <row r="532" spans="1:2" ht="13.5">
      <c r="A532" s="169" t="s">
        <v>1061</v>
      </c>
      <c r="B532" s="100" t="s">
        <v>4552</v>
      </c>
    </row>
    <row r="533" spans="1:2" ht="13.5">
      <c r="A533" s="169" t="s">
        <v>1062</v>
      </c>
      <c r="B533" s="100" t="s">
        <v>4552</v>
      </c>
    </row>
    <row r="534" spans="1:2" ht="13.5">
      <c r="A534" s="169" t="s">
        <v>1063</v>
      </c>
      <c r="B534" s="100" t="s">
        <v>4552</v>
      </c>
    </row>
    <row r="535" spans="1:2" ht="13.5">
      <c r="A535" s="169" t="s">
        <v>1064</v>
      </c>
      <c r="B535" s="100" t="s">
        <v>4552</v>
      </c>
    </row>
    <row r="536" spans="1:2" ht="13.5">
      <c r="A536" s="169" t="s">
        <v>1065</v>
      </c>
      <c r="B536" s="100" t="s">
        <v>4552</v>
      </c>
    </row>
    <row r="537" spans="1:2" ht="13.5">
      <c r="A537" s="169" t="s">
        <v>1066</v>
      </c>
      <c r="B537" s="100" t="s">
        <v>4552</v>
      </c>
    </row>
    <row r="538" spans="1:2" ht="13.5">
      <c r="A538" s="169" t="s">
        <v>1067</v>
      </c>
      <c r="B538" s="100" t="s">
        <v>4552</v>
      </c>
    </row>
    <row r="539" spans="1:2" ht="13.5">
      <c r="A539" s="169" t="s">
        <v>1068</v>
      </c>
      <c r="B539" s="100" t="s">
        <v>4552</v>
      </c>
    </row>
    <row r="540" spans="1:2" ht="13.5">
      <c r="A540" s="169" t="s">
        <v>1069</v>
      </c>
      <c r="B540" s="100" t="s">
        <v>4552</v>
      </c>
    </row>
    <row r="541" spans="1:2" ht="13.5">
      <c r="A541" s="169" t="s">
        <v>1070</v>
      </c>
      <c r="B541" s="100" t="s">
        <v>4552</v>
      </c>
    </row>
    <row r="542" spans="1:2" ht="13.5">
      <c r="A542" s="169" t="s">
        <v>1071</v>
      </c>
      <c r="B542" s="100" t="s">
        <v>4552</v>
      </c>
    </row>
    <row r="543" spans="1:2" ht="13.5">
      <c r="A543" s="169" t="s">
        <v>1072</v>
      </c>
      <c r="B543" s="100" t="s">
        <v>4552</v>
      </c>
    </row>
    <row r="544" spans="1:2" ht="13.5">
      <c r="A544" s="169" t="s">
        <v>1073</v>
      </c>
      <c r="B544" s="100" t="s">
        <v>4552</v>
      </c>
    </row>
    <row r="545" spans="1:2" ht="13.5">
      <c r="A545" s="169" t="s">
        <v>1074</v>
      </c>
      <c r="B545" s="100" t="s">
        <v>4552</v>
      </c>
    </row>
    <row r="546" spans="1:2" ht="13.5">
      <c r="A546" s="169" t="s">
        <v>1075</v>
      </c>
      <c r="B546" s="100" t="s">
        <v>4552</v>
      </c>
    </row>
    <row r="547" spans="1:2" ht="13.5">
      <c r="A547" s="169" t="s">
        <v>1076</v>
      </c>
      <c r="B547" s="100" t="s">
        <v>4552</v>
      </c>
    </row>
    <row r="548" spans="1:2" ht="13.5">
      <c r="A548" s="169" t="s">
        <v>1077</v>
      </c>
      <c r="B548" s="100" t="s">
        <v>4552</v>
      </c>
    </row>
    <row r="549" spans="1:2" ht="13.5">
      <c r="A549" s="169" t="s">
        <v>1078</v>
      </c>
      <c r="B549" s="100" t="s">
        <v>4552</v>
      </c>
    </row>
    <row r="550" spans="1:2" ht="13.5">
      <c r="A550" s="169" t="s">
        <v>1079</v>
      </c>
      <c r="B550" s="100" t="s">
        <v>4552</v>
      </c>
    </row>
    <row r="551" spans="1:2" ht="13.5">
      <c r="A551" s="169" t="s">
        <v>1080</v>
      </c>
      <c r="B551" s="100" t="s">
        <v>4552</v>
      </c>
    </row>
    <row r="552" spans="1:2" ht="13.5">
      <c r="A552" s="169" t="s">
        <v>1081</v>
      </c>
      <c r="B552" s="100" t="s">
        <v>4552</v>
      </c>
    </row>
    <row r="553" spans="1:2" ht="13.5">
      <c r="A553" s="169" t="s">
        <v>1082</v>
      </c>
      <c r="B553" s="100" t="s">
        <v>4552</v>
      </c>
    </row>
    <row r="554" spans="1:2" ht="13.5">
      <c r="A554" s="169" t="s">
        <v>1083</v>
      </c>
      <c r="B554" s="100" t="s">
        <v>4552</v>
      </c>
    </row>
    <row r="555" spans="1:2" ht="13.5">
      <c r="A555" s="169" t="s">
        <v>1084</v>
      </c>
      <c r="B555" s="100" t="s">
        <v>4552</v>
      </c>
    </row>
    <row r="556" spans="1:2" ht="13.5">
      <c r="A556" s="169" t="s">
        <v>1085</v>
      </c>
      <c r="B556" s="100" t="s">
        <v>4552</v>
      </c>
    </row>
    <row r="557" spans="1:2" ht="13.5">
      <c r="A557" s="169" t="s">
        <v>1086</v>
      </c>
      <c r="B557" s="100" t="s">
        <v>4552</v>
      </c>
    </row>
    <row r="558" spans="1:2" ht="13.5">
      <c r="A558" s="169" t="s">
        <v>1087</v>
      </c>
      <c r="B558" s="100" t="s">
        <v>4552</v>
      </c>
    </row>
    <row r="559" spans="1:2" ht="13.5">
      <c r="A559" s="169" t="s">
        <v>1088</v>
      </c>
      <c r="B559" s="100" t="s">
        <v>4552</v>
      </c>
    </row>
    <row r="560" spans="1:2" ht="13.5">
      <c r="A560" s="169" t="s">
        <v>1089</v>
      </c>
      <c r="B560" s="100" t="s">
        <v>4552</v>
      </c>
    </row>
    <row r="561" spans="1:2" ht="13.5">
      <c r="A561" s="169" t="s">
        <v>1090</v>
      </c>
      <c r="B561" s="100" t="s">
        <v>4552</v>
      </c>
    </row>
    <row r="562" spans="1:2" ht="13.5">
      <c r="A562" s="169" t="s">
        <v>1091</v>
      </c>
      <c r="B562" s="100" t="s">
        <v>4552</v>
      </c>
    </row>
    <row r="563" spans="1:2" ht="13.5">
      <c r="A563" s="169" t="s">
        <v>1092</v>
      </c>
      <c r="B563" s="100" t="s">
        <v>4552</v>
      </c>
    </row>
    <row r="564" spans="1:2" ht="13.5">
      <c r="A564" s="169" t="s">
        <v>1093</v>
      </c>
      <c r="B564" s="100" t="s">
        <v>4552</v>
      </c>
    </row>
    <row r="565" spans="1:2" ht="13.5">
      <c r="A565" s="169" t="s">
        <v>1094</v>
      </c>
      <c r="B565" s="100" t="s">
        <v>4552</v>
      </c>
    </row>
    <row r="566" spans="1:2" ht="13.5">
      <c r="A566" s="169" t="s">
        <v>1095</v>
      </c>
      <c r="B566" s="100" t="s">
        <v>4552</v>
      </c>
    </row>
    <row r="567" spans="1:2" ht="13.5">
      <c r="A567" s="169" t="s">
        <v>1096</v>
      </c>
      <c r="B567" s="100" t="s">
        <v>4552</v>
      </c>
    </row>
    <row r="568" spans="1:2" ht="13.5">
      <c r="A568" s="169" t="s">
        <v>1097</v>
      </c>
      <c r="B568" s="100" t="s">
        <v>4552</v>
      </c>
    </row>
    <row r="569" spans="1:2" ht="13.5">
      <c r="A569" s="169" t="s">
        <v>1098</v>
      </c>
      <c r="B569" s="100" t="s">
        <v>4552</v>
      </c>
    </row>
    <row r="570" spans="1:2" ht="13.5">
      <c r="A570" s="169" t="s">
        <v>1099</v>
      </c>
      <c r="B570" s="100" t="s">
        <v>4552</v>
      </c>
    </row>
    <row r="571" spans="1:2" ht="13.5">
      <c r="A571" s="169" t="s">
        <v>1100</v>
      </c>
      <c r="B571" s="100" t="s">
        <v>4552</v>
      </c>
    </row>
    <row r="572" spans="1:2" ht="13.5">
      <c r="A572" s="169" t="s">
        <v>1101</v>
      </c>
      <c r="B572" s="100" t="s">
        <v>4552</v>
      </c>
    </row>
    <row r="573" spans="1:2" ht="13.5">
      <c r="A573" s="169" t="s">
        <v>1102</v>
      </c>
      <c r="B573" s="100" t="s">
        <v>4552</v>
      </c>
    </row>
    <row r="574" spans="1:2" ht="13.5">
      <c r="A574" s="169" t="s">
        <v>1103</v>
      </c>
      <c r="B574" s="100" t="s">
        <v>4552</v>
      </c>
    </row>
    <row r="575" spans="1:2" ht="13.5">
      <c r="A575" s="169" t="s">
        <v>1104</v>
      </c>
      <c r="B575" s="100" t="s">
        <v>4552</v>
      </c>
    </row>
    <row r="576" spans="1:2" ht="13.5">
      <c r="A576" s="169" t="s">
        <v>1105</v>
      </c>
      <c r="B576" s="100" t="s">
        <v>4552</v>
      </c>
    </row>
    <row r="577" spans="1:2" ht="13.5">
      <c r="A577" s="169" t="s">
        <v>1106</v>
      </c>
      <c r="B577" s="100" t="s">
        <v>4552</v>
      </c>
    </row>
    <row r="578" spans="1:2" ht="13.5">
      <c r="A578" s="169" t="s">
        <v>1107</v>
      </c>
      <c r="B578" s="100" t="s">
        <v>4552</v>
      </c>
    </row>
    <row r="579" spans="1:2" ht="13.5">
      <c r="A579" s="169" t="s">
        <v>1108</v>
      </c>
      <c r="B579" s="100" t="s">
        <v>4552</v>
      </c>
    </row>
    <row r="580" spans="1:2" ht="13.5">
      <c r="A580" s="169" t="s">
        <v>1109</v>
      </c>
      <c r="B580" s="100" t="s">
        <v>4552</v>
      </c>
    </row>
    <row r="581" spans="1:2" ht="13.5">
      <c r="A581" s="169" t="s">
        <v>1110</v>
      </c>
      <c r="B581" s="100" t="s">
        <v>4552</v>
      </c>
    </row>
    <row r="582" spans="1:2" ht="13.5">
      <c r="A582" s="169" t="s">
        <v>1111</v>
      </c>
      <c r="B582" s="100" t="s">
        <v>4552</v>
      </c>
    </row>
    <row r="583" spans="1:2" ht="13.5">
      <c r="A583" s="169" t="s">
        <v>1112</v>
      </c>
      <c r="B583" s="100" t="s">
        <v>4552</v>
      </c>
    </row>
    <row r="584" spans="1:2" ht="13.5">
      <c r="A584" s="169" t="s">
        <v>1113</v>
      </c>
      <c r="B584" s="100" t="s">
        <v>4552</v>
      </c>
    </row>
    <row r="585" spans="1:2" ht="13.5">
      <c r="A585" s="169" t="s">
        <v>1114</v>
      </c>
      <c r="B585" s="100" t="s">
        <v>4552</v>
      </c>
    </row>
    <row r="586" spans="1:2" ht="13.5">
      <c r="A586" s="169" t="s">
        <v>1115</v>
      </c>
      <c r="B586" s="100" t="s">
        <v>4552</v>
      </c>
    </row>
    <row r="587" spans="1:2" ht="13.5">
      <c r="A587" s="169" t="s">
        <v>1116</v>
      </c>
      <c r="B587" s="100" t="s">
        <v>4552</v>
      </c>
    </row>
    <row r="588" spans="1:2" ht="13.5">
      <c r="A588" s="169" t="s">
        <v>1117</v>
      </c>
      <c r="B588" s="100" t="s">
        <v>4552</v>
      </c>
    </row>
    <row r="589" spans="1:2" ht="13.5">
      <c r="A589" s="169" t="s">
        <v>1118</v>
      </c>
      <c r="B589" s="100" t="s">
        <v>4552</v>
      </c>
    </row>
    <row r="590" spans="1:2" ht="13.5">
      <c r="A590" s="169" t="s">
        <v>1119</v>
      </c>
      <c r="B590" s="100" t="s">
        <v>4552</v>
      </c>
    </row>
    <row r="591" spans="1:2" ht="13.5">
      <c r="A591" s="169" t="s">
        <v>1120</v>
      </c>
      <c r="B591" s="100" t="s">
        <v>4552</v>
      </c>
    </row>
    <row r="592" spans="1:2" ht="13.5">
      <c r="A592" s="169" t="s">
        <v>1121</v>
      </c>
      <c r="B592" s="100" t="s">
        <v>4552</v>
      </c>
    </row>
    <row r="593" spans="1:2" ht="13.5">
      <c r="A593" s="169" t="s">
        <v>1122</v>
      </c>
      <c r="B593" s="100" t="s">
        <v>4552</v>
      </c>
    </row>
    <row r="594" spans="1:2" ht="13.5">
      <c r="A594" s="169" t="s">
        <v>1123</v>
      </c>
      <c r="B594" s="100" t="s">
        <v>4552</v>
      </c>
    </row>
    <row r="595" spans="1:2" ht="13.5">
      <c r="A595" s="169" t="s">
        <v>1124</v>
      </c>
      <c r="B595" s="100" t="s">
        <v>4552</v>
      </c>
    </row>
    <row r="596" spans="1:2" ht="13.5">
      <c r="A596" s="169" t="s">
        <v>1125</v>
      </c>
      <c r="B596" s="100" t="s">
        <v>4552</v>
      </c>
    </row>
    <row r="597" spans="1:2" ht="13.5">
      <c r="A597" s="169" t="s">
        <v>1126</v>
      </c>
      <c r="B597" s="100" t="s">
        <v>4552</v>
      </c>
    </row>
    <row r="598" spans="1:2" ht="13.5">
      <c r="A598" s="169" t="s">
        <v>1127</v>
      </c>
      <c r="B598" s="100" t="s">
        <v>4552</v>
      </c>
    </row>
    <row r="599" spans="1:2" ht="13.5">
      <c r="A599" s="169" t="s">
        <v>1128</v>
      </c>
      <c r="B599" s="100" t="s">
        <v>4552</v>
      </c>
    </row>
    <row r="600" spans="1:2" ht="13.5">
      <c r="A600" s="169" t="s">
        <v>1129</v>
      </c>
      <c r="B600" s="100" t="s">
        <v>4552</v>
      </c>
    </row>
    <row r="601" spans="1:2" ht="13.5">
      <c r="A601" s="169" t="s">
        <v>1130</v>
      </c>
      <c r="B601" s="100" t="s">
        <v>4552</v>
      </c>
    </row>
    <row r="602" spans="1:2" ht="13.5">
      <c r="A602" s="169" t="s">
        <v>1131</v>
      </c>
      <c r="B602" s="100" t="s">
        <v>4552</v>
      </c>
    </row>
    <row r="603" spans="1:2" ht="13.5">
      <c r="A603" s="169" t="s">
        <v>1132</v>
      </c>
      <c r="B603" s="100" t="s">
        <v>4552</v>
      </c>
    </row>
    <row r="604" spans="1:2" ht="13.5">
      <c r="A604" s="169" t="s">
        <v>1133</v>
      </c>
      <c r="B604" s="100" t="s">
        <v>4552</v>
      </c>
    </row>
    <row r="605" spans="1:2" ht="13.5">
      <c r="A605" s="169" t="s">
        <v>1134</v>
      </c>
      <c r="B605" s="100" t="s">
        <v>4552</v>
      </c>
    </row>
    <row r="606" spans="1:2" ht="13.5">
      <c r="A606" s="169" t="s">
        <v>1135</v>
      </c>
      <c r="B606" s="100" t="s">
        <v>4552</v>
      </c>
    </row>
    <row r="607" spans="1:2" ht="13.5">
      <c r="A607" s="169" t="s">
        <v>1136</v>
      </c>
      <c r="B607" s="100" t="s">
        <v>4552</v>
      </c>
    </row>
    <row r="608" spans="1:2" ht="13.5">
      <c r="A608" s="169" t="s">
        <v>1137</v>
      </c>
      <c r="B608" s="100" t="s">
        <v>4552</v>
      </c>
    </row>
    <row r="609" spans="1:2" ht="13.5">
      <c r="A609" s="169" t="s">
        <v>1138</v>
      </c>
      <c r="B609" s="100" t="s">
        <v>4552</v>
      </c>
    </row>
    <row r="610" spans="1:2" ht="13.5">
      <c r="A610" s="169" t="s">
        <v>1139</v>
      </c>
      <c r="B610" s="100" t="s">
        <v>4552</v>
      </c>
    </row>
    <row r="611" spans="1:2" ht="13.5">
      <c r="A611" s="169" t="s">
        <v>1140</v>
      </c>
      <c r="B611" s="100" t="s">
        <v>4552</v>
      </c>
    </row>
    <row r="612" spans="1:2" ht="13.5">
      <c r="A612" s="169" t="s">
        <v>1141</v>
      </c>
      <c r="B612" s="100" t="s">
        <v>4552</v>
      </c>
    </row>
    <row r="613" spans="1:2" ht="13.5">
      <c r="A613" s="169" t="s">
        <v>1142</v>
      </c>
      <c r="B613" s="100" t="s">
        <v>4552</v>
      </c>
    </row>
    <row r="614" spans="1:2" ht="13.5">
      <c r="A614" s="169" t="s">
        <v>1143</v>
      </c>
      <c r="B614" s="100" t="s">
        <v>4552</v>
      </c>
    </row>
    <row r="615" spans="1:2" ht="13.5">
      <c r="A615" s="169" t="s">
        <v>1144</v>
      </c>
      <c r="B615" s="100" t="s">
        <v>4552</v>
      </c>
    </row>
    <row r="616" spans="1:2" ht="13.5">
      <c r="A616" s="168" t="s">
        <v>4605</v>
      </c>
      <c r="B616" s="100" t="s">
        <v>147</v>
      </c>
    </row>
    <row r="617" spans="1:2" ht="13.5">
      <c r="A617" s="168" t="s">
        <v>1145</v>
      </c>
      <c r="B617" s="100" t="s">
        <v>4560</v>
      </c>
    </row>
    <row r="618" spans="1:2" ht="13.5">
      <c r="A618" s="169" t="s">
        <v>1146</v>
      </c>
      <c r="B618" s="100" t="s">
        <v>4552</v>
      </c>
    </row>
    <row r="619" spans="1:2" ht="13.5">
      <c r="A619" s="169" t="s">
        <v>1147</v>
      </c>
      <c r="B619" s="100" t="s">
        <v>4552</v>
      </c>
    </row>
    <row r="620" spans="1:2" ht="13.5">
      <c r="A620" s="169" t="s">
        <v>1148</v>
      </c>
      <c r="B620" s="100" t="s">
        <v>4552</v>
      </c>
    </row>
    <row r="621" spans="1:2" ht="13.5">
      <c r="A621" s="169" t="s">
        <v>1149</v>
      </c>
      <c r="B621" s="100" t="s">
        <v>4552</v>
      </c>
    </row>
    <row r="622" spans="1:2" ht="13.5">
      <c r="A622" s="169" t="s">
        <v>1150</v>
      </c>
      <c r="B622" s="100" t="s">
        <v>4552</v>
      </c>
    </row>
    <row r="623" spans="1:2" ht="13.5">
      <c r="A623" s="169" t="s">
        <v>1151</v>
      </c>
      <c r="B623" s="100" t="s">
        <v>4552</v>
      </c>
    </row>
    <row r="624" spans="1:2" ht="13.5">
      <c r="A624" s="169" t="s">
        <v>1152</v>
      </c>
      <c r="B624" s="100" t="s">
        <v>4552</v>
      </c>
    </row>
    <row r="625" spans="1:2" ht="13.5">
      <c r="A625" s="169" t="s">
        <v>1153</v>
      </c>
      <c r="B625" s="100" t="s">
        <v>4552</v>
      </c>
    </row>
    <row r="626" spans="1:2" ht="13.5">
      <c r="A626" s="169" t="s">
        <v>1154</v>
      </c>
      <c r="B626" s="100" t="s">
        <v>4552</v>
      </c>
    </row>
    <row r="627" spans="1:2" ht="13.5">
      <c r="A627" s="169" t="s">
        <v>1155</v>
      </c>
      <c r="B627" s="100" t="s">
        <v>4552</v>
      </c>
    </row>
    <row r="628" spans="1:2" ht="13.5">
      <c r="A628" s="169" t="s">
        <v>1156</v>
      </c>
      <c r="B628" s="100" t="s">
        <v>4552</v>
      </c>
    </row>
    <row r="629" spans="1:2" ht="13.5">
      <c r="A629" s="169" t="s">
        <v>1157</v>
      </c>
      <c r="B629" s="100" t="s">
        <v>4552</v>
      </c>
    </row>
    <row r="630" spans="1:2" ht="13.5">
      <c r="A630" s="169" t="s">
        <v>1158</v>
      </c>
      <c r="B630" s="100" t="s">
        <v>4552</v>
      </c>
    </row>
    <row r="631" spans="1:2" ht="13.5">
      <c r="A631" s="169" t="s">
        <v>1159</v>
      </c>
      <c r="B631" s="100" t="s">
        <v>4552</v>
      </c>
    </row>
    <row r="632" spans="1:2" ht="13.5">
      <c r="A632" s="169" t="s">
        <v>1160</v>
      </c>
      <c r="B632" s="100" t="s">
        <v>4552</v>
      </c>
    </row>
    <row r="633" spans="1:2" ht="13.5">
      <c r="A633" s="169" t="s">
        <v>1161</v>
      </c>
      <c r="B633" s="100" t="s">
        <v>4552</v>
      </c>
    </row>
    <row r="634" spans="1:2" ht="13.5">
      <c r="A634" s="169" t="s">
        <v>1162</v>
      </c>
      <c r="B634" s="100" t="s">
        <v>4552</v>
      </c>
    </row>
    <row r="635" spans="1:2" ht="13.5">
      <c r="A635" s="169" t="s">
        <v>1163</v>
      </c>
      <c r="B635" s="100" t="s">
        <v>4552</v>
      </c>
    </row>
    <row r="636" spans="1:2" ht="13.5">
      <c r="A636" s="169" t="s">
        <v>1164</v>
      </c>
      <c r="B636" s="100" t="s">
        <v>4552</v>
      </c>
    </row>
    <row r="637" spans="1:2" ht="13.5">
      <c r="A637" s="169" t="s">
        <v>1165</v>
      </c>
      <c r="B637" s="100" t="s">
        <v>4552</v>
      </c>
    </row>
    <row r="638" spans="1:2" ht="13.5">
      <c r="A638" s="169" t="s">
        <v>1166</v>
      </c>
      <c r="B638" s="100" t="s">
        <v>4552</v>
      </c>
    </row>
    <row r="639" spans="1:2" ht="13.5">
      <c r="A639" s="169" t="s">
        <v>1167</v>
      </c>
      <c r="B639" s="100" t="s">
        <v>4552</v>
      </c>
    </row>
    <row r="640" spans="1:2" ht="13.5">
      <c r="A640" s="169" t="s">
        <v>1168</v>
      </c>
      <c r="B640" s="100" t="s">
        <v>4552</v>
      </c>
    </row>
    <row r="641" spans="1:2" ht="13.5">
      <c r="A641" s="169" t="s">
        <v>1169</v>
      </c>
      <c r="B641" s="100" t="s">
        <v>4552</v>
      </c>
    </row>
    <row r="642" spans="1:2" ht="13.5">
      <c r="A642" s="169" t="s">
        <v>1170</v>
      </c>
      <c r="B642" s="100" t="s">
        <v>4552</v>
      </c>
    </row>
    <row r="643" spans="1:2" ht="13.5">
      <c r="A643" s="169" t="s">
        <v>1171</v>
      </c>
      <c r="B643" s="100" t="s">
        <v>4552</v>
      </c>
    </row>
    <row r="644" spans="1:2" ht="13.5">
      <c r="A644" s="169" t="s">
        <v>1172</v>
      </c>
      <c r="B644" s="100" t="s">
        <v>4552</v>
      </c>
    </row>
    <row r="645" spans="1:2" ht="13.5">
      <c r="A645" s="169" t="s">
        <v>1173</v>
      </c>
      <c r="B645" s="100" t="s">
        <v>4552</v>
      </c>
    </row>
    <row r="646" spans="1:2" ht="13.5">
      <c r="A646" s="169" t="s">
        <v>1174</v>
      </c>
      <c r="B646" s="100" t="s">
        <v>4552</v>
      </c>
    </row>
    <row r="647" spans="1:2" ht="13.5">
      <c r="A647" s="169" t="s">
        <v>1175</v>
      </c>
      <c r="B647" s="100" t="s">
        <v>4552</v>
      </c>
    </row>
    <row r="648" spans="1:2" ht="13.5">
      <c r="A648" s="169" t="s">
        <v>1176</v>
      </c>
      <c r="B648" s="100" t="s">
        <v>4552</v>
      </c>
    </row>
    <row r="649" spans="1:2" ht="13.5">
      <c r="A649" s="169" t="s">
        <v>1177</v>
      </c>
      <c r="B649" s="100" t="s">
        <v>4552</v>
      </c>
    </row>
    <row r="650" spans="1:2" ht="13.5">
      <c r="A650" s="169" t="s">
        <v>1178</v>
      </c>
      <c r="B650" s="100" t="s">
        <v>4552</v>
      </c>
    </row>
    <row r="651" spans="1:2" ht="13.5">
      <c r="A651" s="169" t="s">
        <v>1179</v>
      </c>
      <c r="B651" s="100" t="s">
        <v>4552</v>
      </c>
    </row>
    <row r="652" spans="1:2" ht="13.5">
      <c r="A652" s="169" t="s">
        <v>1180</v>
      </c>
      <c r="B652" s="100" t="s">
        <v>4552</v>
      </c>
    </row>
    <row r="653" spans="1:2" ht="13.5">
      <c r="A653" s="169" t="s">
        <v>1181</v>
      </c>
      <c r="B653" s="100" t="s">
        <v>4552</v>
      </c>
    </row>
    <row r="654" spans="1:2" ht="13.5">
      <c r="A654" s="169" t="s">
        <v>1182</v>
      </c>
      <c r="B654" s="100" t="s">
        <v>4552</v>
      </c>
    </row>
    <row r="655" spans="1:2" ht="13.5">
      <c r="A655" s="169" t="s">
        <v>1183</v>
      </c>
      <c r="B655" s="100" t="s">
        <v>4552</v>
      </c>
    </row>
    <row r="656" spans="1:2" ht="13.5">
      <c r="A656" s="169" t="s">
        <v>1184</v>
      </c>
      <c r="B656" s="100" t="s">
        <v>4552</v>
      </c>
    </row>
    <row r="657" spans="1:2" ht="13.5">
      <c r="A657" s="169" t="s">
        <v>1185</v>
      </c>
      <c r="B657" s="100" t="s">
        <v>4552</v>
      </c>
    </row>
    <row r="658" spans="1:2" ht="13.5">
      <c r="A658" s="169" t="s">
        <v>1186</v>
      </c>
      <c r="B658" s="100" t="s">
        <v>4552</v>
      </c>
    </row>
    <row r="659" spans="1:2" ht="13.5">
      <c r="A659" s="169" t="s">
        <v>1187</v>
      </c>
      <c r="B659" s="100" t="s">
        <v>4552</v>
      </c>
    </row>
    <row r="660" spans="1:2" ht="13.5">
      <c r="A660" s="169" t="s">
        <v>1188</v>
      </c>
      <c r="B660" s="100" t="s">
        <v>4552</v>
      </c>
    </row>
    <row r="661" spans="1:2" ht="13.5">
      <c r="A661" s="169" t="s">
        <v>1189</v>
      </c>
      <c r="B661" s="100" t="s">
        <v>4552</v>
      </c>
    </row>
    <row r="662" spans="1:2" ht="13.5">
      <c r="A662" s="169" t="s">
        <v>1190</v>
      </c>
      <c r="B662" s="100" t="s">
        <v>4552</v>
      </c>
    </row>
    <row r="663" spans="1:2" ht="13.5">
      <c r="A663" s="169" t="s">
        <v>1191</v>
      </c>
      <c r="B663" s="100" t="s">
        <v>4552</v>
      </c>
    </row>
    <row r="664" spans="1:2" ht="13.5">
      <c r="A664" s="169" t="s">
        <v>1192</v>
      </c>
      <c r="B664" s="100" t="s">
        <v>4552</v>
      </c>
    </row>
    <row r="665" spans="1:2" ht="13.5">
      <c r="A665" s="169" t="s">
        <v>1193</v>
      </c>
      <c r="B665" s="100" t="s">
        <v>4552</v>
      </c>
    </row>
    <row r="666" spans="1:2" ht="13.5">
      <c r="A666" s="169" t="s">
        <v>1194</v>
      </c>
      <c r="B666" s="100" t="s">
        <v>4552</v>
      </c>
    </row>
    <row r="667" spans="1:2" ht="13.5">
      <c r="A667" s="169" t="s">
        <v>1195</v>
      </c>
      <c r="B667" s="100" t="s">
        <v>4552</v>
      </c>
    </row>
    <row r="668" spans="1:2" ht="13.5">
      <c r="A668" s="169" t="s">
        <v>1196</v>
      </c>
      <c r="B668" s="100" t="s">
        <v>4552</v>
      </c>
    </row>
    <row r="669" spans="1:2" ht="13.5">
      <c r="A669" s="169" t="s">
        <v>1197</v>
      </c>
      <c r="B669" s="100" t="s">
        <v>4552</v>
      </c>
    </row>
    <row r="670" spans="1:2" ht="13.5">
      <c r="A670" s="169" t="s">
        <v>1198</v>
      </c>
      <c r="B670" s="100" t="s">
        <v>4552</v>
      </c>
    </row>
    <row r="671" spans="1:2" ht="13.5">
      <c r="A671" s="169" t="s">
        <v>1199</v>
      </c>
      <c r="B671" s="100" t="s">
        <v>4552</v>
      </c>
    </row>
    <row r="672" spans="1:2" ht="13.5">
      <c r="A672" s="169" t="s">
        <v>1200</v>
      </c>
      <c r="B672" s="100" t="s">
        <v>4552</v>
      </c>
    </row>
    <row r="673" spans="1:2" ht="13.5">
      <c r="A673" s="169" t="s">
        <v>1201</v>
      </c>
      <c r="B673" s="100" t="s">
        <v>4552</v>
      </c>
    </row>
    <row r="674" spans="1:2" ht="13.5">
      <c r="A674" s="169" t="s">
        <v>1202</v>
      </c>
      <c r="B674" s="100" t="s">
        <v>4552</v>
      </c>
    </row>
    <row r="675" spans="1:2" ht="13.5">
      <c r="A675" s="169" t="s">
        <v>1203</v>
      </c>
      <c r="B675" s="100" t="s">
        <v>4552</v>
      </c>
    </row>
    <row r="676" spans="1:2" ht="13.5">
      <c r="A676" s="169" t="s">
        <v>1204</v>
      </c>
      <c r="B676" s="100" t="s">
        <v>4552</v>
      </c>
    </row>
    <row r="677" spans="1:2" ht="13.5">
      <c r="A677" s="169" t="s">
        <v>1205</v>
      </c>
      <c r="B677" s="100" t="s">
        <v>4552</v>
      </c>
    </row>
    <row r="678" spans="1:2" ht="13.5">
      <c r="A678" s="169" t="s">
        <v>1206</v>
      </c>
      <c r="B678" s="100" t="s">
        <v>4552</v>
      </c>
    </row>
    <row r="679" spans="1:2" ht="13.5">
      <c r="A679" s="169" t="s">
        <v>1207</v>
      </c>
      <c r="B679" s="100" t="s">
        <v>4552</v>
      </c>
    </row>
    <row r="680" spans="1:2" ht="13.5">
      <c r="A680" s="169" t="s">
        <v>1208</v>
      </c>
      <c r="B680" s="100" t="s">
        <v>4552</v>
      </c>
    </row>
    <row r="681" spans="1:2" ht="13.5">
      <c r="A681" s="169" t="s">
        <v>1209</v>
      </c>
      <c r="B681" s="100" t="s">
        <v>4552</v>
      </c>
    </row>
    <row r="682" spans="1:2" ht="13.5">
      <c r="A682" s="169" t="s">
        <v>1210</v>
      </c>
      <c r="B682" s="100" t="s">
        <v>4552</v>
      </c>
    </row>
    <row r="683" spans="1:2" ht="13.5">
      <c r="A683" s="169" t="s">
        <v>1211</v>
      </c>
      <c r="B683" s="100" t="s">
        <v>4552</v>
      </c>
    </row>
    <row r="684" spans="1:2" ht="13.5">
      <c r="A684" s="169" t="s">
        <v>1212</v>
      </c>
      <c r="B684" s="100" t="s">
        <v>4552</v>
      </c>
    </row>
    <row r="685" spans="1:2" ht="13.5">
      <c r="A685" s="169" t="s">
        <v>1213</v>
      </c>
      <c r="B685" s="100" t="s">
        <v>4552</v>
      </c>
    </row>
    <row r="686" spans="1:2" ht="13.5">
      <c r="A686" s="169" t="s">
        <v>1214</v>
      </c>
      <c r="B686" s="100" t="s">
        <v>4552</v>
      </c>
    </row>
    <row r="687" spans="1:2" ht="13.5">
      <c r="A687" s="169" t="s">
        <v>1215</v>
      </c>
      <c r="B687" s="100" t="s">
        <v>4552</v>
      </c>
    </row>
    <row r="688" spans="1:2" ht="13.5">
      <c r="A688" s="169" t="s">
        <v>1216</v>
      </c>
      <c r="B688" s="100" t="s">
        <v>4552</v>
      </c>
    </row>
    <row r="689" spans="1:2" ht="13.5">
      <c r="A689" s="169" t="s">
        <v>1217</v>
      </c>
      <c r="B689" s="100" t="s">
        <v>4552</v>
      </c>
    </row>
    <row r="690" spans="1:2" ht="13.5">
      <c r="A690" s="169" t="s">
        <v>1218</v>
      </c>
      <c r="B690" s="100" t="s">
        <v>4552</v>
      </c>
    </row>
    <row r="691" spans="1:2" ht="13.5">
      <c r="A691" s="169" t="s">
        <v>1219</v>
      </c>
      <c r="B691" s="100" t="s">
        <v>4552</v>
      </c>
    </row>
    <row r="692" spans="1:2" ht="13.5">
      <c r="A692" s="169" t="s">
        <v>1220</v>
      </c>
      <c r="B692" s="100" t="s">
        <v>4552</v>
      </c>
    </row>
    <row r="693" spans="1:2" ht="13.5">
      <c r="A693" s="169" t="s">
        <v>1221</v>
      </c>
      <c r="B693" s="100" t="s">
        <v>4552</v>
      </c>
    </row>
    <row r="694" spans="1:2" ht="13.5">
      <c r="A694" s="169" t="s">
        <v>1222</v>
      </c>
      <c r="B694" s="100" t="s">
        <v>4552</v>
      </c>
    </row>
    <row r="695" spans="1:2" ht="13.5">
      <c r="A695" s="169" t="s">
        <v>1223</v>
      </c>
      <c r="B695" s="100" t="s">
        <v>4552</v>
      </c>
    </row>
    <row r="696" spans="1:2" ht="13.5">
      <c r="A696" s="169" t="s">
        <v>1224</v>
      </c>
      <c r="B696" s="100" t="s">
        <v>4552</v>
      </c>
    </row>
    <row r="697" spans="1:2" ht="13.5">
      <c r="A697" s="169" t="s">
        <v>1225</v>
      </c>
      <c r="B697" s="100" t="s">
        <v>4552</v>
      </c>
    </row>
    <row r="698" spans="1:2" ht="13.5">
      <c r="A698" s="169" t="s">
        <v>1226</v>
      </c>
      <c r="B698" s="100" t="s">
        <v>4552</v>
      </c>
    </row>
    <row r="699" spans="1:2" ht="13.5">
      <c r="A699" s="169" t="s">
        <v>1227</v>
      </c>
      <c r="B699" s="100" t="s">
        <v>4552</v>
      </c>
    </row>
    <row r="700" spans="1:2" ht="13.5">
      <c r="A700" s="169" t="s">
        <v>1228</v>
      </c>
      <c r="B700" s="100" t="s">
        <v>4552</v>
      </c>
    </row>
    <row r="701" spans="1:2" ht="13.5">
      <c r="A701" s="169" t="s">
        <v>1229</v>
      </c>
      <c r="B701" s="100" t="s">
        <v>4552</v>
      </c>
    </row>
    <row r="702" spans="1:2" ht="13.5">
      <c r="A702" s="169" t="s">
        <v>1230</v>
      </c>
      <c r="B702" s="100" t="s">
        <v>4552</v>
      </c>
    </row>
    <row r="703" spans="1:2" ht="13.5">
      <c r="A703" s="169" t="s">
        <v>1231</v>
      </c>
      <c r="B703" s="100" t="s">
        <v>4552</v>
      </c>
    </row>
    <row r="704" spans="1:2" ht="13.5">
      <c r="A704" s="169" t="s">
        <v>1232</v>
      </c>
      <c r="B704" s="100" t="s">
        <v>4552</v>
      </c>
    </row>
    <row r="705" spans="1:2" ht="13.5">
      <c r="A705" s="169" t="s">
        <v>1233</v>
      </c>
      <c r="B705" s="100" t="s">
        <v>4552</v>
      </c>
    </row>
    <row r="706" spans="1:2" ht="13.5">
      <c r="A706" s="169" t="s">
        <v>1234</v>
      </c>
      <c r="B706" s="100" t="s">
        <v>4552</v>
      </c>
    </row>
    <row r="707" spans="1:2" ht="13.5">
      <c r="A707" s="169" t="s">
        <v>1235</v>
      </c>
      <c r="B707" s="100" t="s">
        <v>4552</v>
      </c>
    </row>
    <row r="708" spans="1:2" ht="13.5">
      <c r="A708" s="169" t="s">
        <v>1236</v>
      </c>
      <c r="B708" s="100" t="s">
        <v>4552</v>
      </c>
    </row>
    <row r="709" spans="1:2" ht="13.5">
      <c r="A709" s="169" t="s">
        <v>1237</v>
      </c>
      <c r="B709" s="100" t="s">
        <v>4552</v>
      </c>
    </row>
    <row r="710" spans="1:2" ht="13.5">
      <c r="A710" s="169" t="s">
        <v>1238</v>
      </c>
      <c r="B710" s="100" t="s">
        <v>4552</v>
      </c>
    </row>
    <row r="711" spans="1:2" ht="13.5">
      <c r="A711" s="169" t="s">
        <v>1239</v>
      </c>
      <c r="B711" s="100" t="s">
        <v>4552</v>
      </c>
    </row>
    <row r="712" spans="1:2" ht="13.5">
      <c r="A712" s="169" t="s">
        <v>1240</v>
      </c>
      <c r="B712" s="100" t="s">
        <v>4552</v>
      </c>
    </row>
    <row r="713" spans="1:2" ht="13.5">
      <c r="A713" s="169" t="s">
        <v>1241</v>
      </c>
      <c r="B713" s="100" t="s">
        <v>4552</v>
      </c>
    </row>
    <row r="714" spans="1:2" ht="13.5">
      <c r="A714" s="169" t="s">
        <v>1242</v>
      </c>
      <c r="B714" s="100" t="s">
        <v>4552</v>
      </c>
    </row>
    <row r="715" spans="1:2" ht="13.5">
      <c r="A715" s="169" t="s">
        <v>1243</v>
      </c>
      <c r="B715" s="100" t="s">
        <v>4552</v>
      </c>
    </row>
    <row r="716" spans="1:2" ht="13.5">
      <c r="A716" s="169" t="s">
        <v>1244</v>
      </c>
      <c r="B716" s="100" t="s">
        <v>4552</v>
      </c>
    </row>
    <row r="717" spans="1:2" ht="13.5">
      <c r="A717" s="169" t="s">
        <v>1245</v>
      </c>
      <c r="B717" s="100" t="s">
        <v>4552</v>
      </c>
    </row>
    <row r="718" spans="1:2" ht="13.5">
      <c r="A718" s="169" t="s">
        <v>1246</v>
      </c>
      <c r="B718" s="100" t="s">
        <v>4552</v>
      </c>
    </row>
    <row r="719" spans="1:2" ht="13.5">
      <c r="A719" s="169" t="s">
        <v>1247</v>
      </c>
      <c r="B719" s="100" t="s">
        <v>4552</v>
      </c>
    </row>
    <row r="720" spans="1:2" ht="13.5">
      <c r="A720" s="169" t="s">
        <v>1248</v>
      </c>
      <c r="B720" s="100" t="s">
        <v>4552</v>
      </c>
    </row>
    <row r="721" spans="1:2" ht="13.5">
      <c r="A721" s="169" t="s">
        <v>1249</v>
      </c>
      <c r="B721" s="100" t="s">
        <v>4552</v>
      </c>
    </row>
    <row r="722" spans="1:2" ht="13.5">
      <c r="A722" s="169" t="s">
        <v>1250</v>
      </c>
      <c r="B722" s="100" t="s">
        <v>4552</v>
      </c>
    </row>
    <row r="723" spans="1:2" ht="13.5">
      <c r="A723" s="169" t="s">
        <v>1251</v>
      </c>
      <c r="B723" s="100" t="s">
        <v>4552</v>
      </c>
    </row>
    <row r="724" spans="1:2" ht="13.5">
      <c r="A724" s="169" t="s">
        <v>1252</v>
      </c>
      <c r="B724" s="100" t="s">
        <v>4552</v>
      </c>
    </row>
    <row r="725" spans="1:2" ht="13.5">
      <c r="A725" s="169" t="s">
        <v>1253</v>
      </c>
      <c r="B725" s="100" t="s">
        <v>4552</v>
      </c>
    </row>
    <row r="726" spans="1:2" ht="13.5">
      <c r="A726" s="169" t="s">
        <v>1254</v>
      </c>
      <c r="B726" s="100" t="s">
        <v>4552</v>
      </c>
    </row>
    <row r="727" spans="1:2" ht="13.5">
      <c r="A727" s="169" t="s">
        <v>1255</v>
      </c>
      <c r="B727" s="100" t="s">
        <v>4552</v>
      </c>
    </row>
    <row r="728" spans="1:2" ht="13.5">
      <c r="A728" s="169" t="s">
        <v>1256</v>
      </c>
      <c r="B728" s="100" t="s">
        <v>4552</v>
      </c>
    </row>
    <row r="729" spans="1:2" ht="13.5">
      <c r="A729" s="169" t="s">
        <v>1257</v>
      </c>
      <c r="B729" s="100" t="s">
        <v>4552</v>
      </c>
    </row>
    <row r="730" spans="1:2" ht="13.5">
      <c r="A730" s="169" t="s">
        <v>1258</v>
      </c>
      <c r="B730" s="100" t="s">
        <v>4552</v>
      </c>
    </row>
    <row r="731" spans="1:2" ht="13.5">
      <c r="A731" s="169" t="s">
        <v>1259</v>
      </c>
      <c r="B731" s="100" t="s">
        <v>4552</v>
      </c>
    </row>
    <row r="732" spans="1:2" ht="13.5">
      <c r="A732" s="169" t="s">
        <v>1260</v>
      </c>
      <c r="B732" s="100" t="s">
        <v>4552</v>
      </c>
    </row>
    <row r="733" spans="1:2" ht="13.5">
      <c r="A733" s="169" t="s">
        <v>1261</v>
      </c>
      <c r="B733" s="100" t="s">
        <v>4552</v>
      </c>
    </row>
    <row r="734" spans="1:2" ht="13.5">
      <c r="A734" s="169" t="s">
        <v>1262</v>
      </c>
      <c r="B734" s="100" t="s">
        <v>4552</v>
      </c>
    </row>
    <row r="735" spans="1:2" ht="13.5">
      <c r="A735" s="169" t="s">
        <v>1263</v>
      </c>
      <c r="B735" s="100" t="s">
        <v>4552</v>
      </c>
    </row>
    <row r="736" spans="1:2" ht="13.5">
      <c r="A736" s="169" t="s">
        <v>1264</v>
      </c>
      <c r="B736" s="100" t="s">
        <v>4552</v>
      </c>
    </row>
    <row r="737" spans="1:2" ht="13.5">
      <c r="A737" s="169" t="s">
        <v>1265</v>
      </c>
      <c r="B737" s="100" t="s">
        <v>4552</v>
      </c>
    </row>
    <row r="738" spans="1:2" ht="13.5">
      <c r="A738" s="169" t="s">
        <v>1266</v>
      </c>
      <c r="B738" s="100" t="s">
        <v>4552</v>
      </c>
    </row>
    <row r="739" spans="1:2" ht="13.5">
      <c r="A739" s="169" t="s">
        <v>1267</v>
      </c>
      <c r="B739" s="100" t="s">
        <v>4552</v>
      </c>
    </row>
    <row r="740" spans="1:2" ht="13.5">
      <c r="A740" s="169" t="s">
        <v>1268</v>
      </c>
      <c r="B740" s="100" t="s">
        <v>4552</v>
      </c>
    </row>
    <row r="741" spans="1:2" ht="13.5">
      <c r="A741" s="169" t="s">
        <v>1269</v>
      </c>
      <c r="B741" s="100" t="s">
        <v>4552</v>
      </c>
    </row>
    <row r="742" spans="1:2" ht="13.5">
      <c r="A742" s="169" t="s">
        <v>1270</v>
      </c>
      <c r="B742" s="100" t="s">
        <v>4552</v>
      </c>
    </row>
    <row r="743" spans="1:2" ht="13.5">
      <c r="A743" s="169" t="s">
        <v>1271</v>
      </c>
      <c r="B743" s="100" t="s">
        <v>4552</v>
      </c>
    </row>
    <row r="744" spans="1:2" ht="13.5">
      <c r="A744" s="169" t="s">
        <v>1272</v>
      </c>
      <c r="B744" s="100" t="s">
        <v>4552</v>
      </c>
    </row>
    <row r="745" spans="1:2" ht="13.5">
      <c r="A745" s="169" t="s">
        <v>1273</v>
      </c>
      <c r="B745" s="100" t="s">
        <v>4552</v>
      </c>
    </row>
    <row r="746" spans="1:2" ht="13.5">
      <c r="A746" s="169" t="s">
        <v>1274</v>
      </c>
      <c r="B746" s="100" t="s">
        <v>4552</v>
      </c>
    </row>
    <row r="747" spans="1:2" ht="13.5">
      <c r="A747" s="169" t="s">
        <v>1275</v>
      </c>
      <c r="B747" s="100" t="s">
        <v>4552</v>
      </c>
    </row>
    <row r="748" spans="1:2" ht="13.5">
      <c r="A748" s="169" t="s">
        <v>1276</v>
      </c>
      <c r="B748" s="100" t="s">
        <v>4552</v>
      </c>
    </row>
    <row r="749" spans="1:2" ht="13.5">
      <c r="A749" s="169" t="s">
        <v>1277</v>
      </c>
      <c r="B749" s="100" t="s">
        <v>4552</v>
      </c>
    </row>
    <row r="750" spans="1:2" ht="13.5">
      <c r="A750" s="169" t="s">
        <v>1278</v>
      </c>
      <c r="B750" s="100" t="s">
        <v>4552</v>
      </c>
    </row>
    <row r="751" spans="1:2" ht="13.5">
      <c r="A751" s="169" t="s">
        <v>1279</v>
      </c>
      <c r="B751" s="100" t="s">
        <v>4552</v>
      </c>
    </row>
    <row r="752" spans="1:2" ht="13.5">
      <c r="A752" s="169" t="s">
        <v>1280</v>
      </c>
      <c r="B752" s="100" t="s">
        <v>4552</v>
      </c>
    </row>
    <row r="753" spans="1:2" ht="13.5">
      <c r="A753" s="169" t="s">
        <v>1281</v>
      </c>
      <c r="B753" s="100" t="s">
        <v>4552</v>
      </c>
    </row>
    <row r="754" spans="1:2" ht="13.5">
      <c r="A754" s="169" t="s">
        <v>1282</v>
      </c>
      <c r="B754" s="100" t="s">
        <v>4552</v>
      </c>
    </row>
    <row r="755" spans="1:2" ht="13.5">
      <c r="A755" s="169" t="s">
        <v>1283</v>
      </c>
      <c r="B755" s="100" t="s">
        <v>4552</v>
      </c>
    </row>
    <row r="756" spans="1:2" ht="13.5">
      <c r="A756" s="169" t="s">
        <v>1284</v>
      </c>
      <c r="B756" s="100" t="s">
        <v>4552</v>
      </c>
    </row>
    <row r="757" spans="1:2" ht="13.5">
      <c r="A757" s="169" t="s">
        <v>1285</v>
      </c>
      <c r="B757" s="100" t="s">
        <v>4552</v>
      </c>
    </row>
    <row r="758" spans="1:2" ht="13.5">
      <c r="A758" s="169" t="s">
        <v>1286</v>
      </c>
      <c r="B758" s="100" t="s">
        <v>4552</v>
      </c>
    </row>
    <row r="759" spans="1:2" ht="13.5">
      <c r="A759" s="169" t="s">
        <v>1287</v>
      </c>
      <c r="B759" s="100" t="s">
        <v>4552</v>
      </c>
    </row>
    <row r="760" spans="1:2" ht="13.5">
      <c r="A760" s="169" t="s">
        <v>1288</v>
      </c>
      <c r="B760" s="100" t="s">
        <v>4552</v>
      </c>
    </row>
    <row r="761" spans="1:2" ht="13.5">
      <c r="A761" s="169" t="s">
        <v>1289</v>
      </c>
      <c r="B761" s="100" t="s">
        <v>4552</v>
      </c>
    </row>
    <row r="762" spans="1:2" ht="13.5">
      <c r="A762" s="169" t="s">
        <v>1290</v>
      </c>
      <c r="B762" s="100" t="s">
        <v>4552</v>
      </c>
    </row>
    <row r="763" spans="1:2" ht="13.5">
      <c r="A763" s="169" t="s">
        <v>1291</v>
      </c>
      <c r="B763" s="100" t="s">
        <v>4552</v>
      </c>
    </row>
    <row r="764" spans="1:2" ht="13.5">
      <c r="A764" s="169" t="s">
        <v>1292</v>
      </c>
      <c r="B764" s="100" t="s">
        <v>4552</v>
      </c>
    </row>
    <row r="765" spans="1:2" ht="13.5">
      <c r="A765" s="169" t="s">
        <v>1293</v>
      </c>
      <c r="B765" s="100" t="s">
        <v>4552</v>
      </c>
    </row>
    <row r="766" spans="1:2" ht="13.5">
      <c r="A766" s="169" t="s">
        <v>1294</v>
      </c>
      <c r="B766" s="100" t="s">
        <v>4552</v>
      </c>
    </row>
    <row r="767" spans="1:2" ht="13.5">
      <c r="A767" s="169" t="s">
        <v>1295</v>
      </c>
      <c r="B767" s="100" t="s">
        <v>4552</v>
      </c>
    </row>
    <row r="768" spans="1:2" ht="13.5">
      <c r="A768" s="169" t="s">
        <v>1296</v>
      </c>
      <c r="B768" s="100" t="s">
        <v>4552</v>
      </c>
    </row>
    <row r="769" spans="1:2" ht="13.5">
      <c r="A769" s="169" t="s">
        <v>1297</v>
      </c>
      <c r="B769" s="100" t="s">
        <v>4552</v>
      </c>
    </row>
    <row r="770" spans="1:2" ht="13.5">
      <c r="A770" s="169" t="s">
        <v>1298</v>
      </c>
      <c r="B770" s="100" t="s">
        <v>4552</v>
      </c>
    </row>
    <row r="771" spans="1:2" ht="13.5">
      <c r="A771" s="169" t="s">
        <v>1299</v>
      </c>
      <c r="B771" s="100" t="s">
        <v>4552</v>
      </c>
    </row>
    <row r="772" spans="1:2" ht="13.5">
      <c r="A772" s="169" t="s">
        <v>1300</v>
      </c>
      <c r="B772" s="100" t="s">
        <v>4552</v>
      </c>
    </row>
    <row r="773" spans="1:2" ht="13.5">
      <c r="A773" s="169" t="s">
        <v>1301</v>
      </c>
      <c r="B773" s="100" t="s">
        <v>4552</v>
      </c>
    </row>
    <row r="774" spans="1:2" ht="13.5">
      <c r="A774" s="169" t="s">
        <v>1302</v>
      </c>
      <c r="B774" s="100" t="s">
        <v>4552</v>
      </c>
    </row>
    <row r="775" spans="1:2" ht="13.5">
      <c r="A775" s="169" t="s">
        <v>1303</v>
      </c>
      <c r="B775" s="100" t="s">
        <v>4552</v>
      </c>
    </row>
    <row r="776" spans="1:2" ht="13.5">
      <c r="A776" s="169" t="s">
        <v>1304</v>
      </c>
      <c r="B776" s="100" t="s">
        <v>4552</v>
      </c>
    </row>
    <row r="777" spans="1:2" ht="13.5">
      <c r="A777" s="169" t="s">
        <v>1305</v>
      </c>
      <c r="B777" s="100" t="s">
        <v>4552</v>
      </c>
    </row>
    <row r="778" spans="1:2" ht="13.5">
      <c r="A778" s="169" t="s">
        <v>1306</v>
      </c>
      <c r="B778" s="100" t="s">
        <v>4552</v>
      </c>
    </row>
    <row r="779" spans="1:2" ht="13.5">
      <c r="A779" s="169" t="s">
        <v>1307</v>
      </c>
      <c r="B779" s="100" t="s">
        <v>4552</v>
      </c>
    </row>
    <row r="780" spans="1:2" ht="13.5">
      <c r="A780" s="169" t="s">
        <v>1308</v>
      </c>
      <c r="B780" s="100" t="s">
        <v>4552</v>
      </c>
    </row>
    <row r="781" spans="1:2" ht="13.5">
      <c r="A781" s="169" t="s">
        <v>1309</v>
      </c>
      <c r="B781" s="100" t="s">
        <v>4552</v>
      </c>
    </row>
    <row r="782" spans="1:2" ht="13.5">
      <c r="A782" s="169" t="s">
        <v>1310</v>
      </c>
      <c r="B782" s="100" t="s">
        <v>4552</v>
      </c>
    </row>
    <row r="783" spans="1:2" ht="13.5">
      <c r="A783" s="169" t="s">
        <v>1311</v>
      </c>
      <c r="B783" s="100" t="s">
        <v>4552</v>
      </c>
    </row>
    <row r="784" spans="1:2" ht="13.5">
      <c r="A784" s="169" t="s">
        <v>1312</v>
      </c>
      <c r="B784" s="100" t="s">
        <v>4552</v>
      </c>
    </row>
    <row r="785" spans="1:2" ht="13.5">
      <c r="A785" s="169" t="s">
        <v>1313</v>
      </c>
      <c r="B785" s="100" t="s">
        <v>4552</v>
      </c>
    </row>
    <row r="786" spans="1:2" ht="13.5">
      <c r="A786" s="169" t="s">
        <v>1314</v>
      </c>
      <c r="B786" s="100" t="s">
        <v>4552</v>
      </c>
    </row>
    <row r="787" spans="1:2" ht="13.5">
      <c r="A787" s="169" t="s">
        <v>1315</v>
      </c>
      <c r="B787" s="100" t="s">
        <v>4552</v>
      </c>
    </row>
    <row r="788" spans="1:2" ht="13.5">
      <c r="A788" s="169" t="s">
        <v>1316</v>
      </c>
      <c r="B788" s="100" t="s">
        <v>4552</v>
      </c>
    </row>
    <row r="789" spans="1:2" ht="13.5">
      <c r="A789" s="169" t="s">
        <v>1317</v>
      </c>
      <c r="B789" s="100" t="s">
        <v>4552</v>
      </c>
    </row>
    <row r="790" spans="1:2" ht="13.5">
      <c r="A790" s="169" t="s">
        <v>1318</v>
      </c>
      <c r="B790" s="100" t="s">
        <v>4552</v>
      </c>
    </row>
    <row r="791" spans="1:2" ht="13.5">
      <c r="A791" s="169" t="s">
        <v>1319</v>
      </c>
      <c r="B791" s="100" t="s">
        <v>4552</v>
      </c>
    </row>
    <row r="792" spans="1:2" ht="13.5">
      <c r="A792" s="169" t="s">
        <v>1320</v>
      </c>
      <c r="B792" s="100" t="s">
        <v>4552</v>
      </c>
    </row>
    <row r="793" spans="1:2" ht="13.5">
      <c r="A793" s="169" t="s">
        <v>1321</v>
      </c>
      <c r="B793" s="100" t="s">
        <v>4552</v>
      </c>
    </row>
    <row r="794" spans="1:2" ht="13.5">
      <c r="A794" s="169" t="s">
        <v>1322</v>
      </c>
      <c r="B794" s="100" t="s">
        <v>4552</v>
      </c>
    </row>
    <row r="795" spans="1:2" ht="13.5">
      <c r="A795" s="169" t="s">
        <v>1323</v>
      </c>
      <c r="B795" s="100" t="s">
        <v>4552</v>
      </c>
    </row>
    <row r="796" spans="1:2" ht="13.5">
      <c r="A796" s="169" t="s">
        <v>1324</v>
      </c>
      <c r="B796" s="100" t="s">
        <v>4552</v>
      </c>
    </row>
    <row r="797" spans="1:2" ht="13.5">
      <c r="A797" s="169" t="s">
        <v>1325</v>
      </c>
      <c r="B797" s="100" t="s">
        <v>4552</v>
      </c>
    </row>
    <row r="798" spans="1:2" ht="13.5">
      <c r="A798" s="169" t="s">
        <v>1326</v>
      </c>
      <c r="B798" s="100" t="s">
        <v>4552</v>
      </c>
    </row>
    <row r="799" spans="1:2" ht="13.5">
      <c r="A799" s="169" t="s">
        <v>1327</v>
      </c>
      <c r="B799" s="100" t="s">
        <v>4552</v>
      </c>
    </row>
    <row r="800" spans="1:2" ht="13.5">
      <c r="A800" s="169" t="s">
        <v>1328</v>
      </c>
      <c r="B800" s="100" t="s">
        <v>4552</v>
      </c>
    </row>
    <row r="801" spans="1:2" ht="13.5">
      <c r="A801" s="169" t="s">
        <v>1329</v>
      </c>
      <c r="B801" s="100" t="s">
        <v>4552</v>
      </c>
    </row>
    <row r="802" spans="1:2" ht="13.5">
      <c r="A802" s="169" t="s">
        <v>1330</v>
      </c>
      <c r="B802" s="100" t="s">
        <v>4552</v>
      </c>
    </row>
    <row r="803" spans="1:2" ht="13.5">
      <c r="A803" s="169" t="s">
        <v>1331</v>
      </c>
      <c r="B803" s="100" t="s">
        <v>4552</v>
      </c>
    </row>
    <row r="804" spans="1:2" ht="13.5">
      <c r="A804" s="169" t="s">
        <v>1332</v>
      </c>
      <c r="B804" s="100" t="s">
        <v>4552</v>
      </c>
    </row>
    <row r="805" spans="1:2" ht="13.5">
      <c r="A805" s="169" t="s">
        <v>1333</v>
      </c>
      <c r="B805" s="100" t="s">
        <v>4552</v>
      </c>
    </row>
    <row r="806" spans="1:2" ht="13.5">
      <c r="A806" s="169" t="s">
        <v>1334</v>
      </c>
      <c r="B806" s="100" t="s">
        <v>4552</v>
      </c>
    </row>
    <row r="807" spans="1:2" ht="13.5">
      <c r="A807" s="169" t="s">
        <v>1335</v>
      </c>
      <c r="B807" s="100" t="s">
        <v>4552</v>
      </c>
    </row>
    <row r="808" spans="1:2" ht="13.5">
      <c r="A808" s="169" t="s">
        <v>1336</v>
      </c>
      <c r="B808" s="100" t="s">
        <v>4552</v>
      </c>
    </row>
    <row r="809" spans="1:2" ht="13.5">
      <c r="A809" s="169" t="s">
        <v>1337</v>
      </c>
      <c r="B809" s="100" t="s">
        <v>4552</v>
      </c>
    </row>
    <row r="810" spans="1:2" ht="13.5">
      <c r="A810" s="169" t="s">
        <v>1338</v>
      </c>
      <c r="B810" s="100" t="s">
        <v>4552</v>
      </c>
    </row>
    <row r="811" spans="1:2" ht="13.5">
      <c r="A811" s="169" t="s">
        <v>1339</v>
      </c>
      <c r="B811" s="100" t="s">
        <v>4552</v>
      </c>
    </row>
    <row r="812" spans="1:2" ht="13.5">
      <c r="A812" s="169" t="s">
        <v>1340</v>
      </c>
      <c r="B812" s="100" t="s">
        <v>4552</v>
      </c>
    </row>
    <row r="813" spans="1:2" ht="13.5">
      <c r="A813" s="169" t="s">
        <v>1341</v>
      </c>
      <c r="B813" s="100" t="s">
        <v>4552</v>
      </c>
    </row>
    <row r="814" spans="1:2" ht="13.5">
      <c r="A814" s="169" t="s">
        <v>1342</v>
      </c>
      <c r="B814" s="100" t="s">
        <v>4552</v>
      </c>
    </row>
    <row r="815" spans="1:2" ht="13.5">
      <c r="A815" s="169" t="s">
        <v>1343</v>
      </c>
      <c r="B815" s="100" t="s">
        <v>4552</v>
      </c>
    </row>
    <row r="816" spans="1:2" ht="13.5">
      <c r="A816" s="169" t="s">
        <v>1344</v>
      </c>
      <c r="B816" s="100" t="s">
        <v>4552</v>
      </c>
    </row>
    <row r="817" spans="1:2" ht="13.5">
      <c r="A817" s="169" t="s">
        <v>1345</v>
      </c>
      <c r="B817" s="100" t="s">
        <v>4552</v>
      </c>
    </row>
    <row r="818" spans="1:2" ht="13.5">
      <c r="A818" s="169" t="s">
        <v>1346</v>
      </c>
      <c r="B818" s="100" t="s">
        <v>4552</v>
      </c>
    </row>
    <row r="819" spans="1:2" ht="13.5">
      <c r="A819" s="169" t="s">
        <v>1347</v>
      </c>
      <c r="B819" s="100" t="s">
        <v>4552</v>
      </c>
    </row>
    <row r="820" spans="1:2" ht="13.5">
      <c r="A820" s="169" t="s">
        <v>1348</v>
      </c>
      <c r="B820" s="100" t="s">
        <v>4552</v>
      </c>
    </row>
    <row r="821" spans="1:2" ht="13.5">
      <c r="A821" s="169" t="s">
        <v>1349</v>
      </c>
      <c r="B821" s="100" t="s">
        <v>4552</v>
      </c>
    </row>
    <row r="822" spans="1:2" ht="13.5">
      <c r="A822" s="169" t="s">
        <v>1350</v>
      </c>
      <c r="B822" s="100" t="s">
        <v>4552</v>
      </c>
    </row>
    <row r="823" spans="1:2" ht="13.5">
      <c r="A823" s="169" t="s">
        <v>1351</v>
      </c>
      <c r="B823" s="100" t="s">
        <v>4552</v>
      </c>
    </row>
    <row r="824" spans="1:2" ht="13.5">
      <c r="A824" s="169" t="s">
        <v>1352</v>
      </c>
      <c r="B824" s="100" t="s">
        <v>4552</v>
      </c>
    </row>
    <row r="825" spans="1:2" ht="13.5">
      <c r="A825" s="169" t="s">
        <v>1353</v>
      </c>
      <c r="B825" s="100" t="s">
        <v>4552</v>
      </c>
    </row>
    <row r="826" spans="1:2" ht="13.5">
      <c r="A826" s="169" t="s">
        <v>1354</v>
      </c>
      <c r="B826" s="100" t="s">
        <v>4552</v>
      </c>
    </row>
    <row r="827" spans="1:2" ht="13.5">
      <c r="A827" s="169" t="s">
        <v>1355</v>
      </c>
      <c r="B827" s="100" t="s">
        <v>4552</v>
      </c>
    </row>
    <row r="828" spans="1:2" ht="13.5">
      <c r="A828" s="169" t="s">
        <v>1356</v>
      </c>
      <c r="B828" s="100" t="s">
        <v>4552</v>
      </c>
    </row>
    <row r="829" spans="1:2" ht="13.5">
      <c r="A829" s="169" t="s">
        <v>1357</v>
      </c>
      <c r="B829" s="100" t="s">
        <v>4552</v>
      </c>
    </row>
    <row r="830" spans="1:2" ht="13.5">
      <c r="A830" s="169" t="s">
        <v>1358</v>
      </c>
      <c r="B830" s="100" t="s">
        <v>4552</v>
      </c>
    </row>
    <row r="831" spans="1:2" ht="13.5">
      <c r="A831" s="169" t="s">
        <v>1359</v>
      </c>
      <c r="B831" s="100" t="s">
        <v>4552</v>
      </c>
    </row>
    <row r="832" spans="1:2" ht="13.5">
      <c r="A832" s="169" t="s">
        <v>1360</v>
      </c>
      <c r="B832" s="100" t="s">
        <v>4552</v>
      </c>
    </row>
    <row r="833" spans="1:2" ht="13.5">
      <c r="A833" s="169" t="s">
        <v>1361</v>
      </c>
      <c r="B833" s="100" t="s">
        <v>4552</v>
      </c>
    </row>
    <row r="834" spans="1:2" ht="13.5">
      <c r="A834" s="169" t="s">
        <v>1362</v>
      </c>
      <c r="B834" s="100" t="s">
        <v>4552</v>
      </c>
    </row>
    <row r="835" spans="1:2" ht="13.5">
      <c r="A835" s="169" t="s">
        <v>1363</v>
      </c>
      <c r="B835" s="100" t="s">
        <v>4552</v>
      </c>
    </row>
    <row r="836" spans="1:2" ht="13.5">
      <c r="A836" s="169" t="s">
        <v>1364</v>
      </c>
      <c r="B836" s="100" t="s">
        <v>4552</v>
      </c>
    </row>
    <row r="837" spans="1:2" ht="13.5">
      <c r="A837" s="169" t="s">
        <v>1365</v>
      </c>
      <c r="B837" s="100" t="s">
        <v>4552</v>
      </c>
    </row>
    <row r="838" spans="1:2" ht="13.5">
      <c r="A838" s="169" t="s">
        <v>1366</v>
      </c>
      <c r="B838" s="100" t="s">
        <v>4552</v>
      </c>
    </row>
    <row r="839" spans="1:2" ht="13.5">
      <c r="A839" s="169" t="s">
        <v>1367</v>
      </c>
      <c r="B839" s="100" t="s">
        <v>4552</v>
      </c>
    </row>
    <row r="840" spans="1:2" ht="13.5">
      <c r="A840" s="169" t="s">
        <v>1368</v>
      </c>
      <c r="B840" s="100" t="s">
        <v>4552</v>
      </c>
    </row>
    <row r="841" spans="1:2" ht="13.5">
      <c r="A841" s="169" t="s">
        <v>1369</v>
      </c>
      <c r="B841" s="100" t="s">
        <v>4552</v>
      </c>
    </row>
    <row r="842" spans="1:2" ht="13.5">
      <c r="A842" s="169" t="s">
        <v>1370</v>
      </c>
      <c r="B842" s="100" t="s">
        <v>4552</v>
      </c>
    </row>
    <row r="843" spans="1:2" ht="13.5">
      <c r="A843" s="169" t="s">
        <v>1371</v>
      </c>
      <c r="B843" s="100" t="s">
        <v>4552</v>
      </c>
    </row>
    <row r="844" spans="1:2" ht="13.5">
      <c r="A844" s="169" t="s">
        <v>1372</v>
      </c>
      <c r="B844" s="100" t="s">
        <v>4552</v>
      </c>
    </row>
    <row r="845" spans="1:2" ht="13.5">
      <c r="A845" s="169" t="s">
        <v>1373</v>
      </c>
      <c r="B845" s="100" t="s">
        <v>4552</v>
      </c>
    </row>
    <row r="846" spans="1:2" ht="13.5">
      <c r="A846" s="169" t="s">
        <v>1374</v>
      </c>
      <c r="B846" s="100" t="s">
        <v>4552</v>
      </c>
    </row>
    <row r="847" spans="1:2" ht="13.5">
      <c r="A847" s="169" t="s">
        <v>1375</v>
      </c>
      <c r="B847" s="100" t="s">
        <v>4552</v>
      </c>
    </row>
    <row r="848" spans="1:2" ht="13.5">
      <c r="A848" s="169" t="s">
        <v>1376</v>
      </c>
      <c r="B848" s="100" t="s">
        <v>4552</v>
      </c>
    </row>
    <row r="849" spans="1:2" ht="13.5">
      <c r="A849" s="168" t="s">
        <v>4606</v>
      </c>
      <c r="B849" s="100" t="s">
        <v>4558</v>
      </c>
    </row>
    <row r="850" spans="1:2" ht="13.5">
      <c r="A850" s="169" t="s">
        <v>1377</v>
      </c>
      <c r="B850" s="100" t="s">
        <v>4552</v>
      </c>
    </row>
    <row r="851" spans="1:2" ht="13.5">
      <c r="A851" s="169" t="s">
        <v>1378</v>
      </c>
      <c r="B851" s="100" t="s">
        <v>4552</v>
      </c>
    </row>
    <row r="852" spans="1:2" ht="13.5">
      <c r="A852" s="169" t="s">
        <v>1379</v>
      </c>
      <c r="B852" s="100" t="s">
        <v>4552</v>
      </c>
    </row>
    <row r="853" spans="1:2" ht="13.5">
      <c r="A853" s="169" t="s">
        <v>1380</v>
      </c>
      <c r="B853" s="100" t="s">
        <v>4552</v>
      </c>
    </row>
    <row r="854" spans="1:2" ht="13.5">
      <c r="A854" s="169" t="s">
        <v>1381</v>
      </c>
      <c r="B854" s="100" t="s">
        <v>4552</v>
      </c>
    </row>
    <row r="855" spans="1:2" ht="13.5">
      <c r="A855" s="169" t="s">
        <v>1382</v>
      </c>
      <c r="B855" s="100" t="s">
        <v>4552</v>
      </c>
    </row>
    <row r="856" spans="1:2" ht="13.5">
      <c r="A856" s="169" t="s">
        <v>1383</v>
      </c>
      <c r="B856" s="100" t="s">
        <v>4552</v>
      </c>
    </row>
    <row r="857" spans="1:2" ht="13.5">
      <c r="A857" s="169" t="s">
        <v>1384</v>
      </c>
      <c r="B857" s="100" t="s">
        <v>4552</v>
      </c>
    </row>
    <row r="858" spans="1:2" ht="13.5">
      <c r="A858" s="169" t="s">
        <v>1385</v>
      </c>
      <c r="B858" s="100" t="s">
        <v>4552</v>
      </c>
    </row>
    <row r="859" spans="1:2" ht="13.5">
      <c r="A859" s="169" t="s">
        <v>1386</v>
      </c>
      <c r="B859" s="100" t="s">
        <v>4552</v>
      </c>
    </row>
    <row r="860" spans="1:2" ht="13.5">
      <c r="A860" s="169" t="s">
        <v>1387</v>
      </c>
      <c r="B860" s="100" t="s">
        <v>4552</v>
      </c>
    </row>
    <row r="861" spans="1:2" ht="13.5">
      <c r="A861" s="169" t="s">
        <v>1388</v>
      </c>
      <c r="B861" s="100" t="s">
        <v>4552</v>
      </c>
    </row>
    <row r="862" spans="1:2" ht="13.5">
      <c r="A862" s="169" t="s">
        <v>1389</v>
      </c>
      <c r="B862" s="100" t="s">
        <v>4552</v>
      </c>
    </row>
    <row r="863" spans="1:2" ht="13.5">
      <c r="A863" s="169" t="s">
        <v>1390</v>
      </c>
      <c r="B863" s="100" t="s">
        <v>4552</v>
      </c>
    </row>
    <row r="864" spans="1:2" ht="13.5">
      <c r="A864" s="169" t="s">
        <v>1391</v>
      </c>
      <c r="B864" s="100" t="s">
        <v>4552</v>
      </c>
    </row>
    <row r="865" spans="1:2" ht="13.5">
      <c r="A865" s="169" t="s">
        <v>1392</v>
      </c>
      <c r="B865" s="100" t="s">
        <v>4552</v>
      </c>
    </row>
    <row r="866" spans="1:2" ht="13.5">
      <c r="A866" s="169" t="s">
        <v>1393</v>
      </c>
      <c r="B866" s="100" t="s">
        <v>4552</v>
      </c>
    </row>
    <row r="867" spans="1:2" ht="13.5">
      <c r="A867" s="169" t="s">
        <v>1394</v>
      </c>
      <c r="B867" s="100" t="s">
        <v>4552</v>
      </c>
    </row>
    <row r="868" spans="1:2" ht="13.5">
      <c r="A868" s="169" t="s">
        <v>1395</v>
      </c>
      <c r="B868" s="100" t="s">
        <v>4552</v>
      </c>
    </row>
    <row r="869" spans="1:2" ht="13.5">
      <c r="A869" s="169" t="s">
        <v>1396</v>
      </c>
      <c r="B869" s="100" t="s">
        <v>4552</v>
      </c>
    </row>
    <row r="870" spans="1:2" ht="13.5">
      <c r="A870" s="169" t="s">
        <v>1397</v>
      </c>
      <c r="B870" s="100" t="s">
        <v>4552</v>
      </c>
    </row>
    <row r="871" spans="1:2" ht="13.5">
      <c r="A871" s="169" t="s">
        <v>1398</v>
      </c>
      <c r="B871" s="100" t="s">
        <v>4552</v>
      </c>
    </row>
    <row r="872" spans="1:2" ht="13.5">
      <c r="A872" s="169" t="s">
        <v>1399</v>
      </c>
      <c r="B872" s="100" t="s">
        <v>4552</v>
      </c>
    </row>
    <row r="873" spans="1:2" ht="13.5">
      <c r="A873" s="169" t="s">
        <v>1400</v>
      </c>
      <c r="B873" s="100" t="s">
        <v>4552</v>
      </c>
    </row>
    <row r="874" spans="1:2" ht="13.5">
      <c r="A874" s="169" t="s">
        <v>1401</v>
      </c>
      <c r="B874" s="100" t="s">
        <v>4552</v>
      </c>
    </row>
    <row r="875" spans="1:2" ht="13.5">
      <c r="A875" s="169" t="s">
        <v>1402</v>
      </c>
      <c r="B875" s="100" t="s">
        <v>4552</v>
      </c>
    </row>
    <row r="876" spans="1:2" ht="13.5">
      <c r="A876" s="169" t="s">
        <v>1403</v>
      </c>
      <c r="B876" s="100" t="s">
        <v>4552</v>
      </c>
    </row>
    <row r="877" spans="1:2" ht="13.5">
      <c r="A877" s="169" t="s">
        <v>1404</v>
      </c>
      <c r="B877" s="100" t="s">
        <v>4552</v>
      </c>
    </row>
    <row r="878" spans="1:2" ht="13.5">
      <c r="A878" s="169" t="s">
        <v>1405</v>
      </c>
      <c r="B878" s="100" t="s">
        <v>4552</v>
      </c>
    </row>
    <row r="879" spans="1:2" ht="13.5">
      <c r="A879" s="169" t="s">
        <v>1406</v>
      </c>
      <c r="B879" s="100" t="s">
        <v>4552</v>
      </c>
    </row>
    <row r="880" spans="1:2" ht="13.5">
      <c r="A880" s="169" t="s">
        <v>1407</v>
      </c>
      <c r="B880" s="100" t="s">
        <v>4552</v>
      </c>
    </row>
    <row r="881" spans="1:2" ht="13.5">
      <c r="A881" s="169" t="s">
        <v>1408</v>
      </c>
      <c r="B881" s="100" t="s">
        <v>4552</v>
      </c>
    </row>
    <row r="882" spans="1:2" ht="13.5">
      <c r="A882" s="169" t="s">
        <v>1409</v>
      </c>
      <c r="B882" s="100" t="s">
        <v>4552</v>
      </c>
    </row>
    <row r="883" spans="1:2" ht="13.5">
      <c r="A883" s="169" t="s">
        <v>1410</v>
      </c>
      <c r="B883" s="100" t="s">
        <v>4552</v>
      </c>
    </row>
    <row r="884" spans="1:2" ht="13.5">
      <c r="A884" s="169" t="s">
        <v>1411</v>
      </c>
      <c r="B884" s="100" t="s">
        <v>4552</v>
      </c>
    </row>
    <row r="885" spans="1:2" ht="13.5">
      <c r="A885" s="169" t="s">
        <v>1412</v>
      </c>
      <c r="B885" s="100" t="s">
        <v>4552</v>
      </c>
    </row>
    <row r="886" spans="1:2" ht="13.5">
      <c r="A886" s="169" t="s">
        <v>1413</v>
      </c>
      <c r="B886" s="100" t="s">
        <v>4552</v>
      </c>
    </row>
    <row r="887" spans="1:2" ht="13.5">
      <c r="A887" s="169" t="s">
        <v>1414</v>
      </c>
      <c r="B887" s="100" t="s">
        <v>4552</v>
      </c>
    </row>
    <row r="888" spans="1:2" ht="13.5">
      <c r="A888" s="169" t="s">
        <v>1415</v>
      </c>
      <c r="B888" s="100" t="s">
        <v>4552</v>
      </c>
    </row>
    <row r="889" spans="1:2" ht="13.5">
      <c r="A889" s="169" t="s">
        <v>1416</v>
      </c>
      <c r="B889" s="100" t="s">
        <v>4552</v>
      </c>
    </row>
    <row r="890" spans="1:2" ht="13.5">
      <c r="A890" s="169" t="s">
        <v>1417</v>
      </c>
      <c r="B890" s="100" t="s">
        <v>4552</v>
      </c>
    </row>
    <row r="891" spans="1:2" ht="13.5">
      <c r="A891" s="169" t="s">
        <v>1418</v>
      </c>
      <c r="B891" s="100" t="s">
        <v>4552</v>
      </c>
    </row>
    <row r="892" spans="1:2" ht="13.5">
      <c r="A892" s="169" t="s">
        <v>1419</v>
      </c>
      <c r="B892" s="100" t="s">
        <v>4552</v>
      </c>
    </row>
    <row r="893" spans="1:2" ht="13.5">
      <c r="A893" s="169" t="s">
        <v>1420</v>
      </c>
      <c r="B893" s="100" t="s">
        <v>4552</v>
      </c>
    </row>
    <row r="894" spans="1:2" ht="13.5">
      <c r="A894" s="169" t="s">
        <v>1421</v>
      </c>
      <c r="B894" s="100" t="s">
        <v>4552</v>
      </c>
    </row>
    <row r="895" spans="1:2" ht="13.5">
      <c r="A895" s="169" t="s">
        <v>1422</v>
      </c>
      <c r="B895" s="100" t="s">
        <v>4552</v>
      </c>
    </row>
    <row r="896" spans="1:2" ht="13.5">
      <c r="A896" s="169" t="s">
        <v>1423</v>
      </c>
      <c r="B896" s="100" t="s">
        <v>4552</v>
      </c>
    </row>
    <row r="897" spans="1:2" ht="13.5">
      <c r="A897" s="169" t="s">
        <v>1424</v>
      </c>
      <c r="B897" s="100" t="s">
        <v>4552</v>
      </c>
    </row>
    <row r="898" spans="1:2" ht="13.5">
      <c r="A898" s="169" t="s">
        <v>1425</v>
      </c>
      <c r="B898" s="100" t="s">
        <v>4552</v>
      </c>
    </row>
    <row r="899" spans="1:2" ht="13.5">
      <c r="A899" s="169" t="s">
        <v>1426</v>
      </c>
      <c r="B899" s="100" t="s">
        <v>4552</v>
      </c>
    </row>
    <row r="900" spans="1:2" ht="13.5">
      <c r="A900" s="169" t="s">
        <v>1427</v>
      </c>
      <c r="B900" s="100" t="s">
        <v>4552</v>
      </c>
    </row>
    <row r="901" spans="1:2" ht="13.5">
      <c r="A901" s="169" t="s">
        <v>1428</v>
      </c>
      <c r="B901" s="100" t="s">
        <v>4552</v>
      </c>
    </row>
    <row r="902" spans="1:2" ht="13.5">
      <c r="A902" s="169" t="s">
        <v>1429</v>
      </c>
      <c r="B902" s="100" t="s">
        <v>4552</v>
      </c>
    </row>
    <row r="903" spans="1:2" ht="13.5">
      <c r="A903" s="169" t="s">
        <v>1430</v>
      </c>
      <c r="B903" s="100" t="s">
        <v>4552</v>
      </c>
    </row>
    <row r="904" spans="1:2" ht="13.5">
      <c r="A904" s="169" t="s">
        <v>1431</v>
      </c>
      <c r="B904" s="100" t="s">
        <v>4552</v>
      </c>
    </row>
    <row r="905" spans="1:2" ht="13.5">
      <c r="A905" s="169" t="s">
        <v>1432</v>
      </c>
      <c r="B905" s="100" t="s">
        <v>4552</v>
      </c>
    </row>
    <row r="906" spans="1:2" ht="13.5">
      <c r="A906" s="169" t="s">
        <v>1433</v>
      </c>
      <c r="B906" s="100" t="s">
        <v>4552</v>
      </c>
    </row>
    <row r="907" spans="1:2" ht="13.5">
      <c r="A907" s="169" t="s">
        <v>1434</v>
      </c>
      <c r="B907" s="100" t="s">
        <v>4552</v>
      </c>
    </row>
    <row r="908" spans="1:2" ht="13.5">
      <c r="A908" s="169" t="s">
        <v>1435</v>
      </c>
      <c r="B908" s="100" t="s">
        <v>4552</v>
      </c>
    </row>
    <row r="909" spans="1:2" ht="13.5">
      <c r="A909" s="169" t="s">
        <v>1436</v>
      </c>
      <c r="B909" s="100" t="s">
        <v>4552</v>
      </c>
    </row>
    <row r="910" spans="1:2" ht="13.5">
      <c r="A910" s="169" t="s">
        <v>1437</v>
      </c>
      <c r="B910" s="100" t="s">
        <v>4552</v>
      </c>
    </row>
    <row r="911" spans="1:2" ht="13.5">
      <c r="A911" s="169" t="s">
        <v>1438</v>
      </c>
      <c r="B911" s="100" t="s">
        <v>4552</v>
      </c>
    </row>
    <row r="912" spans="1:2" ht="13.5">
      <c r="A912" s="169" t="s">
        <v>1439</v>
      </c>
      <c r="B912" s="100" t="s">
        <v>4552</v>
      </c>
    </row>
    <row r="913" spans="1:2" ht="13.5">
      <c r="A913" s="169" t="s">
        <v>1440</v>
      </c>
      <c r="B913" s="100" t="s">
        <v>4552</v>
      </c>
    </row>
    <row r="914" spans="1:2" ht="13.5">
      <c r="A914" s="169" t="s">
        <v>1441</v>
      </c>
      <c r="B914" s="100" t="s">
        <v>4552</v>
      </c>
    </row>
    <row r="915" spans="1:2" ht="13.5">
      <c r="A915" s="169" t="s">
        <v>1442</v>
      </c>
      <c r="B915" s="100" t="s">
        <v>4552</v>
      </c>
    </row>
    <row r="916" spans="1:2" ht="13.5">
      <c r="A916" s="169" t="s">
        <v>1443</v>
      </c>
      <c r="B916" s="100" t="s">
        <v>4552</v>
      </c>
    </row>
    <row r="917" spans="1:2" ht="13.5">
      <c r="A917" s="169" t="s">
        <v>1444</v>
      </c>
      <c r="B917" s="100" t="s">
        <v>4552</v>
      </c>
    </row>
    <row r="918" spans="1:2" ht="13.5">
      <c r="A918" s="169" t="s">
        <v>1445</v>
      </c>
      <c r="B918" s="100" t="s">
        <v>4552</v>
      </c>
    </row>
    <row r="919" spans="1:2" ht="13.5">
      <c r="A919" s="169" t="s">
        <v>1446</v>
      </c>
      <c r="B919" s="100" t="s">
        <v>4552</v>
      </c>
    </row>
    <row r="920" spans="1:2" ht="13.5">
      <c r="A920" s="169" t="s">
        <v>1447</v>
      </c>
      <c r="B920" s="100" t="s">
        <v>4552</v>
      </c>
    </row>
    <row r="921" spans="1:2" ht="13.5">
      <c r="A921" s="169" t="s">
        <v>1448</v>
      </c>
      <c r="B921" s="100" t="s">
        <v>4552</v>
      </c>
    </row>
    <row r="922" spans="1:2" ht="13.5">
      <c r="A922" s="169" t="s">
        <v>1449</v>
      </c>
      <c r="B922" s="100" t="s">
        <v>4552</v>
      </c>
    </row>
    <row r="923" spans="1:2" ht="13.5">
      <c r="A923" s="169" t="s">
        <v>1450</v>
      </c>
      <c r="B923" s="100" t="s">
        <v>4552</v>
      </c>
    </row>
    <row r="924" spans="1:2" ht="13.5">
      <c r="A924" s="169" t="s">
        <v>1451</v>
      </c>
      <c r="B924" s="100" t="s">
        <v>4552</v>
      </c>
    </row>
    <row r="925" spans="1:2" ht="13.5">
      <c r="A925" s="169" t="s">
        <v>1452</v>
      </c>
      <c r="B925" s="100" t="s">
        <v>4552</v>
      </c>
    </row>
    <row r="926" spans="1:2" ht="13.5">
      <c r="A926" s="169" t="s">
        <v>1453</v>
      </c>
      <c r="B926" s="100" t="s">
        <v>4552</v>
      </c>
    </row>
    <row r="927" spans="1:2" ht="13.5">
      <c r="A927" s="169" t="s">
        <v>1454</v>
      </c>
      <c r="B927" s="100" t="s">
        <v>4552</v>
      </c>
    </row>
    <row r="928" spans="1:2" ht="13.5">
      <c r="A928" s="169" t="s">
        <v>1455</v>
      </c>
      <c r="B928" s="100" t="s">
        <v>4552</v>
      </c>
    </row>
    <row r="929" spans="1:2" ht="13.5">
      <c r="A929" s="169" t="s">
        <v>1456</v>
      </c>
      <c r="B929" s="100" t="s">
        <v>4552</v>
      </c>
    </row>
    <row r="930" spans="1:2" ht="13.5">
      <c r="A930" s="169" t="s">
        <v>1457</v>
      </c>
      <c r="B930" s="100" t="s">
        <v>4552</v>
      </c>
    </row>
    <row r="931" spans="1:2" ht="13.5">
      <c r="A931" s="169" t="s">
        <v>1458</v>
      </c>
      <c r="B931" s="100" t="s">
        <v>4552</v>
      </c>
    </row>
    <row r="932" spans="1:2" ht="13.5">
      <c r="A932" s="169" t="s">
        <v>1459</v>
      </c>
      <c r="B932" s="100" t="s">
        <v>4552</v>
      </c>
    </row>
    <row r="933" spans="1:2" ht="13.5">
      <c r="A933" s="169" t="s">
        <v>1460</v>
      </c>
      <c r="B933" s="100" t="s">
        <v>4552</v>
      </c>
    </row>
    <row r="934" spans="1:2" ht="13.5">
      <c r="A934" s="169" t="s">
        <v>1461</v>
      </c>
      <c r="B934" s="100" t="s">
        <v>4552</v>
      </c>
    </row>
    <row r="935" spans="1:2" ht="13.5">
      <c r="A935" s="169" t="s">
        <v>1462</v>
      </c>
      <c r="B935" s="100" t="s">
        <v>4552</v>
      </c>
    </row>
    <row r="936" spans="1:2" ht="13.5">
      <c r="A936" s="169" t="s">
        <v>1463</v>
      </c>
      <c r="B936" s="100" t="s">
        <v>4552</v>
      </c>
    </row>
    <row r="937" spans="1:2" ht="13.5">
      <c r="A937" s="169" t="s">
        <v>1464</v>
      </c>
      <c r="B937" s="100" t="s">
        <v>4552</v>
      </c>
    </row>
    <row r="938" spans="1:2" ht="13.5">
      <c r="A938" s="169" t="s">
        <v>1465</v>
      </c>
      <c r="B938" s="100" t="s">
        <v>4552</v>
      </c>
    </row>
    <row r="939" spans="1:2" ht="13.5">
      <c r="A939" s="169" t="s">
        <v>1466</v>
      </c>
      <c r="B939" s="100" t="s">
        <v>4552</v>
      </c>
    </row>
    <row r="940" spans="1:2" ht="13.5">
      <c r="A940" s="169" t="s">
        <v>1467</v>
      </c>
      <c r="B940" s="100" t="s">
        <v>4552</v>
      </c>
    </row>
    <row r="941" spans="1:2" ht="13.5">
      <c r="A941" s="169" t="s">
        <v>1468</v>
      </c>
      <c r="B941" s="100" t="s">
        <v>4552</v>
      </c>
    </row>
    <row r="942" spans="1:2" ht="13.5">
      <c r="A942" s="169" t="s">
        <v>1469</v>
      </c>
      <c r="B942" s="100" t="s">
        <v>4552</v>
      </c>
    </row>
    <row r="943" spans="1:2" ht="13.5">
      <c r="A943" s="169" t="s">
        <v>1470</v>
      </c>
      <c r="B943" s="100" t="s">
        <v>4552</v>
      </c>
    </row>
    <row r="944" spans="1:2" ht="13.5">
      <c r="A944" s="169" t="s">
        <v>1471</v>
      </c>
      <c r="B944" s="100" t="s">
        <v>4552</v>
      </c>
    </row>
    <row r="945" spans="1:2" ht="13.5">
      <c r="A945" s="169" t="s">
        <v>1472</v>
      </c>
      <c r="B945" s="100" t="s">
        <v>4552</v>
      </c>
    </row>
    <row r="946" spans="1:2" ht="13.5">
      <c r="A946" s="169" t="s">
        <v>1473</v>
      </c>
      <c r="B946" s="100" t="s">
        <v>4552</v>
      </c>
    </row>
    <row r="947" spans="1:2" ht="13.5">
      <c r="A947" s="169" t="s">
        <v>1474</v>
      </c>
      <c r="B947" s="100" t="s">
        <v>4552</v>
      </c>
    </row>
    <row r="948" spans="1:2" ht="13.5">
      <c r="A948" s="169" t="s">
        <v>1475</v>
      </c>
      <c r="B948" s="100" t="s">
        <v>4552</v>
      </c>
    </row>
    <row r="949" spans="1:2" ht="13.5">
      <c r="A949" s="169" t="s">
        <v>1476</v>
      </c>
      <c r="B949" s="100" t="s">
        <v>4552</v>
      </c>
    </row>
    <row r="950" spans="1:2" ht="13.5">
      <c r="A950" s="169" t="s">
        <v>1477</v>
      </c>
      <c r="B950" s="100" t="s">
        <v>4552</v>
      </c>
    </row>
    <row r="951" spans="1:2" ht="13.5">
      <c r="A951" s="169" t="s">
        <v>1478</v>
      </c>
      <c r="B951" s="100" t="s">
        <v>4552</v>
      </c>
    </row>
    <row r="952" spans="1:2" ht="13.5">
      <c r="A952" s="169" t="s">
        <v>1479</v>
      </c>
      <c r="B952" s="100" t="s">
        <v>4552</v>
      </c>
    </row>
    <row r="953" spans="1:2" ht="13.5">
      <c r="A953" s="169" t="s">
        <v>1480</v>
      </c>
      <c r="B953" s="100" t="s">
        <v>4552</v>
      </c>
    </row>
    <row r="954" spans="1:2" ht="13.5">
      <c r="A954" s="169" t="s">
        <v>1481</v>
      </c>
      <c r="B954" s="100" t="s">
        <v>4552</v>
      </c>
    </row>
    <row r="955" spans="1:2" ht="13.5">
      <c r="A955" s="169" t="s">
        <v>1482</v>
      </c>
      <c r="B955" s="100" t="s">
        <v>4552</v>
      </c>
    </row>
    <row r="956" spans="1:2" ht="13.5">
      <c r="A956" s="169" t="s">
        <v>1483</v>
      </c>
      <c r="B956" s="100" t="s">
        <v>4552</v>
      </c>
    </row>
    <row r="957" spans="1:2" ht="13.5">
      <c r="A957" s="169" t="s">
        <v>1484</v>
      </c>
      <c r="B957" s="100" t="s">
        <v>4552</v>
      </c>
    </row>
    <row r="958" spans="1:2" ht="13.5">
      <c r="A958" s="169" t="s">
        <v>1485</v>
      </c>
      <c r="B958" s="100" t="s">
        <v>4552</v>
      </c>
    </row>
    <row r="959" spans="1:2" ht="13.5">
      <c r="A959" s="169" t="s">
        <v>1486</v>
      </c>
      <c r="B959" s="100" t="s">
        <v>4552</v>
      </c>
    </row>
    <row r="960" spans="1:2" ht="13.5">
      <c r="A960" s="169" t="s">
        <v>1487</v>
      </c>
      <c r="B960" s="100" t="s">
        <v>4552</v>
      </c>
    </row>
    <row r="961" spans="1:2" ht="13.5">
      <c r="A961" s="169" t="s">
        <v>1488</v>
      </c>
      <c r="B961" s="100" t="s">
        <v>4552</v>
      </c>
    </row>
    <row r="962" spans="1:2" ht="13.5">
      <c r="A962" s="169" t="s">
        <v>1489</v>
      </c>
      <c r="B962" s="100" t="s">
        <v>4552</v>
      </c>
    </row>
    <row r="963" spans="1:2" ht="13.5">
      <c r="A963" s="169" t="s">
        <v>1490</v>
      </c>
      <c r="B963" s="100" t="s">
        <v>4552</v>
      </c>
    </row>
    <row r="964" spans="1:2" ht="13.5">
      <c r="A964" s="169" t="s">
        <v>1491</v>
      </c>
      <c r="B964" s="100" t="s">
        <v>4552</v>
      </c>
    </row>
    <row r="965" spans="1:2" ht="13.5">
      <c r="A965" s="169" t="s">
        <v>1492</v>
      </c>
      <c r="B965" s="100" t="s">
        <v>4552</v>
      </c>
    </row>
    <row r="966" spans="1:2" ht="13.5">
      <c r="A966" s="169" t="s">
        <v>1493</v>
      </c>
      <c r="B966" s="100" t="s">
        <v>4552</v>
      </c>
    </row>
    <row r="967" spans="1:2" ht="13.5">
      <c r="A967" s="169" t="s">
        <v>1494</v>
      </c>
      <c r="B967" s="100" t="s">
        <v>4552</v>
      </c>
    </row>
    <row r="968" spans="1:2" ht="13.5">
      <c r="A968" s="169" t="s">
        <v>1495</v>
      </c>
      <c r="B968" s="100" t="s">
        <v>4552</v>
      </c>
    </row>
    <row r="969" spans="1:2" ht="13.5">
      <c r="A969" s="169" t="s">
        <v>1496</v>
      </c>
      <c r="B969" s="100" t="s">
        <v>4552</v>
      </c>
    </row>
    <row r="970" spans="1:2" ht="13.5">
      <c r="A970" s="169" t="s">
        <v>1497</v>
      </c>
      <c r="B970" s="100" t="s">
        <v>4552</v>
      </c>
    </row>
    <row r="971" spans="1:2" ht="13.5">
      <c r="A971" s="169" t="s">
        <v>1498</v>
      </c>
      <c r="B971" s="100" t="s">
        <v>4552</v>
      </c>
    </row>
    <row r="972" spans="1:2" ht="13.5">
      <c r="A972" s="169" t="s">
        <v>1499</v>
      </c>
      <c r="B972" s="100" t="s">
        <v>4552</v>
      </c>
    </row>
    <row r="973" spans="1:2" ht="13.5">
      <c r="A973" s="169" t="s">
        <v>1500</v>
      </c>
      <c r="B973" s="100" t="s">
        <v>4552</v>
      </c>
    </row>
    <row r="974" spans="1:2" ht="13.5">
      <c r="A974" s="169" t="s">
        <v>1501</v>
      </c>
      <c r="B974" s="100" t="s">
        <v>4552</v>
      </c>
    </row>
    <row r="975" spans="1:2" ht="13.5">
      <c r="A975" s="169" t="s">
        <v>1502</v>
      </c>
      <c r="B975" s="100" t="s">
        <v>4552</v>
      </c>
    </row>
    <row r="976" spans="1:2" ht="13.5">
      <c r="A976" s="169" t="s">
        <v>1503</v>
      </c>
      <c r="B976" s="100" t="s">
        <v>4552</v>
      </c>
    </row>
    <row r="977" spans="1:2" ht="13.5">
      <c r="A977" s="169" t="s">
        <v>1504</v>
      </c>
      <c r="B977" s="100" t="s">
        <v>4552</v>
      </c>
    </row>
    <row r="978" spans="1:2" ht="13.5">
      <c r="A978" s="169" t="s">
        <v>1505</v>
      </c>
      <c r="B978" s="100" t="s">
        <v>4552</v>
      </c>
    </row>
    <row r="979" spans="1:2" ht="13.5">
      <c r="A979" s="169" t="s">
        <v>1506</v>
      </c>
      <c r="B979" s="100" t="s">
        <v>4552</v>
      </c>
    </row>
    <row r="980" spans="1:2" ht="13.5">
      <c r="A980" s="169" t="s">
        <v>1507</v>
      </c>
      <c r="B980" s="100" t="s">
        <v>4552</v>
      </c>
    </row>
    <row r="981" spans="1:2" ht="13.5">
      <c r="A981" s="169" t="s">
        <v>1508</v>
      </c>
      <c r="B981" s="100" t="s">
        <v>4552</v>
      </c>
    </row>
    <row r="982" spans="1:2" ht="13.5">
      <c r="A982" s="169" t="s">
        <v>1509</v>
      </c>
      <c r="B982" s="100" t="s">
        <v>4552</v>
      </c>
    </row>
    <row r="983" spans="1:2" ht="13.5">
      <c r="A983" s="169" t="s">
        <v>1510</v>
      </c>
      <c r="B983" s="100" t="s">
        <v>4552</v>
      </c>
    </row>
    <row r="984" spans="1:2" ht="13.5">
      <c r="A984" s="169" t="s">
        <v>1511</v>
      </c>
      <c r="B984" s="100" t="s">
        <v>4552</v>
      </c>
    </row>
    <row r="985" spans="1:2" ht="13.5">
      <c r="A985" s="169" t="s">
        <v>1512</v>
      </c>
      <c r="B985" s="100" t="s">
        <v>4552</v>
      </c>
    </row>
    <row r="986" spans="1:2" ht="13.5">
      <c r="A986" s="169" t="s">
        <v>1513</v>
      </c>
      <c r="B986" s="100" t="s">
        <v>4552</v>
      </c>
    </row>
    <row r="987" spans="1:2" ht="13.5">
      <c r="A987" s="169" t="s">
        <v>1514</v>
      </c>
      <c r="B987" s="100" t="s">
        <v>4552</v>
      </c>
    </row>
    <row r="988" spans="1:2" ht="13.5">
      <c r="A988" s="169" t="s">
        <v>1515</v>
      </c>
      <c r="B988" s="100" t="s">
        <v>4552</v>
      </c>
    </row>
    <row r="989" spans="1:2" ht="13.5">
      <c r="A989" s="169" t="s">
        <v>1516</v>
      </c>
      <c r="B989" s="100" t="s">
        <v>4552</v>
      </c>
    </row>
    <row r="990" spans="1:2" ht="13.5">
      <c r="A990" s="169" t="s">
        <v>1517</v>
      </c>
      <c r="B990" s="100" t="s">
        <v>4552</v>
      </c>
    </row>
    <row r="991" spans="1:2" ht="13.5">
      <c r="A991" s="169" t="s">
        <v>1518</v>
      </c>
      <c r="B991" s="100" t="s">
        <v>4552</v>
      </c>
    </row>
    <row r="992" spans="1:2" ht="13.5">
      <c r="A992" s="169" t="s">
        <v>1519</v>
      </c>
      <c r="B992" s="100" t="s">
        <v>4552</v>
      </c>
    </row>
    <row r="993" spans="1:2" ht="13.5">
      <c r="A993" s="169" t="s">
        <v>1520</v>
      </c>
      <c r="B993" s="100" t="s">
        <v>4552</v>
      </c>
    </row>
    <row r="994" spans="1:2" ht="13.5">
      <c r="A994" s="169" t="s">
        <v>1521</v>
      </c>
      <c r="B994" s="100" t="s">
        <v>4552</v>
      </c>
    </row>
    <row r="995" spans="1:2" ht="13.5">
      <c r="A995" s="169" t="s">
        <v>1522</v>
      </c>
      <c r="B995" s="100" t="s">
        <v>4552</v>
      </c>
    </row>
    <row r="996" spans="1:2" ht="13.5">
      <c r="A996" s="169" t="s">
        <v>1523</v>
      </c>
      <c r="B996" s="100" t="s">
        <v>4552</v>
      </c>
    </row>
    <row r="997" spans="1:2" ht="13.5">
      <c r="A997" s="169" t="s">
        <v>1524</v>
      </c>
      <c r="B997" s="100" t="s">
        <v>4552</v>
      </c>
    </row>
    <row r="998" spans="1:2" ht="13.5">
      <c r="A998" s="169" t="s">
        <v>1525</v>
      </c>
      <c r="B998" s="100" t="s">
        <v>4552</v>
      </c>
    </row>
    <row r="999" spans="1:2" ht="13.5">
      <c r="A999" s="169" t="s">
        <v>1526</v>
      </c>
      <c r="B999" s="100" t="s">
        <v>4552</v>
      </c>
    </row>
    <row r="1000" spans="1:2" ht="13.5">
      <c r="A1000" s="169" t="s">
        <v>1527</v>
      </c>
      <c r="B1000" s="100" t="s">
        <v>4552</v>
      </c>
    </row>
    <row r="1001" spans="1:2" ht="13.5">
      <c r="A1001" s="169" t="s">
        <v>1528</v>
      </c>
      <c r="B1001" s="100" t="s">
        <v>4552</v>
      </c>
    </row>
    <row r="1002" spans="1:2" ht="13.5">
      <c r="A1002" s="169" t="s">
        <v>1529</v>
      </c>
      <c r="B1002" s="100" t="s">
        <v>4552</v>
      </c>
    </row>
    <row r="1003" spans="1:2" ht="13.5">
      <c r="A1003" s="169" t="s">
        <v>1530</v>
      </c>
      <c r="B1003" s="100" t="s">
        <v>4552</v>
      </c>
    </row>
    <row r="1004" spans="1:2" ht="13.5">
      <c r="A1004" s="169" t="s">
        <v>1531</v>
      </c>
      <c r="B1004" s="100" t="s">
        <v>4552</v>
      </c>
    </row>
    <row r="1005" spans="1:2" ht="13.5">
      <c r="A1005" s="169" t="s">
        <v>1532</v>
      </c>
      <c r="B1005" s="100" t="s">
        <v>4552</v>
      </c>
    </row>
    <row r="1006" spans="1:2" ht="13.5">
      <c r="A1006" s="169" t="s">
        <v>1533</v>
      </c>
      <c r="B1006" s="100" t="s">
        <v>4552</v>
      </c>
    </row>
    <row r="1007" spans="1:2" ht="13.5">
      <c r="A1007" s="169" t="s">
        <v>1534</v>
      </c>
      <c r="B1007" s="100" t="s">
        <v>4552</v>
      </c>
    </row>
    <row r="1008" spans="1:2" ht="13.5">
      <c r="A1008" s="169" t="s">
        <v>1535</v>
      </c>
      <c r="B1008" s="100" t="s">
        <v>4552</v>
      </c>
    </row>
    <row r="1009" spans="1:2" ht="13.5">
      <c r="A1009" s="169" t="s">
        <v>1536</v>
      </c>
      <c r="B1009" s="100" t="s">
        <v>4552</v>
      </c>
    </row>
    <row r="1010" spans="1:2" ht="13.5">
      <c r="A1010" s="169" t="s">
        <v>1537</v>
      </c>
      <c r="B1010" s="100" t="s">
        <v>4552</v>
      </c>
    </row>
    <row r="1011" spans="1:2" ht="13.5">
      <c r="A1011" s="169" t="s">
        <v>1538</v>
      </c>
      <c r="B1011" s="100" t="s">
        <v>4552</v>
      </c>
    </row>
    <row r="1012" spans="1:2" ht="13.5">
      <c r="A1012" s="169" t="s">
        <v>1539</v>
      </c>
      <c r="B1012" s="100" t="s">
        <v>4552</v>
      </c>
    </row>
    <row r="1013" spans="1:2" ht="13.5">
      <c r="A1013" s="169" t="s">
        <v>1540</v>
      </c>
      <c r="B1013" s="100" t="s">
        <v>4552</v>
      </c>
    </row>
    <row r="1014" spans="1:2" ht="13.5">
      <c r="A1014" s="169" t="s">
        <v>1541</v>
      </c>
      <c r="B1014" s="100" t="s">
        <v>4552</v>
      </c>
    </row>
    <row r="1015" spans="1:2" ht="13.5">
      <c r="A1015" s="169" t="s">
        <v>1542</v>
      </c>
      <c r="B1015" s="100" t="s">
        <v>4552</v>
      </c>
    </row>
    <row r="1016" spans="1:2" ht="13.5">
      <c r="A1016" s="169" t="s">
        <v>1543</v>
      </c>
      <c r="B1016" s="100" t="s">
        <v>4552</v>
      </c>
    </row>
    <row r="1017" spans="1:2" ht="13.5">
      <c r="A1017" s="169" t="s">
        <v>1544</v>
      </c>
      <c r="B1017" s="100" t="s">
        <v>4552</v>
      </c>
    </row>
    <row r="1018" spans="1:2" ht="13.5">
      <c r="A1018" s="169" t="s">
        <v>1545</v>
      </c>
      <c r="B1018" s="100" t="s">
        <v>4552</v>
      </c>
    </row>
    <row r="1019" spans="1:2" ht="13.5">
      <c r="A1019" s="169" t="s">
        <v>1546</v>
      </c>
      <c r="B1019" s="100" t="s">
        <v>4552</v>
      </c>
    </row>
    <row r="1020" spans="1:2" ht="13.5">
      <c r="A1020" s="169" t="s">
        <v>1547</v>
      </c>
      <c r="B1020" s="100" t="s">
        <v>4552</v>
      </c>
    </row>
    <row r="1021" spans="1:2" ht="13.5">
      <c r="A1021" s="169" t="s">
        <v>1548</v>
      </c>
      <c r="B1021" s="100" t="s">
        <v>4552</v>
      </c>
    </row>
    <row r="1022" spans="1:2" ht="13.5">
      <c r="A1022" s="169" t="s">
        <v>1549</v>
      </c>
      <c r="B1022" s="100" t="s">
        <v>4552</v>
      </c>
    </row>
    <row r="1023" spans="1:2" ht="13.5">
      <c r="A1023" s="169" t="s">
        <v>1550</v>
      </c>
      <c r="B1023" s="100" t="s">
        <v>4552</v>
      </c>
    </row>
    <row r="1024" spans="1:2" ht="13.5">
      <c r="A1024" s="169" t="s">
        <v>1551</v>
      </c>
      <c r="B1024" s="100" t="s">
        <v>4552</v>
      </c>
    </row>
    <row r="1025" spans="1:2" ht="13.5">
      <c r="A1025" s="169" t="s">
        <v>1552</v>
      </c>
      <c r="B1025" s="100" t="s">
        <v>4552</v>
      </c>
    </row>
    <row r="1026" spans="1:2" ht="13.5">
      <c r="A1026" s="169" t="s">
        <v>1553</v>
      </c>
      <c r="B1026" s="100" t="s">
        <v>4552</v>
      </c>
    </row>
    <row r="1027" spans="1:2" ht="13.5">
      <c r="A1027" s="169" t="s">
        <v>1554</v>
      </c>
      <c r="B1027" s="100" t="s">
        <v>4552</v>
      </c>
    </row>
    <row r="1028" spans="1:2" ht="13.5">
      <c r="A1028" s="169" t="s">
        <v>1555</v>
      </c>
      <c r="B1028" s="100" t="s">
        <v>4552</v>
      </c>
    </row>
    <row r="1029" spans="1:2" ht="13.5">
      <c r="A1029" s="169" t="s">
        <v>1556</v>
      </c>
      <c r="B1029" s="100" t="s">
        <v>4552</v>
      </c>
    </row>
    <row r="1030" spans="1:2" ht="13.5">
      <c r="A1030" s="169" t="s">
        <v>1557</v>
      </c>
      <c r="B1030" s="100" t="s">
        <v>4552</v>
      </c>
    </row>
    <row r="1031" spans="1:2" ht="13.5">
      <c r="A1031" s="169" t="s">
        <v>1558</v>
      </c>
      <c r="B1031" s="100" t="s">
        <v>4552</v>
      </c>
    </row>
    <row r="1032" spans="1:2" ht="13.5">
      <c r="A1032" s="169" t="s">
        <v>1559</v>
      </c>
      <c r="B1032" s="100" t="s">
        <v>4552</v>
      </c>
    </row>
    <row r="1033" spans="1:2" ht="13.5">
      <c r="A1033" s="169" t="s">
        <v>1560</v>
      </c>
      <c r="B1033" s="100" t="s">
        <v>4552</v>
      </c>
    </row>
    <row r="1034" spans="1:2" ht="13.5">
      <c r="A1034" s="169" t="s">
        <v>1561</v>
      </c>
      <c r="B1034" s="100" t="s">
        <v>4552</v>
      </c>
    </row>
    <row r="1035" spans="1:2" ht="13.5">
      <c r="A1035" s="169" t="s">
        <v>1562</v>
      </c>
      <c r="B1035" s="100" t="s">
        <v>4552</v>
      </c>
    </row>
    <row r="1036" spans="1:2" ht="13.5">
      <c r="A1036" s="169" t="s">
        <v>1563</v>
      </c>
      <c r="B1036" s="100" t="s">
        <v>4552</v>
      </c>
    </row>
    <row r="1037" spans="1:2" ht="13.5">
      <c r="A1037" s="169" t="s">
        <v>1564</v>
      </c>
      <c r="B1037" s="100" t="s">
        <v>4552</v>
      </c>
    </row>
    <row r="1038" spans="1:2" ht="13.5">
      <c r="A1038" s="169" t="s">
        <v>1565</v>
      </c>
      <c r="B1038" s="100" t="s">
        <v>4552</v>
      </c>
    </row>
    <row r="1039" spans="1:2" ht="13.5">
      <c r="A1039" s="169" t="s">
        <v>1566</v>
      </c>
      <c r="B1039" s="100" t="s">
        <v>4552</v>
      </c>
    </row>
    <row r="1040" spans="1:2" ht="13.5">
      <c r="A1040" s="169" t="s">
        <v>1567</v>
      </c>
      <c r="B1040" s="100" t="s">
        <v>4552</v>
      </c>
    </row>
    <row r="1041" spans="1:2" ht="13.5">
      <c r="A1041" s="169" t="s">
        <v>1568</v>
      </c>
      <c r="B1041" s="100" t="s">
        <v>4552</v>
      </c>
    </row>
    <row r="1042" spans="1:2" ht="13.5">
      <c r="A1042" s="169" t="s">
        <v>1569</v>
      </c>
      <c r="B1042" s="100" t="s">
        <v>4552</v>
      </c>
    </row>
    <row r="1043" spans="1:2" ht="13.5">
      <c r="A1043" s="169" t="s">
        <v>1570</v>
      </c>
      <c r="B1043" s="100" t="s">
        <v>4552</v>
      </c>
    </row>
    <row r="1044" spans="1:2" ht="13.5">
      <c r="A1044" s="169" t="s">
        <v>1571</v>
      </c>
      <c r="B1044" s="100" t="s">
        <v>4552</v>
      </c>
    </row>
    <row r="1045" spans="1:2" ht="13.5">
      <c r="A1045" s="169" t="s">
        <v>1572</v>
      </c>
      <c r="B1045" s="100" t="s">
        <v>4552</v>
      </c>
    </row>
    <row r="1046" spans="1:2" ht="13.5">
      <c r="A1046" s="169" t="s">
        <v>1573</v>
      </c>
      <c r="B1046" s="100" t="s">
        <v>4552</v>
      </c>
    </row>
    <row r="1047" spans="1:2" ht="13.5">
      <c r="A1047" s="169" t="s">
        <v>1574</v>
      </c>
      <c r="B1047" s="100" t="s">
        <v>4552</v>
      </c>
    </row>
    <row r="1048" spans="1:2" ht="13.5">
      <c r="A1048" s="169" t="s">
        <v>1575</v>
      </c>
      <c r="B1048" s="100" t="s">
        <v>4552</v>
      </c>
    </row>
    <row r="1049" spans="1:2" ht="13.5">
      <c r="A1049" s="169" t="s">
        <v>1576</v>
      </c>
      <c r="B1049" s="100" t="s">
        <v>4552</v>
      </c>
    </row>
    <row r="1050" spans="1:2" ht="13.5">
      <c r="A1050" s="169" t="s">
        <v>1577</v>
      </c>
      <c r="B1050" s="100" t="s">
        <v>4552</v>
      </c>
    </row>
    <row r="1051" spans="1:2" ht="13.5">
      <c r="A1051" s="169" t="s">
        <v>1578</v>
      </c>
      <c r="B1051" s="100" t="s">
        <v>4552</v>
      </c>
    </row>
    <row r="1052" spans="1:2" ht="13.5">
      <c r="A1052" s="169" t="s">
        <v>1579</v>
      </c>
      <c r="B1052" s="100" t="s">
        <v>4552</v>
      </c>
    </row>
    <row r="1053" spans="1:2" ht="13.5">
      <c r="A1053" s="169" t="s">
        <v>1580</v>
      </c>
      <c r="B1053" s="100" t="s">
        <v>4552</v>
      </c>
    </row>
    <row r="1054" spans="1:2" ht="13.5">
      <c r="A1054" s="169" t="s">
        <v>1581</v>
      </c>
      <c r="B1054" s="100" t="s">
        <v>4552</v>
      </c>
    </row>
    <row r="1055" spans="1:2" ht="13.5">
      <c r="A1055" s="169" t="s">
        <v>1582</v>
      </c>
      <c r="B1055" s="100" t="s">
        <v>4552</v>
      </c>
    </row>
    <row r="1056" spans="1:2" ht="13.5">
      <c r="A1056" s="169" t="s">
        <v>1583</v>
      </c>
      <c r="B1056" s="100" t="s">
        <v>4552</v>
      </c>
    </row>
    <row r="1057" spans="1:2" ht="13.5">
      <c r="A1057" s="169" t="s">
        <v>1584</v>
      </c>
      <c r="B1057" s="100" t="s">
        <v>4552</v>
      </c>
    </row>
    <row r="1058" spans="1:2" ht="13.5">
      <c r="A1058" s="169" t="s">
        <v>1585</v>
      </c>
      <c r="B1058" s="100" t="s">
        <v>4552</v>
      </c>
    </row>
    <row r="1059" spans="1:2" ht="13.5">
      <c r="A1059" s="169" t="s">
        <v>1586</v>
      </c>
      <c r="B1059" s="100" t="s">
        <v>4552</v>
      </c>
    </row>
    <row r="1060" spans="1:2" ht="13.5">
      <c r="A1060" s="169" t="s">
        <v>1587</v>
      </c>
      <c r="B1060" s="100" t="s">
        <v>4552</v>
      </c>
    </row>
    <row r="1061" spans="1:2" ht="13.5">
      <c r="A1061" s="169" t="s">
        <v>1588</v>
      </c>
      <c r="B1061" s="100" t="s">
        <v>4552</v>
      </c>
    </row>
    <row r="1062" spans="1:2" ht="13.5">
      <c r="A1062" s="169" t="s">
        <v>1589</v>
      </c>
      <c r="B1062" s="100" t="s">
        <v>4552</v>
      </c>
    </row>
    <row r="1063" spans="1:2" ht="13.5">
      <c r="A1063" s="169" t="s">
        <v>1590</v>
      </c>
      <c r="B1063" s="100" t="s">
        <v>4552</v>
      </c>
    </row>
    <row r="1064" spans="1:2" ht="13.5">
      <c r="A1064" s="169" t="s">
        <v>1591</v>
      </c>
      <c r="B1064" s="100" t="s">
        <v>4552</v>
      </c>
    </row>
    <row r="1065" spans="1:2" ht="13.5">
      <c r="A1065" s="169" t="s">
        <v>1592</v>
      </c>
      <c r="B1065" s="100" t="s">
        <v>4552</v>
      </c>
    </row>
    <row r="1066" spans="1:2" ht="13.5">
      <c r="A1066" s="169" t="s">
        <v>1593</v>
      </c>
      <c r="B1066" s="100" t="s">
        <v>4552</v>
      </c>
    </row>
    <row r="1067" spans="1:2" ht="13.5">
      <c r="A1067" s="169" t="s">
        <v>1594</v>
      </c>
      <c r="B1067" s="100" t="s">
        <v>4552</v>
      </c>
    </row>
    <row r="1068" spans="1:2" ht="13.5">
      <c r="A1068" s="169" t="s">
        <v>1595</v>
      </c>
      <c r="B1068" s="100" t="s">
        <v>4552</v>
      </c>
    </row>
    <row r="1069" spans="1:2" ht="13.5">
      <c r="A1069" s="169" t="s">
        <v>1596</v>
      </c>
      <c r="B1069" s="100" t="s">
        <v>4552</v>
      </c>
    </row>
    <row r="1070" spans="1:2" ht="13.5">
      <c r="A1070" s="169" t="s">
        <v>1597</v>
      </c>
      <c r="B1070" s="100" t="s">
        <v>4552</v>
      </c>
    </row>
    <row r="1071" spans="1:2" ht="13.5">
      <c r="A1071" s="169" t="s">
        <v>1598</v>
      </c>
      <c r="B1071" s="100" t="s">
        <v>4552</v>
      </c>
    </row>
    <row r="1072" spans="1:2" ht="13.5">
      <c r="A1072" s="169" t="s">
        <v>1599</v>
      </c>
      <c r="B1072" s="100" t="s">
        <v>4552</v>
      </c>
    </row>
    <row r="1073" spans="1:2" ht="13.5">
      <c r="A1073" s="169" t="s">
        <v>1600</v>
      </c>
      <c r="B1073" s="100" t="s">
        <v>4552</v>
      </c>
    </row>
    <row r="1074" spans="1:2" ht="13.5">
      <c r="A1074" s="169" t="s">
        <v>1601</v>
      </c>
      <c r="B1074" s="100" t="s">
        <v>4552</v>
      </c>
    </row>
    <row r="1075" spans="1:2" ht="13.5">
      <c r="A1075" s="169" t="s">
        <v>1602</v>
      </c>
      <c r="B1075" s="100" t="s">
        <v>4552</v>
      </c>
    </row>
    <row r="1076" spans="1:2" ht="13.5">
      <c r="A1076" s="169" t="s">
        <v>1603</v>
      </c>
      <c r="B1076" s="100" t="s">
        <v>4552</v>
      </c>
    </row>
    <row r="1077" spans="1:2" ht="13.5">
      <c r="A1077" s="169" t="s">
        <v>1604</v>
      </c>
      <c r="B1077" s="100" t="s">
        <v>4552</v>
      </c>
    </row>
    <row r="1078" spans="1:2" ht="13.5">
      <c r="A1078" s="169" t="s">
        <v>1605</v>
      </c>
      <c r="B1078" s="100" t="s">
        <v>4552</v>
      </c>
    </row>
    <row r="1079" spans="1:2" ht="13.5">
      <c r="A1079" s="169" t="s">
        <v>1606</v>
      </c>
      <c r="B1079" s="100" t="s">
        <v>4552</v>
      </c>
    </row>
    <row r="1080" spans="1:2" ht="13.5">
      <c r="A1080" s="169" t="s">
        <v>1607</v>
      </c>
      <c r="B1080" s="100" t="s">
        <v>4552</v>
      </c>
    </row>
    <row r="1081" spans="1:2" ht="13.5">
      <c r="A1081" s="169" t="s">
        <v>1608</v>
      </c>
      <c r="B1081" s="100" t="s">
        <v>4552</v>
      </c>
    </row>
    <row r="1082" spans="1:2" ht="13.5">
      <c r="A1082" s="169" t="s">
        <v>1609</v>
      </c>
      <c r="B1082" s="100" t="s">
        <v>4552</v>
      </c>
    </row>
    <row r="1083" spans="1:2" ht="13.5">
      <c r="A1083" s="169" t="s">
        <v>1610</v>
      </c>
      <c r="B1083" s="100" t="s">
        <v>4552</v>
      </c>
    </row>
    <row r="1084" spans="1:2" ht="13.5">
      <c r="A1084" s="169" t="s">
        <v>1611</v>
      </c>
      <c r="B1084" s="100" t="s">
        <v>4552</v>
      </c>
    </row>
    <row r="1085" spans="1:2" ht="13.5">
      <c r="A1085" s="169" t="s">
        <v>1612</v>
      </c>
      <c r="B1085" s="100" t="s">
        <v>4552</v>
      </c>
    </row>
    <row r="1086" spans="1:2" ht="13.5">
      <c r="A1086" s="169" t="s">
        <v>1613</v>
      </c>
      <c r="B1086" s="100" t="s">
        <v>4552</v>
      </c>
    </row>
    <row r="1087" spans="1:2" ht="13.5">
      <c r="A1087" s="169" t="s">
        <v>1614</v>
      </c>
      <c r="B1087" s="100" t="s">
        <v>4552</v>
      </c>
    </row>
    <row r="1088" spans="1:2" ht="13.5">
      <c r="A1088" s="169" t="s">
        <v>1615</v>
      </c>
      <c r="B1088" s="100" t="s">
        <v>4552</v>
      </c>
    </row>
    <row r="1089" spans="1:2" ht="13.5">
      <c r="A1089" s="169" t="s">
        <v>1616</v>
      </c>
      <c r="B1089" s="100" t="s">
        <v>4552</v>
      </c>
    </row>
    <row r="1090" spans="1:2" ht="13.5">
      <c r="A1090" s="169" t="s">
        <v>1617</v>
      </c>
      <c r="B1090" s="100" t="s">
        <v>4552</v>
      </c>
    </row>
    <row r="1091" spans="1:2" ht="13.5">
      <c r="A1091" s="169" t="s">
        <v>1618</v>
      </c>
      <c r="B1091" s="100" t="s">
        <v>4552</v>
      </c>
    </row>
    <row r="1092" spans="1:2" ht="13.5">
      <c r="A1092" s="169" t="s">
        <v>1619</v>
      </c>
      <c r="B1092" s="100" t="s">
        <v>4552</v>
      </c>
    </row>
    <row r="1093" spans="1:2" ht="13.5">
      <c r="A1093" s="169" t="s">
        <v>1620</v>
      </c>
      <c r="B1093" s="100" t="s">
        <v>4552</v>
      </c>
    </row>
    <row r="1094" spans="1:2" ht="13.5">
      <c r="A1094" s="169" t="s">
        <v>1621</v>
      </c>
      <c r="B1094" s="100" t="s">
        <v>4552</v>
      </c>
    </row>
    <row r="1095" spans="1:2" ht="13.5">
      <c r="A1095" s="169" t="s">
        <v>1622</v>
      </c>
      <c r="B1095" s="100" t="s">
        <v>4552</v>
      </c>
    </row>
    <row r="1096" spans="1:2" ht="13.5">
      <c r="A1096" s="169" t="s">
        <v>1623</v>
      </c>
      <c r="B1096" s="100" t="s">
        <v>4552</v>
      </c>
    </row>
    <row r="1097" spans="1:2" ht="13.5">
      <c r="A1097" s="169" t="s">
        <v>1624</v>
      </c>
      <c r="B1097" s="100" t="s">
        <v>4552</v>
      </c>
    </row>
    <row r="1098" spans="1:2" ht="13.5">
      <c r="A1098" s="169" t="s">
        <v>1625</v>
      </c>
      <c r="B1098" s="100" t="s">
        <v>4552</v>
      </c>
    </row>
    <row r="1099" spans="1:2" ht="13.5">
      <c r="A1099" s="169" t="s">
        <v>1626</v>
      </c>
      <c r="B1099" s="100" t="s">
        <v>4552</v>
      </c>
    </row>
    <row r="1100" spans="1:2" ht="13.5">
      <c r="A1100" s="169" t="s">
        <v>1627</v>
      </c>
      <c r="B1100" s="100" t="s">
        <v>4552</v>
      </c>
    </row>
    <row r="1101" spans="1:2" ht="13.5">
      <c r="A1101" s="169" t="s">
        <v>1628</v>
      </c>
      <c r="B1101" s="100" t="s">
        <v>4552</v>
      </c>
    </row>
    <row r="1102" spans="1:2" ht="13.5">
      <c r="A1102" s="169" t="s">
        <v>1629</v>
      </c>
      <c r="B1102" s="100" t="s">
        <v>4552</v>
      </c>
    </row>
    <row r="1103" spans="1:2" ht="13.5">
      <c r="A1103" s="169" t="s">
        <v>1630</v>
      </c>
      <c r="B1103" s="100" t="s">
        <v>4552</v>
      </c>
    </row>
    <row r="1104" spans="1:2" ht="13.5">
      <c r="A1104" s="169" t="s">
        <v>1631</v>
      </c>
      <c r="B1104" s="100" t="s">
        <v>4552</v>
      </c>
    </row>
    <row r="1105" spans="1:2" ht="13.5">
      <c r="A1105" s="169" t="s">
        <v>1632</v>
      </c>
      <c r="B1105" s="100" t="s">
        <v>4552</v>
      </c>
    </row>
    <row r="1106" spans="1:2" ht="13.5">
      <c r="A1106" s="169" t="s">
        <v>1633</v>
      </c>
      <c r="B1106" s="100" t="s">
        <v>4552</v>
      </c>
    </row>
    <row r="1107" spans="1:2" ht="13.5">
      <c r="A1107" s="169" t="s">
        <v>1634</v>
      </c>
      <c r="B1107" s="100" t="s">
        <v>4552</v>
      </c>
    </row>
    <row r="1108" spans="1:2" ht="13.5">
      <c r="A1108" s="169" t="s">
        <v>1635</v>
      </c>
      <c r="B1108" s="100" t="s">
        <v>4552</v>
      </c>
    </row>
    <row r="1109" spans="1:2" ht="13.5">
      <c r="A1109" s="169" t="s">
        <v>1636</v>
      </c>
      <c r="B1109" s="100" t="s">
        <v>4552</v>
      </c>
    </row>
    <row r="1110" spans="1:2" ht="13.5">
      <c r="A1110" s="169" t="s">
        <v>1637</v>
      </c>
      <c r="B1110" s="100" t="s">
        <v>4552</v>
      </c>
    </row>
    <row r="1111" spans="1:2" ht="13.5">
      <c r="A1111" s="169" t="s">
        <v>1638</v>
      </c>
      <c r="B1111" s="100" t="s">
        <v>4552</v>
      </c>
    </row>
    <row r="1112" spans="1:2" ht="13.5">
      <c r="A1112" s="169" t="s">
        <v>1639</v>
      </c>
      <c r="B1112" s="100" t="s">
        <v>4552</v>
      </c>
    </row>
    <row r="1113" spans="1:2" ht="13.5">
      <c r="A1113" s="169" t="s">
        <v>1640</v>
      </c>
      <c r="B1113" s="100" t="s">
        <v>4552</v>
      </c>
    </row>
    <row r="1114" spans="1:2" ht="13.5">
      <c r="A1114" s="169" t="s">
        <v>1641</v>
      </c>
      <c r="B1114" s="100" t="s">
        <v>4552</v>
      </c>
    </row>
    <row r="1115" spans="1:2" ht="13.5">
      <c r="A1115" s="169" t="s">
        <v>1642</v>
      </c>
      <c r="B1115" s="100" t="s">
        <v>4552</v>
      </c>
    </row>
    <row r="1116" spans="1:2" ht="13.5">
      <c r="A1116" s="169" t="s">
        <v>1643</v>
      </c>
      <c r="B1116" s="100" t="s">
        <v>4552</v>
      </c>
    </row>
    <row r="1117" spans="1:2" ht="13.5">
      <c r="A1117" s="169" t="s">
        <v>1644</v>
      </c>
      <c r="B1117" s="100" t="s">
        <v>4552</v>
      </c>
    </row>
    <row r="1118" spans="1:2" ht="13.5">
      <c r="A1118" s="169" t="s">
        <v>1645</v>
      </c>
      <c r="B1118" s="100" t="s">
        <v>4552</v>
      </c>
    </row>
    <row r="1119" spans="1:2" ht="13.5">
      <c r="A1119" s="169" t="s">
        <v>1646</v>
      </c>
      <c r="B1119" s="100" t="s">
        <v>4552</v>
      </c>
    </row>
    <row r="1120" spans="1:2" ht="13.5">
      <c r="A1120" s="169" t="s">
        <v>1647</v>
      </c>
      <c r="B1120" s="100" t="s">
        <v>4552</v>
      </c>
    </row>
    <row r="1121" spans="1:2" ht="13.5">
      <c r="A1121" s="169" t="s">
        <v>1648</v>
      </c>
      <c r="B1121" s="100" t="s">
        <v>4552</v>
      </c>
    </row>
    <row r="1122" spans="1:2" ht="13.5">
      <c r="A1122" s="169" t="s">
        <v>1649</v>
      </c>
      <c r="B1122" s="100" t="s">
        <v>4552</v>
      </c>
    </row>
    <row r="1123" spans="1:2" ht="13.5">
      <c r="A1123" s="169" t="s">
        <v>1650</v>
      </c>
      <c r="B1123" s="100" t="s">
        <v>4552</v>
      </c>
    </row>
    <row r="1124" spans="1:2" ht="13.5">
      <c r="A1124" s="169" t="s">
        <v>1651</v>
      </c>
      <c r="B1124" s="100" t="s">
        <v>4552</v>
      </c>
    </row>
    <row r="1125" spans="1:2" ht="13.5">
      <c r="A1125" s="169" t="s">
        <v>1652</v>
      </c>
      <c r="B1125" s="100" t="s">
        <v>4552</v>
      </c>
    </row>
    <row r="1126" spans="1:2" ht="13.5">
      <c r="A1126" s="169" t="s">
        <v>1653</v>
      </c>
      <c r="B1126" s="100" t="s">
        <v>4552</v>
      </c>
    </row>
    <row r="1127" spans="1:2" ht="13.5">
      <c r="A1127" s="169" t="s">
        <v>1654</v>
      </c>
      <c r="B1127" s="100" t="s">
        <v>4552</v>
      </c>
    </row>
    <row r="1128" spans="1:2" ht="13.5">
      <c r="A1128" s="169" t="s">
        <v>1655</v>
      </c>
      <c r="B1128" s="100" t="s">
        <v>4552</v>
      </c>
    </row>
    <row r="1129" spans="1:2" ht="13.5">
      <c r="A1129" s="169" t="s">
        <v>1656</v>
      </c>
      <c r="B1129" s="100" t="s">
        <v>4552</v>
      </c>
    </row>
    <row r="1130" spans="1:2" ht="13.5">
      <c r="A1130" s="169" t="s">
        <v>1657</v>
      </c>
      <c r="B1130" s="100" t="s">
        <v>4552</v>
      </c>
    </row>
    <row r="1131" spans="1:2" ht="13.5">
      <c r="A1131" s="169" t="s">
        <v>1658</v>
      </c>
      <c r="B1131" s="100" t="s">
        <v>4552</v>
      </c>
    </row>
    <row r="1132" spans="1:2" ht="13.5">
      <c r="A1132" s="169" t="s">
        <v>1659</v>
      </c>
      <c r="B1132" s="100" t="s">
        <v>4552</v>
      </c>
    </row>
    <row r="1133" spans="1:2" ht="13.5">
      <c r="A1133" s="169" t="s">
        <v>1660</v>
      </c>
      <c r="B1133" s="100" t="s">
        <v>4552</v>
      </c>
    </row>
    <row r="1134" spans="1:2" ht="13.5">
      <c r="A1134" s="169" t="s">
        <v>1661</v>
      </c>
      <c r="B1134" s="100" t="s">
        <v>4552</v>
      </c>
    </row>
    <row r="1135" spans="1:2" ht="13.5">
      <c r="A1135" s="169" t="s">
        <v>1662</v>
      </c>
      <c r="B1135" s="100" t="s">
        <v>4552</v>
      </c>
    </row>
    <row r="1136" spans="1:2" ht="13.5">
      <c r="A1136" s="169" t="s">
        <v>1663</v>
      </c>
      <c r="B1136" s="100" t="s">
        <v>4552</v>
      </c>
    </row>
    <row r="1137" spans="1:2" ht="13.5">
      <c r="A1137" s="169" t="s">
        <v>1664</v>
      </c>
      <c r="B1137" s="100" t="s">
        <v>4552</v>
      </c>
    </row>
    <row r="1138" spans="1:2" ht="13.5">
      <c r="A1138" s="169" t="s">
        <v>1665</v>
      </c>
      <c r="B1138" s="100" t="s">
        <v>4552</v>
      </c>
    </row>
    <row r="1139" spans="1:2" ht="13.5">
      <c r="A1139" s="169" t="s">
        <v>1666</v>
      </c>
      <c r="B1139" s="100" t="s">
        <v>4552</v>
      </c>
    </row>
    <row r="1140" spans="1:2" ht="13.5">
      <c r="A1140" s="169" t="s">
        <v>1667</v>
      </c>
      <c r="B1140" s="100" t="s">
        <v>4552</v>
      </c>
    </row>
    <row r="1141" spans="1:2" ht="13.5">
      <c r="A1141" s="169" t="s">
        <v>1668</v>
      </c>
      <c r="B1141" s="100" t="s">
        <v>4552</v>
      </c>
    </row>
    <row r="1142" spans="1:2" ht="13.5">
      <c r="A1142" s="169" t="s">
        <v>1669</v>
      </c>
      <c r="B1142" s="100" t="s">
        <v>4552</v>
      </c>
    </row>
    <row r="1143" spans="1:2" ht="13.5">
      <c r="A1143" s="169" t="s">
        <v>1670</v>
      </c>
      <c r="B1143" s="100" t="s">
        <v>4552</v>
      </c>
    </row>
    <row r="1144" spans="1:2" ht="13.5">
      <c r="A1144" s="169" t="s">
        <v>1671</v>
      </c>
      <c r="B1144" s="100" t="s">
        <v>4552</v>
      </c>
    </row>
    <row r="1145" spans="1:2" ht="13.5">
      <c r="A1145" s="169" t="s">
        <v>1672</v>
      </c>
      <c r="B1145" s="100" t="s">
        <v>4552</v>
      </c>
    </row>
    <row r="1146" spans="1:2" ht="13.5">
      <c r="A1146" s="169" t="s">
        <v>1673</v>
      </c>
      <c r="B1146" s="100" t="s">
        <v>4552</v>
      </c>
    </row>
    <row r="1147" spans="1:2" ht="13.5">
      <c r="A1147" s="169" t="s">
        <v>1674</v>
      </c>
      <c r="B1147" s="100" t="s">
        <v>4552</v>
      </c>
    </row>
    <row r="1148" spans="1:2" ht="13.5">
      <c r="A1148" s="169" t="s">
        <v>1675</v>
      </c>
      <c r="B1148" s="100" t="s">
        <v>4552</v>
      </c>
    </row>
    <row r="1149" spans="1:2" ht="13.5">
      <c r="A1149" s="169" t="s">
        <v>1676</v>
      </c>
      <c r="B1149" s="100" t="s">
        <v>4552</v>
      </c>
    </row>
    <row r="1150" spans="1:2" ht="13.5">
      <c r="A1150" s="169" t="s">
        <v>1677</v>
      </c>
      <c r="B1150" s="100" t="s">
        <v>4552</v>
      </c>
    </row>
    <row r="1151" spans="1:2" ht="13.5">
      <c r="A1151" s="169" t="s">
        <v>1678</v>
      </c>
      <c r="B1151" s="100" t="s">
        <v>4552</v>
      </c>
    </row>
    <row r="1152" spans="1:2" ht="13.5">
      <c r="A1152" s="169" t="s">
        <v>1679</v>
      </c>
      <c r="B1152" s="100" t="s">
        <v>4552</v>
      </c>
    </row>
    <row r="1153" spans="1:2" ht="13.5">
      <c r="A1153" s="169" t="s">
        <v>1680</v>
      </c>
      <c r="B1153" s="100" t="s">
        <v>4552</v>
      </c>
    </row>
    <row r="1154" spans="1:2" ht="13.5">
      <c r="A1154" s="169" t="s">
        <v>1681</v>
      </c>
      <c r="B1154" s="100" t="s">
        <v>4552</v>
      </c>
    </row>
    <row r="1155" spans="1:2" ht="13.5">
      <c r="A1155" s="169" t="s">
        <v>1682</v>
      </c>
      <c r="B1155" s="100" t="s">
        <v>4552</v>
      </c>
    </row>
    <row r="1156" spans="1:2" ht="13.5">
      <c r="A1156" s="169" t="s">
        <v>1683</v>
      </c>
      <c r="B1156" s="100" t="s">
        <v>4552</v>
      </c>
    </row>
    <row r="1157" spans="1:2" ht="13.5">
      <c r="A1157" s="169" t="s">
        <v>1684</v>
      </c>
      <c r="B1157" s="100" t="s">
        <v>4552</v>
      </c>
    </row>
    <row r="1158" spans="1:2" ht="13.5">
      <c r="A1158" s="169" t="s">
        <v>1685</v>
      </c>
      <c r="B1158" s="100" t="s">
        <v>4552</v>
      </c>
    </row>
    <row r="1159" spans="1:2" ht="13.5">
      <c r="A1159" s="169" t="s">
        <v>1686</v>
      </c>
      <c r="B1159" s="100" t="s">
        <v>4552</v>
      </c>
    </row>
    <row r="1160" spans="1:2" ht="13.5">
      <c r="A1160" s="169" t="s">
        <v>1687</v>
      </c>
      <c r="B1160" s="100" t="s">
        <v>4552</v>
      </c>
    </row>
    <row r="1161" spans="1:2" ht="13.5">
      <c r="A1161" s="169" t="s">
        <v>1688</v>
      </c>
      <c r="B1161" s="100" t="s">
        <v>4552</v>
      </c>
    </row>
    <row r="1162" spans="1:2" ht="13.5">
      <c r="A1162" s="169" t="s">
        <v>1689</v>
      </c>
      <c r="B1162" s="100" t="s">
        <v>4552</v>
      </c>
    </row>
    <row r="1163" spans="1:2" ht="13.5">
      <c r="A1163" s="169" t="s">
        <v>1690</v>
      </c>
      <c r="B1163" s="100" t="s">
        <v>4552</v>
      </c>
    </row>
    <row r="1164" spans="1:2" ht="13.5">
      <c r="A1164" s="169" t="s">
        <v>1691</v>
      </c>
      <c r="B1164" s="100" t="s">
        <v>4552</v>
      </c>
    </row>
    <row r="1165" spans="1:2" ht="13.5">
      <c r="A1165" s="169" t="s">
        <v>1692</v>
      </c>
      <c r="B1165" s="100" t="s">
        <v>4552</v>
      </c>
    </row>
    <row r="1166" spans="1:2" ht="13.5">
      <c r="A1166" s="169" t="s">
        <v>1693</v>
      </c>
      <c r="B1166" s="100" t="s">
        <v>4552</v>
      </c>
    </row>
    <row r="1167" spans="1:2" ht="13.5">
      <c r="A1167" s="169" t="s">
        <v>1694</v>
      </c>
      <c r="B1167" s="100" t="s">
        <v>4552</v>
      </c>
    </row>
    <row r="1168" spans="1:2" ht="13.5">
      <c r="A1168" s="169" t="s">
        <v>1695</v>
      </c>
      <c r="B1168" s="100" t="s">
        <v>4552</v>
      </c>
    </row>
    <row r="1169" spans="1:2" ht="13.5">
      <c r="A1169" s="169" t="s">
        <v>1696</v>
      </c>
      <c r="B1169" s="100" t="s">
        <v>4552</v>
      </c>
    </row>
    <row r="1170" spans="1:2" ht="13.5">
      <c r="A1170" s="169" t="s">
        <v>1697</v>
      </c>
      <c r="B1170" s="100" t="s">
        <v>4552</v>
      </c>
    </row>
    <row r="1171" spans="1:2" ht="13.5">
      <c r="A1171" s="169" t="s">
        <v>1698</v>
      </c>
      <c r="B1171" s="100" t="s">
        <v>4552</v>
      </c>
    </row>
    <row r="1172" spans="1:2" ht="13.5">
      <c r="A1172" s="169" t="s">
        <v>1699</v>
      </c>
      <c r="B1172" s="100" t="s">
        <v>4552</v>
      </c>
    </row>
    <row r="1173" spans="1:2" ht="13.5">
      <c r="A1173" s="169" t="s">
        <v>1700</v>
      </c>
      <c r="B1173" s="100" t="s">
        <v>4552</v>
      </c>
    </row>
    <row r="1174" spans="1:2" ht="13.5">
      <c r="A1174" s="169" t="s">
        <v>1701</v>
      </c>
      <c r="B1174" s="100" t="s">
        <v>4552</v>
      </c>
    </row>
    <row r="1175" spans="1:2" ht="13.5">
      <c r="A1175" s="169" t="s">
        <v>1702</v>
      </c>
      <c r="B1175" s="100" t="s">
        <v>4552</v>
      </c>
    </row>
    <row r="1176" spans="1:2" ht="13.5">
      <c r="A1176" s="169" t="s">
        <v>1703</v>
      </c>
      <c r="B1176" s="100" t="s">
        <v>4552</v>
      </c>
    </row>
    <row r="1177" spans="1:2" ht="13.5">
      <c r="A1177" s="169" t="s">
        <v>1704</v>
      </c>
      <c r="B1177" s="100" t="s">
        <v>4552</v>
      </c>
    </row>
    <row r="1178" spans="1:2" ht="13.5">
      <c r="A1178" s="169" t="s">
        <v>1705</v>
      </c>
      <c r="B1178" s="100" t="s">
        <v>4552</v>
      </c>
    </row>
    <row r="1179" spans="1:2" ht="13.5">
      <c r="A1179" s="169" t="s">
        <v>1706</v>
      </c>
      <c r="B1179" s="100" t="s">
        <v>4552</v>
      </c>
    </row>
    <row r="1180" spans="1:2" ht="13.5">
      <c r="A1180" s="169" t="s">
        <v>1707</v>
      </c>
      <c r="B1180" s="100" t="s">
        <v>4552</v>
      </c>
    </row>
    <row r="1181" spans="1:2" ht="13.5">
      <c r="A1181" s="169" t="s">
        <v>1708</v>
      </c>
      <c r="B1181" s="100" t="s">
        <v>4552</v>
      </c>
    </row>
    <row r="1182" spans="1:2" ht="13.5">
      <c r="A1182" s="169" t="s">
        <v>1709</v>
      </c>
      <c r="B1182" s="100" t="s">
        <v>4552</v>
      </c>
    </row>
    <row r="1183" spans="1:2" ht="13.5">
      <c r="A1183" s="169" t="s">
        <v>1710</v>
      </c>
      <c r="B1183" s="100" t="s">
        <v>4552</v>
      </c>
    </row>
    <row r="1184" spans="1:2" ht="13.5">
      <c r="A1184" s="169" t="s">
        <v>1711</v>
      </c>
      <c r="B1184" s="100" t="s">
        <v>4552</v>
      </c>
    </row>
    <row r="1185" spans="1:2" ht="13.5">
      <c r="A1185" s="169" t="s">
        <v>1712</v>
      </c>
      <c r="B1185" s="100" t="s">
        <v>4552</v>
      </c>
    </row>
    <row r="1186" spans="1:2" ht="13.5">
      <c r="A1186" s="169" t="s">
        <v>1713</v>
      </c>
      <c r="B1186" s="100" t="s">
        <v>4552</v>
      </c>
    </row>
    <row r="1187" spans="1:2" ht="13.5">
      <c r="A1187" s="169" t="s">
        <v>1714</v>
      </c>
      <c r="B1187" s="100" t="s">
        <v>4552</v>
      </c>
    </row>
    <row r="1188" spans="1:2" ht="13.5">
      <c r="A1188" s="169" t="s">
        <v>1715</v>
      </c>
      <c r="B1188" s="100" t="s">
        <v>4552</v>
      </c>
    </row>
    <row r="1189" spans="1:2" ht="13.5">
      <c r="A1189" s="169" t="s">
        <v>1716</v>
      </c>
      <c r="B1189" s="100" t="s">
        <v>4552</v>
      </c>
    </row>
    <row r="1190" spans="1:2" ht="13.5">
      <c r="A1190" s="169" t="s">
        <v>1717</v>
      </c>
      <c r="B1190" s="100" t="s">
        <v>4552</v>
      </c>
    </row>
    <row r="1191" spans="1:2" ht="13.5">
      <c r="A1191" s="169" t="s">
        <v>1718</v>
      </c>
      <c r="B1191" s="100" t="s">
        <v>4552</v>
      </c>
    </row>
    <row r="1192" spans="1:2" ht="13.5">
      <c r="A1192" s="169" t="s">
        <v>1719</v>
      </c>
      <c r="B1192" s="100" t="s">
        <v>4552</v>
      </c>
    </row>
    <row r="1193" spans="1:2" ht="13.5">
      <c r="A1193" s="169" t="s">
        <v>1720</v>
      </c>
      <c r="B1193" s="100" t="s">
        <v>4552</v>
      </c>
    </row>
    <row r="1194" spans="1:2" ht="13.5">
      <c r="A1194" s="169" t="s">
        <v>1721</v>
      </c>
      <c r="B1194" s="100" t="s">
        <v>4552</v>
      </c>
    </row>
    <row r="1195" spans="1:2" ht="13.5">
      <c r="A1195" s="169" t="s">
        <v>1722</v>
      </c>
      <c r="B1195" s="100" t="s">
        <v>4552</v>
      </c>
    </row>
    <row r="1196" spans="1:2" ht="13.5">
      <c r="A1196" s="169" t="s">
        <v>1723</v>
      </c>
      <c r="B1196" s="100" t="s">
        <v>4552</v>
      </c>
    </row>
    <row r="1197" spans="1:2" ht="13.5">
      <c r="A1197" s="169" t="s">
        <v>1724</v>
      </c>
      <c r="B1197" s="100" t="s">
        <v>4552</v>
      </c>
    </row>
    <row r="1198" spans="1:2" ht="13.5">
      <c r="A1198" s="169" t="s">
        <v>1725</v>
      </c>
      <c r="B1198" s="100" t="s">
        <v>4552</v>
      </c>
    </row>
    <row r="1199" spans="1:2" ht="13.5">
      <c r="A1199" s="169" t="s">
        <v>1726</v>
      </c>
      <c r="B1199" s="100" t="s">
        <v>4552</v>
      </c>
    </row>
    <row r="1200" spans="1:2" ht="13.5">
      <c r="A1200" s="169" t="s">
        <v>1727</v>
      </c>
      <c r="B1200" s="100" t="s">
        <v>4552</v>
      </c>
    </row>
    <row r="1201" spans="1:2" ht="13.5">
      <c r="A1201" s="169" t="s">
        <v>1728</v>
      </c>
      <c r="B1201" s="100" t="s">
        <v>4552</v>
      </c>
    </row>
    <row r="1202" spans="1:2" ht="13.5">
      <c r="A1202" s="169" t="s">
        <v>1729</v>
      </c>
      <c r="B1202" s="100" t="s">
        <v>4552</v>
      </c>
    </row>
    <row r="1203" spans="1:2" ht="13.5">
      <c r="A1203" s="169" t="s">
        <v>1730</v>
      </c>
      <c r="B1203" s="100" t="s">
        <v>4552</v>
      </c>
    </row>
    <row r="1204" spans="1:2" ht="13.5">
      <c r="A1204" s="169" t="s">
        <v>1731</v>
      </c>
      <c r="B1204" s="100" t="s">
        <v>4552</v>
      </c>
    </row>
    <row r="1205" spans="1:2" ht="13.5">
      <c r="A1205" s="169" t="s">
        <v>1732</v>
      </c>
      <c r="B1205" s="100" t="s">
        <v>4552</v>
      </c>
    </row>
    <row r="1206" spans="1:2" ht="13.5">
      <c r="A1206" s="169" t="s">
        <v>1733</v>
      </c>
      <c r="B1206" s="100" t="s">
        <v>4552</v>
      </c>
    </row>
    <row r="1207" spans="1:2" ht="13.5">
      <c r="A1207" s="169" t="s">
        <v>1734</v>
      </c>
      <c r="B1207" s="100" t="s">
        <v>4552</v>
      </c>
    </row>
    <row r="1208" spans="1:2" ht="13.5">
      <c r="A1208" s="169" t="s">
        <v>1735</v>
      </c>
      <c r="B1208" s="100" t="s">
        <v>4552</v>
      </c>
    </row>
    <row r="1209" spans="1:2" ht="13.5">
      <c r="A1209" s="169" t="s">
        <v>1736</v>
      </c>
      <c r="B1209" s="100" t="s">
        <v>4552</v>
      </c>
    </row>
    <row r="1210" spans="1:2" ht="13.5">
      <c r="A1210" s="169" t="s">
        <v>1737</v>
      </c>
      <c r="B1210" s="100" t="s">
        <v>4552</v>
      </c>
    </row>
    <row r="1211" spans="1:2" ht="13.5">
      <c r="A1211" s="169" t="s">
        <v>1738</v>
      </c>
      <c r="B1211" s="100" t="s">
        <v>4552</v>
      </c>
    </row>
    <row r="1212" spans="1:2" ht="13.5">
      <c r="A1212" s="169" t="s">
        <v>1739</v>
      </c>
      <c r="B1212" s="100" t="s">
        <v>4552</v>
      </c>
    </row>
    <row r="1213" spans="1:2" ht="13.5">
      <c r="A1213" s="169" t="s">
        <v>1740</v>
      </c>
      <c r="B1213" s="100" t="s">
        <v>4552</v>
      </c>
    </row>
    <row r="1214" spans="1:2" ht="13.5">
      <c r="A1214" s="169" t="s">
        <v>1741</v>
      </c>
      <c r="B1214" s="100" t="s">
        <v>4552</v>
      </c>
    </row>
    <row r="1215" spans="1:2" ht="13.5">
      <c r="A1215" s="169" t="s">
        <v>1742</v>
      </c>
      <c r="B1215" s="100" t="s">
        <v>4552</v>
      </c>
    </row>
    <row r="1216" spans="1:2" ht="13.5">
      <c r="A1216" s="169" t="s">
        <v>1743</v>
      </c>
      <c r="B1216" s="100" t="s">
        <v>4552</v>
      </c>
    </row>
    <row r="1217" spans="1:2" ht="13.5">
      <c r="A1217" s="169" t="s">
        <v>1744</v>
      </c>
      <c r="B1217" s="100" t="s">
        <v>4552</v>
      </c>
    </row>
    <row r="1218" spans="1:2" ht="13.5">
      <c r="A1218" s="169" t="s">
        <v>1745</v>
      </c>
      <c r="B1218" s="100" t="s">
        <v>4552</v>
      </c>
    </row>
    <row r="1219" spans="1:2" ht="13.5">
      <c r="A1219" s="169" t="s">
        <v>1746</v>
      </c>
      <c r="B1219" s="100" t="s">
        <v>4552</v>
      </c>
    </row>
    <row r="1220" spans="1:2" ht="13.5">
      <c r="A1220" s="169" t="s">
        <v>1747</v>
      </c>
      <c r="B1220" s="100" t="s">
        <v>4552</v>
      </c>
    </row>
    <row r="1221" spans="1:2" ht="13.5">
      <c r="A1221" s="169" t="s">
        <v>1748</v>
      </c>
      <c r="B1221" s="100" t="s">
        <v>4552</v>
      </c>
    </row>
    <row r="1222" spans="1:2" ht="13.5">
      <c r="A1222" s="169" t="s">
        <v>1749</v>
      </c>
      <c r="B1222" s="100" t="s">
        <v>4552</v>
      </c>
    </row>
    <row r="1223" spans="1:2" ht="13.5">
      <c r="A1223" s="169" t="s">
        <v>1750</v>
      </c>
      <c r="B1223" s="100" t="s">
        <v>4552</v>
      </c>
    </row>
    <row r="1224" spans="1:2" ht="13.5">
      <c r="A1224" s="169" t="s">
        <v>1751</v>
      </c>
      <c r="B1224" s="100" t="s">
        <v>4552</v>
      </c>
    </row>
    <row r="1225" spans="1:2" ht="13.5">
      <c r="A1225" s="169" t="s">
        <v>1752</v>
      </c>
      <c r="B1225" s="100" t="s">
        <v>4552</v>
      </c>
    </row>
    <row r="1226" spans="1:2" ht="13.5">
      <c r="A1226" s="169" t="s">
        <v>1753</v>
      </c>
      <c r="B1226" s="100" t="s">
        <v>4552</v>
      </c>
    </row>
    <row r="1227" spans="1:2" ht="13.5">
      <c r="A1227" s="169" t="s">
        <v>1754</v>
      </c>
      <c r="B1227" s="100" t="s">
        <v>4552</v>
      </c>
    </row>
    <row r="1228" spans="1:2" ht="13.5">
      <c r="A1228" s="169" t="s">
        <v>1755</v>
      </c>
      <c r="B1228" s="100" t="s">
        <v>4552</v>
      </c>
    </row>
    <row r="1229" spans="1:2" ht="13.5">
      <c r="A1229" s="169" t="s">
        <v>1756</v>
      </c>
      <c r="B1229" s="100" t="s">
        <v>4552</v>
      </c>
    </row>
    <row r="1230" spans="1:2" ht="13.5">
      <c r="A1230" s="169" t="s">
        <v>1757</v>
      </c>
      <c r="B1230" s="100" t="s">
        <v>4552</v>
      </c>
    </row>
    <row r="1231" spans="1:2" ht="13.5">
      <c r="A1231" s="169" t="s">
        <v>1758</v>
      </c>
      <c r="B1231" s="100" t="s">
        <v>4552</v>
      </c>
    </row>
    <row r="1232" spans="1:2" ht="13.5">
      <c r="A1232" s="169" t="s">
        <v>1759</v>
      </c>
      <c r="B1232" s="100" t="s">
        <v>4552</v>
      </c>
    </row>
    <row r="1233" spans="1:2" ht="13.5">
      <c r="A1233" s="169" t="s">
        <v>1760</v>
      </c>
      <c r="B1233" s="100" t="s">
        <v>4552</v>
      </c>
    </row>
    <row r="1234" spans="1:2" ht="13.5">
      <c r="A1234" s="169" t="s">
        <v>1761</v>
      </c>
      <c r="B1234" s="100" t="s">
        <v>4552</v>
      </c>
    </row>
    <row r="1235" spans="1:2" ht="13.5">
      <c r="A1235" s="169" t="s">
        <v>1762</v>
      </c>
      <c r="B1235" s="100" t="s">
        <v>4552</v>
      </c>
    </row>
    <row r="1236" spans="1:2" ht="13.5">
      <c r="A1236" s="169" t="s">
        <v>1763</v>
      </c>
      <c r="B1236" s="100" t="s">
        <v>4552</v>
      </c>
    </row>
    <row r="1237" spans="1:2" ht="13.5">
      <c r="A1237" s="169" t="s">
        <v>1764</v>
      </c>
      <c r="B1237" s="100" t="s">
        <v>4552</v>
      </c>
    </row>
    <row r="1238" spans="1:2" ht="13.5">
      <c r="A1238" s="169" t="s">
        <v>1765</v>
      </c>
      <c r="B1238" s="100" t="s">
        <v>4552</v>
      </c>
    </row>
    <row r="1239" spans="1:2" ht="13.5">
      <c r="A1239" s="169" t="s">
        <v>1766</v>
      </c>
      <c r="B1239" s="100" t="s">
        <v>4552</v>
      </c>
    </row>
    <row r="1240" spans="1:2" ht="13.5">
      <c r="A1240" s="169" t="s">
        <v>1767</v>
      </c>
      <c r="B1240" s="100" t="s">
        <v>4552</v>
      </c>
    </row>
    <row r="1241" spans="1:2" ht="13.5">
      <c r="A1241" s="169" t="s">
        <v>1768</v>
      </c>
      <c r="B1241" s="100" t="s">
        <v>4552</v>
      </c>
    </row>
    <row r="1242" spans="1:2" ht="13.5">
      <c r="A1242" s="169" t="s">
        <v>1769</v>
      </c>
      <c r="B1242" s="100" t="s">
        <v>4552</v>
      </c>
    </row>
    <row r="1243" spans="1:2" ht="13.5">
      <c r="A1243" s="169" t="s">
        <v>1770</v>
      </c>
      <c r="B1243" s="100" t="s">
        <v>4552</v>
      </c>
    </row>
    <row r="1244" spans="1:2" ht="13.5">
      <c r="A1244" s="169" t="s">
        <v>1771</v>
      </c>
      <c r="B1244" s="100" t="s">
        <v>4552</v>
      </c>
    </row>
    <row r="1245" spans="1:2" ht="13.5">
      <c r="A1245" s="169" t="s">
        <v>1772</v>
      </c>
      <c r="B1245" s="100" t="s">
        <v>4552</v>
      </c>
    </row>
    <row r="1246" spans="1:2" ht="13.5">
      <c r="A1246" s="169" t="s">
        <v>1773</v>
      </c>
      <c r="B1246" s="100" t="s">
        <v>4552</v>
      </c>
    </row>
    <row r="1247" spans="1:2" ht="13.5">
      <c r="A1247" s="169" t="s">
        <v>1774</v>
      </c>
      <c r="B1247" s="100" t="s">
        <v>4552</v>
      </c>
    </row>
    <row r="1248" spans="1:2" ht="13.5">
      <c r="A1248" s="169" t="s">
        <v>1775</v>
      </c>
      <c r="B1248" s="100" t="s">
        <v>4552</v>
      </c>
    </row>
    <row r="1249" spans="1:2" ht="13.5">
      <c r="A1249" s="169" t="s">
        <v>1776</v>
      </c>
      <c r="B1249" s="100" t="s">
        <v>4552</v>
      </c>
    </row>
    <row r="1250" spans="1:2" ht="13.5">
      <c r="A1250" s="169" t="s">
        <v>1777</v>
      </c>
      <c r="B1250" s="100" t="s">
        <v>4552</v>
      </c>
    </row>
    <row r="1251" spans="1:2" ht="13.5">
      <c r="A1251" s="169" t="s">
        <v>1778</v>
      </c>
      <c r="B1251" s="100" t="s">
        <v>4552</v>
      </c>
    </row>
    <row r="1252" spans="1:2" ht="13.5">
      <c r="A1252" s="169" t="s">
        <v>1779</v>
      </c>
      <c r="B1252" s="100" t="s">
        <v>4552</v>
      </c>
    </row>
    <row r="1253" spans="1:2" ht="13.5">
      <c r="A1253" s="169" t="s">
        <v>1780</v>
      </c>
      <c r="B1253" s="100" t="s">
        <v>4552</v>
      </c>
    </row>
    <row r="1254" spans="1:2" ht="13.5">
      <c r="A1254" s="169" t="s">
        <v>1781</v>
      </c>
      <c r="B1254" s="100" t="s">
        <v>4552</v>
      </c>
    </row>
    <row r="1255" spans="1:2" ht="13.5">
      <c r="A1255" s="169" t="s">
        <v>1782</v>
      </c>
      <c r="B1255" s="100" t="s">
        <v>4552</v>
      </c>
    </row>
    <row r="1256" spans="1:2" ht="13.5">
      <c r="A1256" s="169" t="s">
        <v>1783</v>
      </c>
      <c r="B1256" s="100" t="s">
        <v>4552</v>
      </c>
    </row>
    <row r="1257" spans="1:2" ht="13.5">
      <c r="A1257" s="169" t="s">
        <v>1784</v>
      </c>
      <c r="B1257" s="100" t="s">
        <v>4552</v>
      </c>
    </row>
    <row r="1258" spans="1:2" ht="13.5">
      <c r="A1258" s="169" t="s">
        <v>1785</v>
      </c>
      <c r="B1258" s="100" t="s">
        <v>4552</v>
      </c>
    </row>
    <row r="1259" spans="1:2" ht="13.5">
      <c r="A1259" s="169" t="s">
        <v>1786</v>
      </c>
      <c r="B1259" s="100" t="s">
        <v>4552</v>
      </c>
    </row>
    <row r="1260" spans="1:2" ht="13.5">
      <c r="A1260" s="169" t="s">
        <v>1787</v>
      </c>
      <c r="B1260" s="100" t="s">
        <v>4552</v>
      </c>
    </row>
    <row r="1261" spans="1:2" ht="13.5">
      <c r="A1261" s="169" t="s">
        <v>1788</v>
      </c>
      <c r="B1261" s="100" t="s">
        <v>4552</v>
      </c>
    </row>
    <row r="1262" spans="1:2" ht="13.5">
      <c r="A1262" s="169" t="s">
        <v>1789</v>
      </c>
      <c r="B1262" s="100" t="s">
        <v>4552</v>
      </c>
    </row>
    <row r="1263" spans="1:2" ht="13.5">
      <c r="A1263" s="169" t="s">
        <v>1790</v>
      </c>
      <c r="B1263" s="100" t="s">
        <v>4552</v>
      </c>
    </row>
    <row r="1264" spans="1:2" ht="13.5">
      <c r="A1264" s="169" t="s">
        <v>1791</v>
      </c>
      <c r="B1264" s="100" t="s">
        <v>4552</v>
      </c>
    </row>
    <row r="1265" spans="1:2" ht="13.5">
      <c r="A1265" s="169" t="s">
        <v>1792</v>
      </c>
      <c r="B1265" s="100" t="s">
        <v>4552</v>
      </c>
    </row>
    <row r="1266" spans="1:2" ht="13.5">
      <c r="A1266" s="169" t="s">
        <v>1793</v>
      </c>
      <c r="B1266" s="100" t="s">
        <v>4552</v>
      </c>
    </row>
    <row r="1267" spans="1:2" ht="13.5">
      <c r="A1267" s="169" t="s">
        <v>1794</v>
      </c>
      <c r="B1267" s="100" t="s">
        <v>4552</v>
      </c>
    </row>
    <row r="1268" spans="1:2" ht="13.5">
      <c r="A1268" s="169" t="s">
        <v>1795</v>
      </c>
      <c r="B1268" s="100" t="s">
        <v>4552</v>
      </c>
    </row>
    <row r="1269" spans="1:2" ht="13.5">
      <c r="A1269" s="169" t="s">
        <v>1796</v>
      </c>
      <c r="B1269" s="100" t="s">
        <v>4552</v>
      </c>
    </row>
    <row r="1270" spans="1:2" ht="13.5">
      <c r="A1270" s="169" t="s">
        <v>1797</v>
      </c>
      <c r="B1270" s="100" t="s">
        <v>4552</v>
      </c>
    </row>
    <row r="1271" spans="1:2" ht="13.5">
      <c r="A1271" s="169" t="s">
        <v>1798</v>
      </c>
      <c r="B1271" s="100" t="s">
        <v>4552</v>
      </c>
    </row>
    <row r="1272" spans="1:2" ht="13.5">
      <c r="A1272" s="169" t="s">
        <v>1799</v>
      </c>
      <c r="B1272" s="100" t="s">
        <v>4552</v>
      </c>
    </row>
    <row r="1273" spans="1:2" ht="13.5">
      <c r="A1273" s="169" t="s">
        <v>1800</v>
      </c>
      <c r="B1273" s="100" t="s">
        <v>4552</v>
      </c>
    </row>
    <row r="1274" spans="1:2" ht="13.5">
      <c r="A1274" s="169" t="s">
        <v>1801</v>
      </c>
      <c r="B1274" s="100" t="s">
        <v>4552</v>
      </c>
    </row>
    <row r="1275" spans="1:2" ht="13.5">
      <c r="A1275" s="169" t="s">
        <v>1802</v>
      </c>
      <c r="B1275" s="100" t="s">
        <v>4552</v>
      </c>
    </row>
    <row r="1276" spans="1:2" ht="13.5">
      <c r="A1276" s="169" t="s">
        <v>1803</v>
      </c>
      <c r="B1276" s="100" t="s">
        <v>4552</v>
      </c>
    </row>
    <row r="1277" spans="1:2" ht="13.5">
      <c r="A1277" s="169" t="s">
        <v>1804</v>
      </c>
      <c r="B1277" s="100" t="s">
        <v>4552</v>
      </c>
    </row>
    <row r="1278" spans="1:2" ht="13.5">
      <c r="A1278" s="169" t="s">
        <v>1805</v>
      </c>
      <c r="B1278" s="100" t="s">
        <v>4552</v>
      </c>
    </row>
    <row r="1279" spans="1:2" ht="13.5">
      <c r="A1279" s="169" t="s">
        <v>1806</v>
      </c>
      <c r="B1279" s="100" t="s">
        <v>4552</v>
      </c>
    </row>
    <row r="1280" spans="1:2" ht="13.5">
      <c r="A1280" s="169" t="s">
        <v>1807</v>
      </c>
      <c r="B1280" s="100" t="s">
        <v>4552</v>
      </c>
    </row>
    <row r="1281" spans="1:2" ht="13.5">
      <c r="A1281" s="169" t="s">
        <v>1808</v>
      </c>
      <c r="B1281" s="100" t="s">
        <v>4552</v>
      </c>
    </row>
    <row r="1282" spans="1:2" ht="13.5">
      <c r="A1282" s="169" t="s">
        <v>1809</v>
      </c>
      <c r="B1282" s="100" t="s">
        <v>4552</v>
      </c>
    </row>
    <row r="1283" spans="1:2" ht="13.5">
      <c r="A1283" s="169" t="s">
        <v>1810</v>
      </c>
      <c r="B1283" s="100" t="s">
        <v>4552</v>
      </c>
    </row>
    <row r="1284" spans="1:2" ht="13.5">
      <c r="A1284" s="169" t="s">
        <v>1811</v>
      </c>
      <c r="B1284" s="100" t="s">
        <v>4552</v>
      </c>
    </row>
    <row r="1285" spans="1:2" ht="13.5">
      <c r="A1285" s="169" t="s">
        <v>1812</v>
      </c>
      <c r="B1285" s="100" t="s">
        <v>4552</v>
      </c>
    </row>
    <row r="1286" spans="1:2" ht="13.5">
      <c r="A1286" s="169" t="s">
        <v>1813</v>
      </c>
      <c r="B1286" s="100" t="s">
        <v>4552</v>
      </c>
    </row>
    <row r="1287" spans="1:2" ht="13.5">
      <c r="A1287" s="169" t="s">
        <v>1814</v>
      </c>
      <c r="B1287" s="100" t="s">
        <v>4552</v>
      </c>
    </row>
    <row r="1288" spans="1:2" ht="13.5">
      <c r="A1288" s="169" t="s">
        <v>1815</v>
      </c>
      <c r="B1288" s="100" t="s">
        <v>4552</v>
      </c>
    </row>
    <row r="1289" spans="1:2" ht="13.5">
      <c r="A1289" s="169" t="s">
        <v>1816</v>
      </c>
      <c r="B1289" s="100" t="s">
        <v>4552</v>
      </c>
    </row>
    <row r="1290" spans="1:2" ht="13.5">
      <c r="A1290" s="169" t="s">
        <v>1817</v>
      </c>
      <c r="B1290" s="100" t="s">
        <v>4552</v>
      </c>
    </row>
    <row r="1291" spans="1:2" ht="13.5">
      <c r="A1291" s="169" t="s">
        <v>1818</v>
      </c>
      <c r="B1291" s="100" t="s">
        <v>4552</v>
      </c>
    </row>
    <row r="1292" spans="1:2" ht="13.5">
      <c r="A1292" s="169" t="s">
        <v>1819</v>
      </c>
      <c r="B1292" s="100" t="s">
        <v>4552</v>
      </c>
    </row>
    <row r="1293" spans="1:2" ht="13.5">
      <c r="A1293" s="169" t="s">
        <v>1820</v>
      </c>
      <c r="B1293" s="100" t="s">
        <v>4552</v>
      </c>
    </row>
    <row r="1294" spans="1:2" ht="13.5">
      <c r="A1294" s="169" t="s">
        <v>1821</v>
      </c>
      <c r="B1294" s="100" t="s">
        <v>4552</v>
      </c>
    </row>
    <row r="1295" spans="1:2" ht="13.5">
      <c r="A1295" s="169" t="s">
        <v>1822</v>
      </c>
      <c r="B1295" s="100" t="s">
        <v>4552</v>
      </c>
    </row>
    <row r="1296" spans="1:2" ht="13.5">
      <c r="A1296" s="169" t="s">
        <v>1823</v>
      </c>
      <c r="B1296" s="100" t="s">
        <v>4552</v>
      </c>
    </row>
    <row r="1297" spans="1:2" ht="13.5">
      <c r="A1297" s="169" t="s">
        <v>1824</v>
      </c>
      <c r="B1297" s="100" t="s">
        <v>4552</v>
      </c>
    </row>
    <row r="1298" spans="1:2" ht="13.5">
      <c r="A1298" s="169" t="s">
        <v>1825</v>
      </c>
      <c r="B1298" s="100" t="s">
        <v>4552</v>
      </c>
    </row>
    <row r="1299" spans="1:2" ht="13.5">
      <c r="A1299" s="169" t="s">
        <v>1826</v>
      </c>
      <c r="B1299" s="100" t="s">
        <v>4552</v>
      </c>
    </row>
    <row r="1300" spans="1:2" ht="13.5">
      <c r="A1300" s="169" t="s">
        <v>1827</v>
      </c>
      <c r="B1300" s="100" t="s">
        <v>4552</v>
      </c>
    </row>
    <row r="1301" spans="1:2" ht="13.5">
      <c r="A1301" s="169" t="s">
        <v>1828</v>
      </c>
      <c r="B1301" s="100" t="s">
        <v>4552</v>
      </c>
    </row>
    <row r="1302" spans="1:2" ht="13.5">
      <c r="A1302" s="169" t="s">
        <v>1829</v>
      </c>
      <c r="B1302" s="100" t="s">
        <v>4552</v>
      </c>
    </row>
    <row r="1303" spans="1:2" ht="13.5">
      <c r="A1303" s="169" t="s">
        <v>1830</v>
      </c>
      <c r="B1303" s="100" t="s">
        <v>4552</v>
      </c>
    </row>
    <row r="1304" spans="1:2" ht="13.5">
      <c r="A1304" s="169" t="s">
        <v>1831</v>
      </c>
      <c r="B1304" s="100" t="s">
        <v>4552</v>
      </c>
    </row>
    <row r="1305" spans="1:2" ht="13.5">
      <c r="A1305" s="169" t="s">
        <v>1832</v>
      </c>
      <c r="B1305" s="100" t="s">
        <v>4552</v>
      </c>
    </row>
    <row r="1306" spans="1:2" ht="13.5">
      <c r="A1306" s="169" t="s">
        <v>1833</v>
      </c>
      <c r="B1306" s="100" t="s">
        <v>4552</v>
      </c>
    </row>
    <row r="1307" spans="1:2" ht="13.5">
      <c r="A1307" s="169" t="s">
        <v>1834</v>
      </c>
      <c r="B1307" s="100" t="s">
        <v>4552</v>
      </c>
    </row>
    <row r="1308" spans="1:2" ht="13.5">
      <c r="A1308" s="169" t="s">
        <v>1835</v>
      </c>
      <c r="B1308" s="100" t="s">
        <v>4552</v>
      </c>
    </row>
    <row r="1309" spans="1:2" ht="13.5">
      <c r="A1309" s="169" t="s">
        <v>1836</v>
      </c>
      <c r="B1309" s="100" t="s">
        <v>4552</v>
      </c>
    </row>
    <row r="1310" spans="1:2" ht="13.5">
      <c r="A1310" s="169" t="s">
        <v>1837</v>
      </c>
      <c r="B1310" s="100" t="s">
        <v>4552</v>
      </c>
    </row>
    <row r="1311" spans="1:2" ht="13.5">
      <c r="A1311" s="169" t="s">
        <v>1838</v>
      </c>
      <c r="B1311" s="100" t="s">
        <v>4552</v>
      </c>
    </row>
    <row r="1312" spans="1:2" ht="13.5">
      <c r="A1312" s="169" t="s">
        <v>1839</v>
      </c>
      <c r="B1312" s="100" t="s">
        <v>4552</v>
      </c>
    </row>
    <row r="1313" spans="1:2" ht="13.5">
      <c r="A1313" s="169" t="s">
        <v>1840</v>
      </c>
      <c r="B1313" s="100" t="s">
        <v>4552</v>
      </c>
    </row>
    <row r="1314" spans="1:2" ht="13.5">
      <c r="A1314" s="169" t="s">
        <v>1841</v>
      </c>
      <c r="B1314" s="100" t="s">
        <v>4552</v>
      </c>
    </row>
    <row r="1315" spans="1:2" ht="13.5">
      <c r="A1315" s="169" t="s">
        <v>1842</v>
      </c>
      <c r="B1315" s="100" t="s">
        <v>4552</v>
      </c>
    </row>
    <row r="1316" spans="1:2" ht="13.5">
      <c r="A1316" s="169" t="s">
        <v>1843</v>
      </c>
      <c r="B1316" s="100" t="s">
        <v>4552</v>
      </c>
    </row>
    <row r="1317" spans="1:2" ht="13.5">
      <c r="A1317" s="169" t="s">
        <v>1844</v>
      </c>
      <c r="B1317" s="100" t="s">
        <v>4552</v>
      </c>
    </row>
    <row r="1318" spans="1:2" ht="13.5">
      <c r="A1318" s="169" t="s">
        <v>1845</v>
      </c>
      <c r="B1318" s="100" t="s">
        <v>4552</v>
      </c>
    </row>
    <row r="1319" spans="1:2" ht="13.5">
      <c r="A1319" s="169" t="s">
        <v>1846</v>
      </c>
      <c r="B1319" s="100" t="s">
        <v>4552</v>
      </c>
    </row>
    <row r="1320" spans="1:2" ht="13.5">
      <c r="A1320" s="169" t="s">
        <v>1847</v>
      </c>
      <c r="B1320" s="100" t="s">
        <v>4552</v>
      </c>
    </row>
    <row r="1321" spans="1:2" ht="13.5">
      <c r="A1321" s="169" t="s">
        <v>1848</v>
      </c>
      <c r="B1321" s="100" t="s">
        <v>4552</v>
      </c>
    </row>
    <row r="1322" spans="1:2" ht="13.5">
      <c r="A1322" s="169" t="s">
        <v>1849</v>
      </c>
      <c r="B1322" s="100" t="s">
        <v>4552</v>
      </c>
    </row>
    <row r="1323" spans="1:2" ht="13.5">
      <c r="A1323" s="169" t="s">
        <v>1850</v>
      </c>
      <c r="B1323" s="100" t="s">
        <v>4552</v>
      </c>
    </row>
    <row r="1324" spans="1:2" ht="13.5">
      <c r="A1324" s="169" t="s">
        <v>1851</v>
      </c>
      <c r="B1324" s="100" t="s">
        <v>4552</v>
      </c>
    </row>
    <row r="1325" spans="1:2" ht="13.5">
      <c r="A1325" s="169" t="s">
        <v>1852</v>
      </c>
      <c r="B1325" s="100" t="s">
        <v>4552</v>
      </c>
    </row>
    <row r="1326" spans="1:2" ht="13.5">
      <c r="A1326" s="169" t="s">
        <v>1853</v>
      </c>
      <c r="B1326" s="100" t="s">
        <v>4552</v>
      </c>
    </row>
    <row r="1327" spans="1:2" ht="13.5">
      <c r="A1327" s="169" t="s">
        <v>1854</v>
      </c>
      <c r="B1327" s="100" t="s">
        <v>4552</v>
      </c>
    </row>
    <row r="1328" spans="1:2" ht="13.5">
      <c r="A1328" s="169" t="s">
        <v>1855</v>
      </c>
      <c r="B1328" s="100" t="s">
        <v>4552</v>
      </c>
    </row>
    <row r="1329" spans="1:2" ht="13.5">
      <c r="A1329" s="169" t="s">
        <v>1856</v>
      </c>
      <c r="B1329" s="100" t="s">
        <v>4552</v>
      </c>
    </row>
    <row r="1330" spans="1:2" ht="13.5">
      <c r="A1330" s="169" t="s">
        <v>1857</v>
      </c>
      <c r="B1330" s="100" t="s">
        <v>4552</v>
      </c>
    </row>
    <row r="1331" spans="1:2" ht="13.5">
      <c r="A1331" s="169" t="s">
        <v>1858</v>
      </c>
      <c r="B1331" s="100" t="s">
        <v>4552</v>
      </c>
    </row>
    <row r="1332" spans="1:2" ht="13.5">
      <c r="A1332" s="169" t="s">
        <v>1859</v>
      </c>
      <c r="B1332" s="100" t="s">
        <v>4552</v>
      </c>
    </row>
    <row r="1333" spans="1:2" ht="13.5">
      <c r="A1333" s="169" t="s">
        <v>1860</v>
      </c>
      <c r="B1333" s="100" t="s">
        <v>4552</v>
      </c>
    </row>
    <row r="1334" spans="1:2" ht="13.5">
      <c r="A1334" s="169" t="s">
        <v>1861</v>
      </c>
      <c r="B1334" s="100" t="s">
        <v>4552</v>
      </c>
    </row>
    <row r="1335" spans="1:2" ht="13.5">
      <c r="A1335" s="169" t="s">
        <v>1862</v>
      </c>
      <c r="B1335" s="100" t="s">
        <v>4552</v>
      </c>
    </row>
    <row r="1336" spans="1:2" ht="13.5">
      <c r="A1336" s="169" t="s">
        <v>1863</v>
      </c>
      <c r="B1336" s="100" t="s">
        <v>4552</v>
      </c>
    </row>
    <row r="1337" spans="1:2" ht="13.5">
      <c r="A1337" s="169" t="s">
        <v>1864</v>
      </c>
      <c r="B1337" s="100" t="s">
        <v>4552</v>
      </c>
    </row>
    <row r="1338" spans="1:2" ht="13.5">
      <c r="A1338" s="169" t="s">
        <v>1865</v>
      </c>
      <c r="B1338" s="100" t="s">
        <v>4552</v>
      </c>
    </row>
    <row r="1339" spans="1:2" ht="13.5">
      <c r="A1339" s="169" t="s">
        <v>1866</v>
      </c>
      <c r="B1339" s="100" t="s">
        <v>4552</v>
      </c>
    </row>
    <row r="1340" spans="1:2" ht="13.5">
      <c r="A1340" s="169" t="s">
        <v>1867</v>
      </c>
      <c r="B1340" s="100" t="s">
        <v>4552</v>
      </c>
    </row>
    <row r="1341" spans="1:2" ht="13.5">
      <c r="A1341" s="169" t="s">
        <v>1868</v>
      </c>
      <c r="B1341" s="100" t="s">
        <v>4552</v>
      </c>
    </row>
    <row r="1342" spans="1:2" ht="13.5">
      <c r="A1342" s="169" t="s">
        <v>1869</v>
      </c>
      <c r="B1342" s="100" t="s">
        <v>4552</v>
      </c>
    </row>
    <row r="1343" spans="1:2" ht="13.5">
      <c r="A1343" s="169" t="s">
        <v>1870</v>
      </c>
      <c r="B1343" s="100" t="s">
        <v>4552</v>
      </c>
    </row>
    <row r="1344" spans="1:2" ht="13.5">
      <c r="A1344" s="169" t="s">
        <v>1871</v>
      </c>
      <c r="B1344" s="100" t="s">
        <v>4552</v>
      </c>
    </row>
    <row r="1345" spans="1:2" ht="13.5">
      <c r="A1345" s="169" t="s">
        <v>1872</v>
      </c>
      <c r="B1345" s="100" t="s">
        <v>4552</v>
      </c>
    </row>
    <row r="1346" spans="1:2" ht="13.5">
      <c r="A1346" s="169" t="s">
        <v>1873</v>
      </c>
      <c r="B1346" s="100" t="s">
        <v>4552</v>
      </c>
    </row>
    <row r="1347" spans="1:2" ht="13.5">
      <c r="A1347" s="169" t="s">
        <v>1874</v>
      </c>
      <c r="B1347" s="100" t="s">
        <v>4552</v>
      </c>
    </row>
    <row r="1348" spans="1:2" ht="13.5">
      <c r="A1348" s="169" t="s">
        <v>1875</v>
      </c>
      <c r="B1348" s="100" t="s">
        <v>4552</v>
      </c>
    </row>
    <row r="1349" spans="1:2" ht="13.5">
      <c r="A1349" s="169" t="s">
        <v>1876</v>
      </c>
      <c r="B1349" s="100" t="s">
        <v>4552</v>
      </c>
    </row>
    <row r="1350" spans="1:2" ht="13.5">
      <c r="A1350" s="169" t="s">
        <v>1877</v>
      </c>
      <c r="B1350" s="100" t="s">
        <v>4552</v>
      </c>
    </row>
    <row r="1351" spans="1:2" ht="13.5">
      <c r="A1351" s="169" t="s">
        <v>1878</v>
      </c>
      <c r="B1351" s="100" t="s">
        <v>4552</v>
      </c>
    </row>
    <row r="1352" spans="1:2" ht="13.5">
      <c r="A1352" s="169" t="s">
        <v>1879</v>
      </c>
      <c r="B1352" s="100" t="s">
        <v>4552</v>
      </c>
    </row>
    <row r="1353" spans="1:2" ht="13.5">
      <c r="A1353" s="169" t="s">
        <v>1880</v>
      </c>
      <c r="B1353" s="100" t="s">
        <v>4552</v>
      </c>
    </row>
    <row r="1354" spans="1:2" ht="13.5">
      <c r="A1354" s="169" t="s">
        <v>1881</v>
      </c>
      <c r="B1354" s="100" t="s">
        <v>4552</v>
      </c>
    </row>
    <row r="1355" spans="1:2" ht="13.5">
      <c r="A1355" s="169" t="s">
        <v>1882</v>
      </c>
      <c r="B1355" s="100" t="s">
        <v>4552</v>
      </c>
    </row>
    <row r="1356" spans="1:2" ht="13.5">
      <c r="A1356" s="169" t="s">
        <v>1883</v>
      </c>
      <c r="B1356" s="100" t="s">
        <v>4552</v>
      </c>
    </row>
    <row r="1357" spans="1:2" ht="13.5">
      <c r="A1357" s="169" t="s">
        <v>1884</v>
      </c>
      <c r="B1357" s="100" t="s">
        <v>4552</v>
      </c>
    </row>
    <row r="1358" spans="1:2" ht="13.5">
      <c r="A1358" s="169" t="s">
        <v>1885</v>
      </c>
      <c r="B1358" s="100" t="s">
        <v>4552</v>
      </c>
    </row>
    <row r="1359" spans="1:2" ht="13.5">
      <c r="A1359" s="169" t="s">
        <v>1886</v>
      </c>
      <c r="B1359" s="100" t="s">
        <v>4552</v>
      </c>
    </row>
    <row r="1360" spans="1:2" ht="13.5">
      <c r="A1360" s="169" t="s">
        <v>1887</v>
      </c>
      <c r="B1360" s="100" t="s">
        <v>4552</v>
      </c>
    </row>
    <row r="1361" spans="1:2" ht="13.5">
      <c r="A1361" s="169" t="s">
        <v>1888</v>
      </c>
      <c r="B1361" s="100" t="s">
        <v>4552</v>
      </c>
    </row>
    <row r="1362" spans="1:2" ht="13.5">
      <c r="A1362" s="169" t="s">
        <v>1889</v>
      </c>
      <c r="B1362" s="100" t="s">
        <v>4552</v>
      </c>
    </row>
    <row r="1363" spans="1:2" ht="13.5">
      <c r="A1363" s="169" t="s">
        <v>1890</v>
      </c>
      <c r="B1363" s="100" t="s">
        <v>4552</v>
      </c>
    </row>
    <row r="1364" spans="1:2" ht="13.5">
      <c r="A1364" s="169" t="s">
        <v>1891</v>
      </c>
      <c r="B1364" s="100" t="s">
        <v>4552</v>
      </c>
    </row>
    <row r="1365" spans="1:2" ht="13.5">
      <c r="A1365" s="169" t="s">
        <v>1892</v>
      </c>
      <c r="B1365" s="100" t="s">
        <v>4552</v>
      </c>
    </row>
    <row r="1366" spans="1:2" ht="13.5">
      <c r="A1366" s="169" t="s">
        <v>1893</v>
      </c>
      <c r="B1366" s="100" t="s">
        <v>4552</v>
      </c>
    </row>
    <row r="1367" spans="1:2" ht="13.5">
      <c r="A1367" s="169" t="s">
        <v>1894</v>
      </c>
      <c r="B1367" s="100" t="s">
        <v>4552</v>
      </c>
    </row>
    <row r="1368" spans="1:2" ht="13.5">
      <c r="A1368" s="169" t="s">
        <v>1895</v>
      </c>
      <c r="B1368" s="100" t="s">
        <v>4552</v>
      </c>
    </row>
    <row r="1369" spans="1:2" ht="13.5">
      <c r="A1369" s="169" t="s">
        <v>1896</v>
      </c>
      <c r="B1369" s="100" t="s">
        <v>4552</v>
      </c>
    </row>
    <row r="1370" spans="1:2" ht="13.5">
      <c r="A1370" s="169" t="s">
        <v>1897</v>
      </c>
      <c r="B1370" s="100" t="s">
        <v>4552</v>
      </c>
    </row>
    <row r="1371" spans="1:2" ht="13.5">
      <c r="A1371" s="169" t="s">
        <v>1898</v>
      </c>
      <c r="B1371" s="100" t="s">
        <v>4552</v>
      </c>
    </row>
    <row r="1372" spans="1:2" ht="13.5">
      <c r="A1372" s="169" t="s">
        <v>1899</v>
      </c>
      <c r="B1372" s="100" t="s">
        <v>4552</v>
      </c>
    </row>
    <row r="1373" spans="1:2" ht="13.5">
      <c r="A1373" s="169" t="s">
        <v>1900</v>
      </c>
      <c r="B1373" s="100" t="s">
        <v>4552</v>
      </c>
    </row>
    <row r="1374" spans="1:2" ht="13.5">
      <c r="A1374" s="169" t="s">
        <v>1901</v>
      </c>
      <c r="B1374" s="100" t="s">
        <v>4552</v>
      </c>
    </row>
    <row r="1375" spans="1:2" ht="13.5">
      <c r="A1375" s="169" t="s">
        <v>1902</v>
      </c>
      <c r="B1375" s="100" t="s">
        <v>4552</v>
      </c>
    </row>
    <row r="1376" spans="1:2" ht="13.5">
      <c r="A1376" s="169" t="s">
        <v>1903</v>
      </c>
      <c r="B1376" s="100" t="s">
        <v>4552</v>
      </c>
    </row>
    <row r="1377" spans="1:2" ht="13.5">
      <c r="A1377" s="169" t="s">
        <v>1904</v>
      </c>
      <c r="B1377" s="100" t="s">
        <v>4552</v>
      </c>
    </row>
    <row r="1378" spans="1:2" ht="13.5">
      <c r="A1378" s="169" t="s">
        <v>1905</v>
      </c>
      <c r="B1378" s="100" t="s">
        <v>4552</v>
      </c>
    </row>
    <row r="1379" spans="1:2" ht="13.5">
      <c r="A1379" s="169" t="s">
        <v>1906</v>
      </c>
      <c r="B1379" s="100" t="s">
        <v>4552</v>
      </c>
    </row>
    <row r="1380" spans="1:2" ht="13.5">
      <c r="A1380" s="169" t="s">
        <v>1907</v>
      </c>
      <c r="B1380" s="100" t="s">
        <v>4552</v>
      </c>
    </row>
    <row r="1381" spans="1:2" ht="13.5">
      <c r="A1381" s="169" t="s">
        <v>1908</v>
      </c>
      <c r="B1381" s="100" t="s">
        <v>4552</v>
      </c>
    </row>
    <row r="1382" spans="1:2" ht="13.5">
      <c r="A1382" s="169" t="s">
        <v>1909</v>
      </c>
      <c r="B1382" s="100" t="s">
        <v>4552</v>
      </c>
    </row>
    <row r="1383" spans="1:2" ht="13.5">
      <c r="A1383" s="169" t="s">
        <v>1910</v>
      </c>
      <c r="B1383" s="100" t="s">
        <v>4552</v>
      </c>
    </row>
    <row r="1384" spans="1:2" ht="13.5">
      <c r="A1384" s="169" t="s">
        <v>1911</v>
      </c>
      <c r="B1384" s="100" t="s">
        <v>4552</v>
      </c>
    </row>
    <row r="1385" spans="1:2" ht="13.5">
      <c r="A1385" s="169" t="s">
        <v>1912</v>
      </c>
      <c r="B1385" s="100" t="s">
        <v>4552</v>
      </c>
    </row>
    <row r="1386" spans="1:2" ht="13.5">
      <c r="A1386" s="169" t="s">
        <v>1913</v>
      </c>
      <c r="B1386" s="100" t="s">
        <v>4552</v>
      </c>
    </row>
    <row r="1387" spans="1:2" ht="13.5">
      <c r="A1387" s="169" t="s">
        <v>1914</v>
      </c>
      <c r="B1387" s="100" t="s">
        <v>4552</v>
      </c>
    </row>
    <row r="1388" spans="1:2" ht="13.5">
      <c r="A1388" s="169" t="s">
        <v>1915</v>
      </c>
      <c r="B1388" s="100" t="s">
        <v>4552</v>
      </c>
    </row>
    <row r="1389" spans="1:2" ht="13.5">
      <c r="A1389" s="169" t="s">
        <v>1916</v>
      </c>
      <c r="B1389" s="100" t="s">
        <v>4552</v>
      </c>
    </row>
    <row r="1390" spans="1:2" ht="13.5">
      <c r="A1390" s="169" t="s">
        <v>1917</v>
      </c>
      <c r="B1390" s="100" t="s">
        <v>4552</v>
      </c>
    </row>
    <row r="1391" spans="1:2" ht="13.5">
      <c r="A1391" s="169" t="s">
        <v>1918</v>
      </c>
      <c r="B1391" s="100" t="s">
        <v>4552</v>
      </c>
    </row>
    <row r="1392" spans="1:2" ht="13.5">
      <c r="A1392" s="169" t="s">
        <v>1919</v>
      </c>
      <c r="B1392" s="100" t="s">
        <v>4552</v>
      </c>
    </row>
    <row r="1393" spans="1:2" ht="13.5">
      <c r="A1393" s="169" t="s">
        <v>1920</v>
      </c>
      <c r="B1393" s="100" t="s">
        <v>4552</v>
      </c>
    </row>
    <row r="1394" spans="1:2" ht="13.5">
      <c r="A1394" s="169" t="s">
        <v>1921</v>
      </c>
      <c r="B1394" s="100" t="s">
        <v>4552</v>
      </c>
    </row>
    <row r="1395" spans="1:2" ht="13.5">
      <c r="A1395" s="169" t="s">
        <v>1922</v>
      </c>
      <c r="B1395" s="100" t="s">
        <v>4552</v>
      </c>
    </row>
    <row r="1396" spans="1:2" ht="13.5">
      <c r="A1396" s="169" t="s">
        <v>1923</v>
      </c>
      <c r="B1396" s="100" t="s">
        <v>4552</v>
      </c>
    </row>
    <row r="1397" spans="1:2" ht="13.5">
      <c r="A1397" s="169" t="s">
        <v>1924</v>
      </c>
      <c r="B1397" s="100" t="s">
        <v>4552</v>
      </c>
    </row>
    <row r="1398" spans="1:2" ht="13.5">
      <c r="A1398" s="169" t="s">
        <v>1925</v>
      </c>
      <c r="B1398" s="100" t="s">
        <v>4552</v>
      </c>
    </row>
    <row r="1399" spans="1:2" ht="13.5">
      <c r="A1399" s="169" t="s">
        <v>1926</v>
      </c>
      <c r="B1399" s="100" t="s">
        <v>4552</v>
      </c>
    </row>
    <row r="1400" spans="1:2" ht="13.5">
      <c r="A1400" s="169" t="s">
        <v>1927</v>
      </c>
      <c r="B1400" s="100" t="s">
        <v>4552</v>
      </c>
    </row>
    <row r="1401" spans="1:2" ht="13.5">
      <c r="A1401" s="169" t="s">
        <v>1928</v>
      </c>
      <c r="B1401" s="100" t="s">
        <v>4552</v>
      </c>
    </row>
    <row r="1402" spans="1:2" ht="13.5">
      <c r="A1402" s="169" t="s">
        <v>1929</v>
      </c>
      <c r="B1402" s="100" t="s">
        <v>4552</v>
      </c>
    </row>
    <row r="1403" spans="1:2" ht="13.5">
      <c r="A1403" s="169" t="s">
        <v>1930</v>
      </c>
      <c r="B1403" s="100" t="s">
        <v>4552</v>
      </c>
    </row>
    <row r="1404" spans="1:2" ht="13.5">
      <c r="A1404" s="169" t="s">
        <v>1931</v>
      </c>
      <c r="B1404" s="100" t="s">
        <v>4552</v>
      </c>
    </row>
    <row r="1405" spans="1:2" ht="13.5">
      <c r="A1405" s="169" t="s">
        <v>1932</v>
      </c>
      <c r="B1405" s="100" t="s">
        <v>4552</v>
      </c>
    </row>
    <row r="1406" spans="1:2" ht="13.5">
      <c r="A1406" s="169" t="s">
        <v>1933</v>
      </c>
      <c r="B1406" s="100" t="s">
        <v>4552</v>
      </c>
    </row>
    <row r="1407" spans="1:2" ht="13.5">
      <c r="A1407" s="169" t="s">
        <v>1934</v>
      </c>
      <c r="B1407" s="100" t="s">
        <v>4552</v>
      </c>
    </row>
    <row r="1408" spans="1:2" ht="13.5">
      <c r="A1408" s="169" t="s">
        <v>1935</v>
      </c>
      <c r="B1408" s="100" t="s">
        <v>4552</v>
      </c>
    </row>
    <row r="1409" spans="1:2" ht="13.5">
      <c r="A1409" s="169" t="s">
        <v>1936</v>
      </c>
      <c r="B1409" s="100" t="s">
        <v>4552</v>
      </c>
    </row>
    <row r="1410" spans="1:2" ht="13.5">
      <c r="A1410" s="169" t="s">
        <v>1937</v>
      </c>
      <c r="B1410" s="100" t="s">
        <v>4552</v>
      </c>
    </row>
    <row r="1411" spans="1:2" ht="13.5">
      <c r="A1411" s="169" t="s">
        <v>1938</v>
      </c>
      <c r="B1411" s="100" t="s">
        <v>4552</v>
      </c>
    </row>
    <row r="1412" spans="1:2" ht="13.5">
      <c r="A1412" s="169" t="s">
        <v>1939</v>
      </c>
      <c r="B1412" s="100" t="s">
        <v>4552</v>
      </c>
    </row>
    <row r="1413" spans="1:2" ht="13.5">
      <c r="A1413" s="169" t="s">
        <v>1940</v>
      </c>
      <c r="B1413" s="100" t="s">
        <v>4552</v>
      </c>
    </row>
    <row r="1414" spans="1:2" ht="13.5">
      <c r="A1414" s="169" t="s">
        <v>1941</v>
      </c>
      <c r="B1414" s="100" t="s">
        <v>4552</v>
      </c>
    </row>
    <row r="1415" spans="1:2" ht="13.5">
      <c r="A1415" s="169" t="s">
        <v>1942</v>
      </c>
      <c r="B1415" s="100" t="s">
        <v>4552</v>
      </c>
    </row>
    <row r="1416" spans="1:2" ht="13.5">
      <c r="A1416" s="169" t="s">
        <v>1943</v>
      </c>
      <c r="B1416" s="100" t="s">
        <v>4552</v>
      </c>
    </row>
    <row r="1417" spans="1:2" ht="13.5">
      <c r="A1417" s="169" t="s">
        <v>1944</v>
      </c>
      <c r="B1417" s="100" t="s">
        <v>4552</v>
      </c>
    </row>
    <row r="1418" spans="1:2" ht="13.5">
      <c r="A1418" s="169" t="s">
        <v>1945</v>
      </c>
      <c r="B1418" s="100" t="s">
        <v>4552</v>
      </c>
    </row>
    <row r="1419" spans="1:2" ht="13.5">
      <c r="A1419" s="169" t="s">
        <v>1946</v>
      </c>
      <c r="B1419" s="100" t="s">
        <v>4552</v>
      </c>
    </row>
    <row r="1420" spans="1:2" ht="13.5">
      <c r="A1420" s="169" t="s">
        <v>1947</v>
      </c>
      <c r="B1420" s="100" t="s">
        <v>4552</v>
      </c>
    </row>
    <row r="1421" spans="1:2" ht="13.5">
      <c r="A1421" s="169" t="s">
        <v>1948</v>
      </c>
      <c r="B1421" s="100" t="s">
        <v>4552</v>
      </c>
    </row>
    <row r="1422" spans="1:2" ht="13.5">
      <c r="A1422" s="169" t="s">
        <v>1949</v>
      </c>
      <c r="B1422" s="100" t="s">
        <v>4552</v>
      </c>
    </row>
    <row r="1423" spans="1:2" ht="13.5">
      <c r="A1423" s="169" t="s">
        <v>1950</v>
      </c>
      <c r="B1423" s="100" t="s">
        <v>4552</v>
      </c>
    </row>
    <row r="1424" spans="1:2" ht="13.5">
      <c r="A1424" s="169" t="s">
        <v>1951</v>
      </c>
      <c r="B1424" s="100" t="s">
        <v>4552</v>
      </c>
    </row>
    <row r="1425" spans="1:2" ht="13.5">
      <c r="A1425" s="169" t="s">
        <v>1952</v>
      </c>
      <c r="B1425" s="100" t="s">
        <v>4552</v>
      </c>
    </row>
    <row r="1426" spans="1:2" ht="13.5">
      <c r="A1426" s="169" t="s">
        <v>1953</v>
      </c>
      <c r="B1426" s="100" t="s">
        <v>4552</v>
      </c>
    </row>
    <row r="1427" spans="1:2" ht="13.5">
      <c r="A1427" s="169" t="s">
        <v>1954</v>
      </c>
      <c r="B1427" s="100" t="s">
        <v>4552</v>
      </c>
    </row>
    <row r="1428" spans="1:2" ht="13.5">
      <c r="A1428" s="169" t="s">
        <v>1955</v>
      </c>
      <c r="B1428" s="100" t="s">
        <v>4552</v>
      </c>
    </row>
    <row r="1429" spans="1:2" ht="13.5">
      <c r="A1429" s="169" t="s">
        <v>1956</v>
      </c>
      <c r="B1429" s="100" t="s">
        <v>4552</v>
      </c>
    </row>
    <row r="1430" spans="1:2" ht="13.5">
      <c r="A1430" s="169" t="s">
        <v>1957</v>
      </c>
      <c r="B1430" s="100" t="s">
        <v>4552</v>
      </c>
    </row>
    <row r="1431" spans="1:2" ht="13.5">
      <c r="A1431" s="169" t="s">
        <v>1958</v>
      </c>
      <c r="B1431" s="100" t="s">
        <v>4552</v>
      </c>
    </row>
    <row r="1432" spans="1:2" ht="13.5">
      <c r="A1432" s="169" t="s">
        <v>1959</v>
      </c>
      <c r="B1432" s="100" t="s">
        <v>4552</v>
      </c>
    </row>
    <row r="1433" spans="1:2" ht="13.5">
      <c r="A1433" s="169" t="s">
        <v>1960</v>
      </c>
      <c r="B1433" s="100" t="s">
        <v>4552</v>
      </c>
    </row>
    <row r="1434" spans="1:2" ht="13.5">
      <c r="A1434" s="169" t="s">
        <v>1961</v>
      </c>
      <c r="B1434" s="100" t="s">
        <v>4552</v>
      </c>
    </row>
    <row r="1435" spans="1:2" ht="13.5">
      <c r="A1435" s="169" t="s">
        <v>1962</v>
      </c>
      <c r="B1435" s="100" t="s">
        <v>4552</v>
      </c>
    </row>
    <row r="1436" spans="1:2" ht="13.5">
      <c r="A1436" s="169" t="s">
        <v>1963</v>
      </c>
      <c r="B1436" s="100" t="s">
        <v>4552</v>
      </c>
    </row>
    <row r="1437" spans="1:2" ht="13.5">
      <c r="A1437" s="169" t="s">
        <v>1964</v>
      </c>
      <c r="B1437" s="100" t="s">
        <v>4552</v>
      </c>
    </row>
    <row r="1438" spans="1:2" ht="13.5">
      <c r="A1438" s="169" t="s">
        <v>1965</v>
      </c>
      <c r="B1438" s="100" t="s">
        <v>4552</v>
      </c>
    </row>
    <row r="1439" spans="1:2" ht="13.5">
      <c r="A1439" s="169" t="s">
        <v>1966</v>
      </c>
      <c r="B1439" s="100" t="s">
        <v>4552</v>
      </c>
    </row>
    <row r="1440" spans="1:2" ht="13.5">
      <c r="A1440" s="169" t="s">
        <v>1967</v>
      </c>
      <c r="B1440" s="100" t="s">
        <v>4552</v>
      </c>
    </row>
    <row r="1441" spans="1:2" ht="13.5">
      <c r="A1441" s="169" t="s">
        <v>1968</v>
      </c>
      <c r="B1441" s="100" t="s">
        <v>4552</v>
      </c>
    </row>
    <row r="1442" spans="1:2" ht="13.5">
      <c r="A1442" s="169" t="s">
        <v>1969</v>
      </c>
      <c r="B1442" s="100" t="s">
        <v>4552</v>
      </c>
    </row>
    <row r="1443" spans="1:2" ht="13.5">
      <c r="A1443" s="169" t="s">
        <v>1970</v>
      </c>
      <c r="B1443" s="100" t="s">
        <v>4552</v>
      </c>
    </row>
    <row r="1444" spans="1:2" ht="13.5">
      <c r="A1444" s="169" t="s">
        <v>1971</v>
      </c>
      <c r="B1444" s="100" t="s">
        <v>4552</v>
      </c>
    </row>
    <row r="1445" spans="1:2" ht="13.5">
      <c r="A1445" s="169" t="s">
        <v>1972</v>
      </c>
      <c r="B1445" s="100" t="s">
        <v>4552</v>
      </c>
    </row>
    <row r="1446" spans="1:2" ht="13.5">
      <c r="A1446" s="169" t="s">
        <v>1973</v>
      </c>
      <c r="B1446" s="100" t="s">
        <v>4552</v>
      </c>
    </row>
    <row r="1447" spans="1:2" ht="13.5">
      <c r="A1447" s="169" t="s">
        <v>1974</v>
      </c>
      <c r="B1447" s="100" t="s">
        <v>4552</v>
      </c>
    </row>
    <row r="1448" spans="1:2" ht="13.5">
      <c r="A1448" s="169" t="s">
        <v>1975</v>
      </c>
      <c r="B1448" s="100" t="s">
        <v>4552</v>
      </c>
    </row>
    <row r="1449" spans="1:2" ht="13.5">
      <c r="A1449" s="169" t="s">
        <v>1976</v>
      </c>
      <c r="B1449" s="100" t="s">
        <v>4552</v>
      </c>
    </row>
    <row r="1450" spans="1:2" ht="13.5">
      <c r="A1450" s="169" t="s">
        <v>1977</v>
      </c>
      <c r="B1450" s="100" t="s">
        <v>4552</v>
      </c>
    </row>
    <row r="1451" spans="1:2" ht="13.5">
      <c r="A1451" s="169" t="s">
        <v>1978</v>
      </c>
      <c r="B1451" s="100" t="s">
        <v>4552</v>
      </c>
    </row>
    <row r="1452" spans="1:2" ht="13.5">
      <c r="A1452" s="169" t="s">
        <v>1979</v>
      </c>
      <c r="B1452" s="100" t="s">
        <v>4552</v>
      </c>
    </row>
    <row r="1453" spans="1:2" ht="13.5">
      <c r="A1453" s="169" t="s">
        <v>1980</v>
      </c>
      <c r="B1453" s="100" t="s">
        <v>4552</v>
      </c>
    </row>
    <row r="1454" spans="1:2" ht="13.5">
      <c r="A1454" s="169" t="s">
        <v>1981</v>
      </c>
      <c r="B1454" s="100" t="s">
        <v>4552</v>
      </c>
    </row>
    <row r="1455" spans="1:2" ht="13.5">
      <c r="A1455" s="169" t="s">
        <v>1982</v>
      </c>
      <c r="B1455" s="100" t="s">
        <v>4552</v>
      </c>
    </row>
    <row r="1456" spans="1:2" ht="13.5">
      <c r="A1456" s="169" t="s">
        <v>1983</v>
      </c>
      <c r="B1456" s="100" t="s">
        <v>4552</v>
      </c>
    </row>
    <row r="1457" spans="1:2" ht="13.5">
      <c r="A1457" s="169" t="s">
        <v>1984</v>
      </c>
      <c r="B1457" s="100" t="s">
        <v>4552</v>
      </c>
    </row>
    <row r="1458" spans="1:2" ht="13.5">
      <c r="A1458" s="169" t="s">
        <v>1985</v>
      </c>
      <c r="B1458" s="100" t="s">
        <v>4552</v>
      </c>
    </row>
    <row r="1459" spans="1:2" ht="13.5">
      <c r="A1459" s="169" t="s">
        <v>1986</v>
      </c>
      <c r="B1459" s="100" t="s">
        <v>4552</v>
      </c>
    </row>
    <row r="1460" spans="1:2" ht="13.5">
      <c r="A1460" s="169" t="s">
        <v>1987</v>
      </c>
      <c r="B1460" s="100" t="s">
        <v>4552</v>
      </c>
    </row>
    <row r="1461" spans="1:2" ht="13.5">
      <c r="A1461" s="169" t="s">
        <v>1988</v>
      </c>
      <c r="B1461" s="100" t="s">
        <v>4552</v>
      </c>
    </row>
    <row r="1462" spans="1:2" ht="13.5">
      <c r="A1462" s="169" t="s">
        <v>1989</v>
      </c>
      <c r="B1462" s="100" t="s">
        <v>4552</v>
      </c>
    </row>
    <row r="1463" spans="1:2" ht="13.5">
      <c r="A1463" s="169" t="s">
        <v>1990</v>
      </c>
      <c r="B1463" s="100" t="s">
        <v>4552</v>
      </c>
    </row>
    <row r="1464" spans="1:2" ht="13.5">
      <c r="A1464" s="169" t="s">
        <v>1991</v>
      </c>
      <c r="B1464" s="100" t="s">
        <v>4552</v>
      </c>
    </row>
    <row r="1465" spans="1:2" ht="13.5">
      <c r="A1465" s="169" t="s">
        <v>1992</v>
      </c>
      <c r="B1465" s="100" t="s">
        <v>4552</v>
      </c>
    </row>
    <row r="1466" spans="1:2" ht="13.5">
      <c r="A1466" s="169" t="s">
        <v>1993</v>
      </c>
      <c r="B1466" s="100" t="s">
        <v>4552</v>
      </c>
    </row>
    <row r="1467" spans="1:2" ht="13.5">
      <c r="A1467" s="169" t="s">
        <v>1994</v>
      </c>
      <c r="B1467" s="100" t="s">
        <v>4552</v>
      </c>
    </row>
    <row r="1468" spans="1:2" ht="13.5">
      <c r="A1468" s="169" t="s">
        <v>1995</v>
      </c>
      <c r="B1468" s="100" t="s">
        <v>4552</v>
      </c>
    </row>
    <row r="1469" spans="1:2" ht="13.5">
      <c r="A1469" s="169" t="s">
        <v>1996</v>
      </c>
      <c r="B1469" s="100" t="s">
        <v>4552</v>
      </c>
    </row>
    <row r="1470" spans="1:2" ht="13.5">
      <c r="A1470" s="169" t="s">
        <v>1997</v>
      </c>
      <c r="B1470" s="100" t="s">
        <v>4552</v>
      </c>
    </row>
    <row r="1471" spans="1:2" ht="13.5">
      <c r="A1471" s="169" t="s">
        <v>1998</v>
      </c>
      <c r="B1471" s="100" t="s">
        <v>4552</v>
      </c>
    </row>
    <row r="1472" spans="1:2" ht="13.5">
      <c r="A1472" s="169" t="s">
        <v>1999</v>
      </c>
      <c r="B1472" s="100" t="s">
        <v>4552</v>
      </c>
    </row>
    <row r="1473" spans="1:2" ht="13.5">
      <c r="A1473" s="169" t="s">
        <v>2000</v>
      </c>
      <c r="B1473" s="100" t="s">
        <v>4552</v>
      </c>
    </row>
    <row r="1474" spans="1:2" ht="13.5">
      <c r="A1474" s="169" t="s">
        <v>2001</v>
      </c>
      <c r="B1474" s="100" t="s">
        <v>4552</v>
      </c>
    </row>
    <row r="1475" spans="1:2" ht="13.5">
      <c r="A1475" s="169" t="s">
        <v>2002</v>
      </c>
      <c r="B1475" s="100" t="s">
        <v>4552</v>
      </c>
    </row>
    <row r="1476" spans="1:2" ht="13.5">
      <c r="A1476" s="169" t="s">
        <v>2003</v>
      </c>
      <c r="B1476" s="100" t="s">
        <v>4552</v>
      </c>
    </row>
    <row r="1477" spans="1:2" ht="13.5">
      <c r="A1477" s="169" t="s">
        <v>2004</v>
      </c>
      <c r="B1477" s="100" t="s">
        <v>4552</v>
      </c>
    </row>
    <row r="1478" spans="1:2" ht="13.5">
      <c r="A1478" s="169" t="s">
        <v>2005</v>
      </c>
      <c r="B1478" s="100" t="s">
        <v>4552</v>
      </c>
    </row>
    <row r="1479" spans="1:2" ht="13.5">
      <c r="A1479" s="169" t="s">
        <v>2006</v>
      </c>
      <c r="B1479" s="100" t="s">
        <v>4552</v>
      </c>
    </row>
    <row r="1480" spans="1:2" ht="13.5">
      <c r="A1480" s="169" t="s">
        <v>2007</v>
      </c>
      <c r="B1480" s="100" t="s">
        <v>4552</v>
      </c>
    </row>
    <row r="1481" spans="1:2" ht="13.5">
      <c r="A1481" s="169" t="s">
        <v>2008</v>
      </c>
      <c r="B1481" s="100" t="s">
        <v>4552</v>
      </c>
    </row>
    <row r="1482" spans="1:2" ht="13.5">
      <c r="A1482" s="169" t="s">
        <v>2009</v>
      </c>
      <c r="B1482" s="100" t="s">
        <v>4552</v>
      </c>
    </row>
    <row r="1483" spans="1:2" ht="13.5">
      <c r="A1483" s="169" t="s">
        <v>2010</v>
      </c>
      <c r="B1483" s="100" t="s">
        <v>4552</v>
      </c>
    </row>
    <row r="1484" spans="1:2" ht="13.5">
      <c r="A1484" s="169" t="s">
        <v>2011</v>
      </c>
      <c r="B1484" s="100" t="s">
        <v>4552</v>
      </c>
    </row>
    <row r="1485" spans="1:2" ht="13.5">
      <c r="A1485" s="169" t="s">
        <v>2012</v>
      </c>
      <c r="B1485" s="100" t="s">
        <v>4552</v>
      </c>
    </row>
    <row r="1486" spans="1:2" ht="13.5">
      <c r="A1486" s="169" t="s">
        <v>2013</v>
      </c>
      <c r="B1486" s="100" t="s">
        <v>4552</v>
      </c>
    </row>
    <row r="1487" spans="1:2" ht="13.5">
      <c r="A1487" s="169" t="s">
        <v>2014</v>
      </c>
      <c r="B1487" s="100" t="s">
        <v>4552</v>
      </c>
    </row>
    <row r="1488" spans="1:2" ht="13.5">
      <c r="A1488" s="169" t="s">
        <v>2015</v>
      </c>
      <c r="B1488" s="100" t="s">
        <v>4552</v>
      </c>
    </row>
    <row r="1489" spans="1:2" ht="13.5">
      <c r="A1489" s="169" t="s">
        <v>2016</v>
      </c>
      <c r="B1489" s="100" t="s">
        <v>4552</v>
      </c>
    </row>
    <row r="1490" spans="1:2" ht="13.5">
      <c r="A1490" s="169" t="s">
        <v>2017</v>
      </c>
      <c r="B1490" s="100" t="s">
        <v>4552</v>
      </c>
    </row>
    <row r="1491" spans="1:2" ht="13.5">
      <c r="A1491" s="169" t="s">
        <v>2018</v>
      </c>
      <c r="B1491" s="100" t="s">
        <v>4552</v>
      </c>
    </row>
    <row r="1492" spans="1:2" ht="13.5">
      <c r="A1492" s="169" t="s">
        <v>2019</v>
      </c>
      <c r="B1492" s="100" t="s">
        <v>4552</v>
      </c>
    </row>
    <row r="1493" spans="1:2" ht="13.5">
      <c r="A1493" s="169" t="s">
        <v>2020</v>
      </c>
      <c r="B1493" s="100" t="s">
        <v>4552</v>
      </c>
    </row>
    <row r="1494" spans="1:2" ht="13.5">
      <c r="A1494" s="169" t="s">
        <v>2021</v>
      </c>
      <c r="B1494" s="100" t="s">
        <v>4552</v>
      </c>
    </row>
    <row r="1495" spans="1:2" ht="13.5">
      <c r="A1495" s="169" t="s">
        <v>2022</v>
      </c>
      <c r="B1495" s="100" t="s">
        <v>4552</v>
      </c>
    </row>
    <row r="1496" spans="1:2" ht="13.5">
      <c r="A1496" s="169" t="s">
        <v>2023</v>
      </c>
      <c r="B1496" s="100" t="s">
        <v>4552</v>
      </c>
    </row>
    <row r="1497" spans="1:2" ht="13.5">
      <c r="A1497" s="169" t="s">
        <v>2024</v>
      </c>
      <c r="B1497" s="100" t="s">
        <v>4552</v>
      </c>
    </row>
    <row r="1498" spans="1:2" ht="13.5">
      <c r="A1498" s="169" t="s">
        <v>2025</v>
      </c>
      <c r="B1498" s="100" t="s">
        <v>4552</v>
      </c>
    </row>
    <row r="1499" spans="1:2" ht="13.5">
      <c r="A1499" s="169" t="s">
        <v>2026</v>
      </c>
      <c r="B1499" s="100" t="s">
        <v>4552</v>
      </c>
    </row>
    <row r="1500" spans="1:2" ht="13.5">
      <c r="A1500" s="169" t="s">
        <v>2027</v>
      </c>
      <c r="B1500" s="100" t="s">
        <v>4552</v>
      </c>
    </row>
    <row r="1501" spans="1:2" ht="13.5">
      <c r="A1501" s="169" t="s">
        <v>2028</v>
      </c>
      <c r="B1501" s="100" t="s">
        <v>4552</v>
      </c>
    </row>
    <row r="1502" spans="1:2" ht="13.5">
      <c r="A1502" s="169" t="s">
        <v>2029</v>
      </c>
      <c r="B1502" s="100" t="s">
        <v>4552</v>
      </c>
    </row>
    <row r="1503" spans="1:2" ht="13.5">
      <c r="A1503" s="169" t="s">
        <v>2030</v>
      </c>
      <c r="B1503" s="100" t="s">
        <v>4552</v>
      </c>
    </row>
    <row r="1504" spans="1:2" ht="13.5">
      <c r="A1504" s="169" t="s">
        <v>2031</v>
      </c>
      <c r="B1504" s="100" t="s">
        <v>4552</v>
      </c>
    </row>
    <row r="1505" spans="1:2" ht="13.5">
      <c r="A1505" s="169" t="s">
        <v>2032</v>
      </c>
      <c r="B1505" s="100" t="s">
        <v>4552</v>
      </c>
    </row>
    <row r="1506" spans="1:2" ht="13.5">
      <c r="A1506" s="169" t="s">
        <v>2033</v>
      </c>
      <c r="B1506" s="100" t="s">
        <v>4552</v>
      </c>
    </row>
    <row r="1507" spans="1:2" ht="13.5">
      <c r="A1507" s="169" t="s">
        <v>2034</v>
      </c>
      <c r="B1507" s="100" t="s">
        <v>4552</v>
      </c>
    </row>
    <row r="1508" spans="1:2" ht="13.5">
      <c r="A1508" s="169" t="s">
        <v>2035</v>
      </c>
      <c r="B1508" s="100" t="s">
        <v>4552</v>
      </c>
    </row>
    <row r="1509" spans="1:2" ht="13.5">
      <c r="A1509" s="169" t="s">
        <v>2036</v>
      </c>
      <c r="B1509" s="100" t="s">
        <v>4552</v>
      </c>
    </row>
    <row r="1510" spans="1:2" ht="13.5">
      <c r="A1510" s="169" t="s">
        <v>2037</v>
      </c>
      <c r="B1510" s="100" t="s">
        <v>4552</v>
      </c>
    </row>
    <row r="1511" spans="1:2" ht="13.5">
      <c r="A1511" s="169" t="s">
        <v>2038</v>
      </c>
      <c r="B1511" s="100" t="s">
        <v>4552</v>
      </c>
    </row>
    <row r="1512" spans="1:2" ht="13.5">
      <c r="A1512" s="169" t="s">
        <v>2039</v>
      </c>
      <c r="B1512" s="100" t="s">
        <v>4552</v>
      </c>
    </row>
    <row r="1513" spans="1:2" ht="13.5">
      <c r="A1513" s="169" t="s">
        <v>2040</v>
      </c>
      <c r="B1513" s="100" t="s">
        <v>4552</v>
      </c>
    </row>
    <row r="1514" spans="1:2" ht="13.5">
      <c r="A1514" s="169" t="s">
        <v>2041</v>
      </c>
      <c r="B1514" s="100" t="s">
        <v>4552</v>
      </c>
    </row>
    <row r="1515" spans="1:2" ht="13.5">
      <c r="A1515" s="169" t="s">
        <v>2042</v>
      </c>
      <c r="B1515" s="100" t="s">
        <v>4552</v>
      </c>
    </row>
    <row r="1516" spans="1:2" ht="13.5">
      <c r="A1516" s="169" t="s">
        <v>2043</v>
      </c>
      <c r="B1516" s="100" t="s">
        <v>4552</v>
      </c>
    </row>
    <row r="1517" spans="1:2" ht="13.5">
      <c r="A1517" s="169" t="s">
        <v>2044</v>
      </c>
      <c r="B1517" s="100" t="s">
        <v>4552</v>
      </c>
    </row>
    <row r="1518" spans="1:2" ht="13.5">
      <c r="A1518" s="169" t="s">
        <v>2045</v>
      </c>
      <c r="B1518" s="100" t="s">
        <v>4552</v>
      </c>
    </row>
    <row r="1519" spans="1:2" ht="13.5">
      <c r="A1519" s="169" t="s">
        <v>2046</v>
      </c>
      <c r="B1519" s="100" t="s">
        <v>4552</v>
      </c>
    </row>
    <row r="1520" spans="1:2" ht="13.5">
      <c r="A1520" s="169" t="s">
        <v>2047</v>
      </c>
      <c r="B1520" s="100" t="s">
        <v>4552</v>
      </c>
    </row>
    <row r="1521" spans="1:2" ht="13.5">
      <c r="A1521" s="169" t="s">
        <v>2048</v>
      </c>
      <c r="B1521" s="100" t="s">
        <v>4552</v>
      </c>
    </row>
    <row r="1522" spans="1:2" ht="13.5">
      <c r="A1522" s="169" t="s">
        <v>2049</v>
      </c>
      <c r="B1522" s="100" t="s">
        <v>4552</v>
      </c>
    </row>
    <row r="1523" spans="1:2" ht="13.5">
      <c r="A1523" s="169" t="s">
        <v>2050</v>
      </c>
      <c r="B1523" s="100" t="s">
        <v>4552</v>
      </c>
    </row>
    <row r="1524" spans="1:2" ht="13.5">
      <c r="A1524" s="169" t="s">
        <v>2051</v>
      </c>
      <c r="B1524" s="100" t="s">
        <v>4552</v>
      </c>
    </row>
    <row r="1525" spans="1:2" ht="13.5">
      <c r="A1525" s="169" t="s">
        <v>2052</v>
      </c>
      <c r="B1525" s="100" t="s">
        <v>4552</v>
      </c>
    </row>
    <row r="1526" spans="1:2" ht="13.5">
      <c r="A1526" s="169" t="s">
        <v>2053</v>
      </c>
      <c r="B1526" s="100" t="s">
        <v>4552</v>
      </c>
    </row>
    <row r="1527" spans="1:2" ht="13.5">
      <c r="A1527" s="169" t="s">
        <v>2054</v>
      </c>
      <c r="B1527" s="100" t="s">
        <v>4552</v>
      </c>
    </row>
    <row r="1528" spans="1:2" ht="13.5">
      <c r="A1528" s="169" t="s">
        <v>2055</v>
      </c>
      <c r="B1528" s="100" t="s">
        <v>4552</v>
      </c>
    </row>
    <row r="1529" spans="1:2" ht="13.5">
      <c r="A1529" s="169" t="s">
        <v>2056</v>
      </c>
      <c r="B1529" s="100" t="s">
        <v>4552</v>
      </c>
    </row>
    <row r="1530" spans="1:2" ht="13.5">
      <c r="A1530" s="169" t="s">
        <v>2057</v>
      </c>
      <c r="B1530" s="100" t="s">
        <v>4552</v>
      </c>
    </row>
    <row r="1531" spans="1:2" ht="13.5">
      <c r="A1531" s="169" t="s">
        <v>2058</v>
      </c>
      <c r="B1531" s="100" t="s">
        <v>4552</v>
      </c>
    </row>
    <row r="1532" spans="1:2" ht="13.5">
      <c r="A1532" s="169" t="s">
        <v>2059</v>
      </c>
      <c r="B1532" s="100" t="s">
        <v>4552</v>
      </c>
    </row>
    <row r="1533" spans="1:2" ht="13.5">
      <c r="A1533" s="169" t="s">
        <v>2060</v>
      </c>
      <c r="B1533" s="100" t="s">
        <v>4552</v>
      </c>
    </row>
    <row r="1534" spans="1:2" ht="13.5">
      <c r="A1534" s="169" t="s">
        <v>2061</v>
      </c>
      <c r="B1534" s="100" t="s">
        <v>4552</v>
      </c>
    </row>
    <row r="1535" spans="1:2" ht="13.5">
      <c r="A1535" s="169" t="s">
        <v>2062</v>
      </c>
      <c r="B1535" s="100" t="s">
        <v>4552</v>
      </c>
    </row>
    <row r="1536" spans="1:2" ht="13.5">
      <c r="A1536" s="169" t="s">
        <v>2063</v>
      </c>
      <c r="B1536" s="100" t="s">
        <v>4552</v>
      </c>
    </row>
    <row r="1537" spans="1:2" ht="13.5">
      <c r="A1537" s="169" t="s">
        <v>2064</v>
      </c>
      <c r="B1537" s="100" t="s">
        <v>4552</v>
      </c>
    </row>
    <row r="1538" spans="1:2" ht="13.5">
      <c r="A1538" s="169" t="s">
        <v>2065</v>
      </c>
      <c r="B1538" s="100" t="s">
        <v>4552</v>
      </c>
    </row>
    <row r="1539" spans="1:2" ht="13.5">
      <c r="A1539" s="169" t="s">
        <v>2066</v>
      </c>
      <c r="B1539" s="100" t="s">
        <v>4552</v>
      </c>
    </row>
    <row r="1540" spans="1:2" ht="13.5">
      <c r="A1540" s="169" t="s">
        <v>2067</v>
      </c>
      <c r="B1540" s="100" t="s">
        <v>4552</v>
      </c>
    </row>
    <row r="1541" spans="1:2" ht="13.5">
      <c r="A1541" s="169" t="s">
        <v>2068</v>
      </c>
      <c r="B1541" s="100" t="s">
        <v>4552</v>
      </c>
    </row>
    <row r="1542" spans="1:2" ht="13.5">
      <c r="A1542" s="169" t="s">
        <v>2069</v>
      </c>
      <c r="B1542" s="100" t="s">
        <v>4552</v>
      </c>
    </row>
    <row r="1543" spans="1:2" ht="13.5">
      <c r="A1543" s="169" t="s">
        <v>2070</v>
      </c>
      <c r="B1543" s="100" t="s">
        <v>4552</v>
      </c>
    </row>
    <row r="1544" spans="1:2" ht="13.5">
      <c r="A1544" s="169" t="s">
        <v>2071</v>
      </c>
      <c r="B1544" s="100" t="s">
        <v>4552</v>
      </c>
    </row>
    <row r="1545" spans="1:2" ht="13.5">
      <c r="A1545" s="169" t="s">
        <v>2072</v>
      </c>
      <c r="B1545" s="100" t="s">
        <v>4552</v>
      </c>
    </row>
    <row r="1546" spans="1:2" ht="13.5">
      <c r="A1546" s="169" t="s">
        <v>2073</v>
      </c>
      <c r="B1546" s="100" t="s">
        <v>4552</v>
      </c>
    </row>
    <row r="1547" spans="1:2" ht="13.5">
      <c r="A1547" s="169" t="s">
        <v>2074</v>
      </c>
      <c r="B1547" s="100" t="s">
        <v>4552</v>
      </c>
    </row>
    <row r="1548" spans="1:2" ht="13.5">
      <c r="A1548" s="169" t="s">
        <v>2075</v>
      </c>
      <c r="B1548" s="100" t="s">
        <v>4552</v>
      </c>
    </row>
    <row r="1549" spans="1:2" ht="13.5">
      <c r="A1549" s="169" t="s">
        <v>2076</v>
      </c>
      <c r="B1549" s="100" t="s">
        <v>4552</v>
      </c>
    </row>
    <row r="1550" spans="1:2" ht="13.5">
      <c r="A1550" s="169" t="s">
        <v>2077</v>
      </c>
      <c r="B1550" s="100" t="s">
        <v>4552</v>
      </c>
    </row>
    <row r="1551" spans="1:2" ht="13.5">
      <c r="A1551" s="169" t="s">
        <v>2078</v>
      </c>
      <c r="B1551" s="100" t="s">
        <v>4552</v>
      </c>
    </row>
    <row r="1552" spans="1:2" ht="13.5">
      <c r="A1552" s="169" t="s">
        <v>2079</v>
      </c>
      <c r="B1552" s="100" t="s">
        <v>4552</v>
      </c>
    </row>
    <row r="1553" spans="1:2" ht="13.5">
      <c r="A1553" s="169" t="s">
        <v>2080</v>
      </c>
      <c r="B1553" s="100" t="s">
        <v>4552</v>
      </c>
    </row>
    <row r="1554" spans="1:2" ht="13.5">
      <c r="A1554" s="169" t="s">
        <v>2081</v>
      </c>
      <c r="B1554" s="100" t="s">
        <v>4552</v>
      </c>
    </row>
    <row r="1555" spans="1:2" ht="13.5">
      <c r="A1555" s="169" t="s">
        <v>2082</v>
      </c>
      <c r="B1555" s="100" t="s">
        <v>4552</v>
      </c>
    </row>
    <row r="1556" spans="1:2" ht="13.5">
      <c r="A1556" s="169" t="s">
        <v>2083</v>
      </c>
      <c r="B1556" s="100" t="s">
        <v>4552</v>
      </c>
    </row>
    <row r="1557" spans="1:2" ht="13.5">
      <c r="A1557" s="169" t="s">
        <v>2084</v>
      </c>
      <c r="B1557" s="100" t="s">
        <v>4552</v>
      </c>
    </row>
    <row r="1558" spans="1:2" ht="13.5">
      <c r="A1558" s="169" t="s">
        <v>2085</v>
      </c>
      <c r="B1558" s="100" t="s">
        <v>4552</v>
      </c>
    </row>
    <row r="1559" spans="1:2" ht="13.5">
      <c r="A1559" s="169" t="s">
        <v>2086</v>
      </c>
      <c r="B1559" s="100" t="s">
        <v>4552</v>
      </c>
    </row>
    <row r="1560" spans="1:2" ht="13.5">
      <c r="A1560" s="169" t="s">
        <v>2087</v>
      </c>
      <c r="B1560" s="100" t="s">
        <v>4552</v>
      </c>
    </row>
    <row r="1561" spans="1:2" ht="13.5">
      <c r="A1561" s="169" t="s">
        <v>2088</v>
      </c>
      <c r="B1561" s="100" t="s">
        <v>4552</v>
      </c>
    </row>
    <row r="1562" spans="1:2" ht="13.5">
      <c r="A1562" s="169" t="s">
        <v>2089</v>
      </c>
      <c r="B1562" s="100" t="s">
        <v>4552</v>
      </c>
    </row>
    <row r="1563" spans="1:2" ht="13.5">
      <c r="A1563" s="169" t="s">
        <v>2090</v>
      </c>
      <c r="B1563" s="100" t="s">
        <v>4552</v>
      </c>
    </row>
    <row r="1564" spans="1:2" ht="13.5">
      <c r="A1564" s="169" t="s">
        <v>2091</v>
      </c>
      <c r="B1564" s="100" t="s">
        <v>4552</v>
      </c>
    </row>
    <row r="1565" spans="1:2" ht="13.5">
      <c r="A1565" s="169" t="s">
        <v>2092</v>
      </c>
      <c r="B1565" s="100" t="s">
        <v>4552</v>
      </c>
    </row>
    <row r="1566" spans="1:2" ht="13.5">
      <c r="A1566" s="169" t="s">
        <v>2093</v>
      </c>
      <c r="B1566" s="100" t="s">
        <v>4552</v>
      </c>
    </row>
    <row r="1567" spans="1:2" ht="13.5">
      <c r="A1567" s="168" t="s">
        <v>2094</v>
      </c>
      <c r="B1567" s="100" t="s">
        <v>4558</v>
      </c>
    </row>
    <row r="1568" spans="1:2" ht="13.5">
      <c r="A1568" s="169" t="s">
        <v>2095</v>
      </c>
      <c r="B1568" s="100" t="s">
        <v>4552</v>
      </c>
    </row>
    <row r="1569" spans="1:2" ht="13.5">
      <c r="A1569" s="169" t="s">
        <v>2096</v>
      </c>
      <c r="B1569" s="100" t="s">
        <v>4556</v>
      </c>
    </row>
    <row r="1570" spans="1:2" ht="13.5">
      <c r="A1570" s="169" t="s">
        <v>2097</v>
      </c>
      <c r="B1570" s="100" t="s">
        <v>4556</v>
      </c>
    </row>
    <row r="1571" spans="1:2" ht="13.5">
      <c r="A1571" s="169" t="s">
        <v>2098</v>
      </c>
      <c r="B1571" s="100" t="s">
        <v>4556</v>
      </c>
    </row>
    <row r="1572" spans="1:2" ht="13.5">
      <c r="A1572" s="169" t="s">
        <v>2099</v>
      </c>
      <c r="B1572" s="100" t="s">
        <v>4556</v>
      </c>
    </row>
    <row r="1573" spans="1:2" ht="13.5">
      <c r="A1573" s="169" t="s">
        <v>2100</v>
      </c>
      <c r="B1573" s="100" t="s">
        <v>4552</v>
      </c>
    </row>
    <row r="1574" spans="1:2" ht="13.5">
      <c r="A1574" s="169" t="s">
        <v>2101</v>
      </c>
      <c r="B1574" s="100" t="s">
        <v>4552</v>
      </c>
    </row>
    <row r="1575" spans="1:2" ht="13.5">
      <c r="A1575" s="169" t="s">
        <v>2102</v>
      </c>
      <c r="B1575" s="100" t="s">
        <v>4552</v>
      </c>
    </row>
    <row r="1576" spans="1:2" ht="13.5">
      <c r="A1576" s="169" t="s">
        <v>2103</v>
      </c>
      <c r="B1576" s="100" t="s">
        <v>4552</v>
      </c>
    </row>
    <row r="1577" spans="1:2" ht="13.5">
      <c r="A1577" s="169" t="s">
        <v>2104</v>
      </c>
      <c r="B1577" s="100" t="s">
        <v>4552</v>
      </c>
    </row>
    <row r="1578" spans="1:2" ht="13.5">
      <c r="A1578" s="169" t="s">
        <v>2105</v>
      </c>
      <c r="B1578" s="100" t="s">
        <v>4552</v>
      </c>
    </row>
    <row r="1579" spans="1:2" ht="13.5">
      <c r="A1579" s="169" t="s">
        <v>2106</v>
      </c>
      <c r="B1579" s="100" t="s">
        <v>4552</v>
      </c>
    </row>
    <row r="1580" spans="1:2" ht="13.5">
      <c r="A1580" s="169" t="s">
        <v>2107</v>
      </c>
      <c r="B1580" s="100" t="s">
        <v>4556</v>
      </c>
    </row>
    <row r="1581" spans="1:2" ht="13.5">
      <c r="A1581" s="169" t="s">
        <v>2108</v>
      </c>
      <c r="B1581" s="100" t="s">
        <v>4552</v>
      </c>
    </row>
    <row r="1582" spans="1:2" ht="13.5">
      <c r="A1582" s="169" t="s">
        <v>2109</v>
      </c>
      <c r="B1582" s="100" t="s">
        <v>4552</v>
      </c>
    </row>
    <row r="1583" spans="1:2" ht="13.5">
      <c r="A1583" s="169" t="s">
        <v>2110</v>
      </c>
      <c r="B1583" s="100" t="s">
        <v>4552</v>
      </c>
    </row>
    <row r="1584" spans="1:2" ht="13.5">
      <c r="A1584" s="169" t="s">
        <v>2111</v>
      </c>
      <c r="B1584" s="100" t="s">
        <v>4552</v>
      </c>
    </row>
    <row r="1585" spans="1:2" ht="13.5">
      <c r="A1585" s="169" t="s">
        <v>2112</v>
      </c>
      <c r="B1585" s="100" t="s">
        <v>4552</v>
      </c>
    </row>
    <row r="1586" spans="1:2" ht="13.5">
      <c r="A1586" s="169" t="s">
        <v>2113</v>
      </c>
      <c r="B1586" s="100" t="s">
        <v>4552</v>
      </c>
    </row>
    <row r="1587" spans="1:2" ht="13.5">
      <c r="A1587" s="169" t="s">
        <v>2114</v>
      </c>
      <c r="B1587" s="100" t="s">
        <v>4552</v>
      </c>
    </row>
    <row r="1588" spans="1:2" ht="13.5">
      <c r="A1588" s="169" t="s">
        <v>2115</v>
      </c>
      <c r="B1588" s="100" t="s">
        <v>4552</v>
      </c>
    </row>
    <row r="1589" spans="1:2" ht="13.5">
      <c r="A1589" s="169" t="s">
        <v>2116</v>
      </c>
      <c r="B1589" s="100" t="s">
        <v>4552</v>
      </c>
    </row>
    <row r="1590" spans="1:2" ht="13.5">
      <c r="A1590" s="169" t="s">
        <v>2117</v>
      </c>
      <c r="B1590" s="100" t="s">
        <v>4552</v>
      </c>
    </row>
    <row r="1591" spans="1:2" ht="13.5">
      <c r="A1591" s="169" t="s">
        <v>2118</v>
      </c>
      <c r="B1591" s="100" t="s">
        <v>4552</v>
      </c>
    </row>
    <row r="1592" spans="1:2" ht="13.5">
      <c r="A1592" s="169" t="s">
        <v>2119</v>
      </c>
      <c r="B1592" s="100" t="s">
        <v>4552</v>
      </c>
    </row>
    <row r="1593" spans="1:2" ht="13.5">
      <c r="A1593" s="169" t="s">
        <v>2120</v>
      </c>
      <c r="B1593" s="100" t="s">
        <v>4552</v>
      </c>
    </row>
    <row r="1594" spans="1:2" ht="13.5">
      <c r="A1594" s="169" t="s">
        <v>2121</v>
      </c>
      <c r="B1594" s="100" t="s">
        <v>4552</v>
      </c>
    </row>
    <row r="1595" spans="1:2" ht="13.5">
      <c r="A1595" s="169" t="s">
        <v>2122</v>
      </c>
      <c r="B1595" s="100" t="s">
        <v>4552</v>
      </c>
    </row>
    <row r="1596" spans="1:2" ht="13.5">
      <c r="A1596" s="169" t="s">
        <v>2123</v>
      </c>
      <c r="B1596" s="100" t="s">
        <v>4552</v>
      </c>
    </row>
    <row r="1597" spans="1:2" ht="13.5">
      <c r="A1597" s="169" t="s">
        <v>2124</v>
      </c>
      <c r="B1597" s="100" t="s">
        <v>4552</v>
      </c>
    </row>
    <row r="1598" spans="1:2" ht="13.5">
      <c r="A1598" s="169" t="s">
        <v>2125</v>
      </c>
      <c r="B1598" s="100" t="s">
        <v>4552</v>
      </c>
    </row>
    <row r="1599" spans="1:2" ht="13.5">
      <c r="A1599" s="169" t="s">
        <v>2126</v>
      </c>
      <c r="B1599" s="100" t="s">
        <v>4552</v>
      </c>
    </row>
    <row r="1600" spans="1:2" ht="13.5">
      <c r="A1600" s="169" t="s">
        <v>2127</v>
      </c>
      <c r="B1600" s="100" t="s">
        <v>4556</v>
      </c>
    </row>
    <row r="1601" spans="1:2" ht="13.5">
      <c r="A1601" s="169" t="s">
        <v>2128</v>
      </c>
      <c r="B1601" s="100" t="s">
        <v>4556</v>
      </c>
    </row>
    <row r="1602" spans="1:2" ht="13.5">
      <c r="A1602" s="169" t="s">
        <v>2129</v>
      </c>
      <c r="B1602" s="100" t="s">
        <v>4556</v>
      </c>
    </row>
    <row r="1603" spans="1:2" ht="13.5">
      <c r="A1603" s="169" t="s">
        <v>2130</v>
      </c>
      <c r="B1603" s="100" t="s">
        <v>4552</v>
      </c>
    </row>
    <row r="1604" spans="1:2" ht="13.5">
      <c r="A1604" s="169" t="s">
        <v>2131</v>
      </c>
      <c r="B1604" s="100" t="s">
        <v>4552</v>
      </c>
    </row>
    <row r="1605" spans="1:2" ht="13.5">
      <c r="A1605" s="169" t="s">
        <v>2132</v>
      </c>
      <c r="B1605" s="100" t="s">
        <v>4552</v>
      </c>
    </row>
    <row r="1606" spans="1:2" ht="13.5">
      <c r="A1606" s="169" t="s">
        <v>2133</v>
      </c>
      <c r="B1606" s="100" t="s">
        <v>4552</v>
      </c>
    </row>
    <row r="1607" spans="1:2" ht="13.5">
      <c r="A1607" s="169" t="s">
        <v>2134</v>
      </c>
      <c r="B1607" s="100" t="s">
        <v>4552</v>
      </c>
    </row>
    <row r="1608" spans="1:2" ht="13.5">
      <c r="A1608" s="169" t="s">
        <v>2135</v>
      </c>
      <c r="B1608" s="100" t="s">
        <v>4552</v>
      </c>
    </row>
    <row r="1609" spans="1:2" ht="13.5">
      <c r="A1609" s="169" t="s">
        <v>2136</v>
      </c>
      <c r="B1609" s="100" t="s">
        <v>4552</v>
      </c>
    </row>
    <row r="1610" spans="1:2" ht="13.5">
      <c r="A1610" s="169" t="s">
        <v>2137</v>
      </c>
      <c r="B1610" s="100" t="s">
        <v>4552</v>
      </c>
    </row>
    <row r="1611" spans="1:2" ht="13.5">
      <c r="A1611" s="169" t="s">
        <v>2138</v>
      </c>
      <c r="B1611" s="100" t="s">
        <v>4552</v>
      </c>
    </row>
    <row r="1612" spans="1:2" ht="13.5">
      <c r="A1612" s="169" t="s">
        <v>2139</v>
      </c>
      <c r="B1612" s="100" t="s">
        <v>4552</v>
      </c>
    </row>
    <row r="1613" spans="1:2" ht="13.5">
      <c r="A1613" s="169" t="s">
        <v>2140</v>
      </c>
      <c r="B1613" s="100" t="s">
        <v>4552</v>
      </c>
    </row>
    <row r="1614" spans="1:2" ht="13.5">
      <c r="A1614" s="169" t="s">
        <v>2141</v>
      </c>
      <c r="B1614" s="100" t="s">
        <v>4552</v>
      </c>
    </row>
    <row r="1615" spans="1:2" ht="13.5">
      <c r="A1615" s="169" t="s">
        <v>2142</v>
      </c>
      <c r="B1615" s="100" t="s">
        <v>4552</v>
      </c>
    </row>
    <row r="1616" spans="1:2" ht="13.5">
      <c r="A1616" s="169" t="s">
        <v>2143</v>
      </c>
      <c r="B1616" s="100" t="s">
        <v>4552</v>
      </c>
    </row>
    <row r="1617" spans="1:2" ht="13.5">
      <c r="A1617" s="169" t="s">
        <v>2144</v>
      </c>
      <c r="B1617" s="100" t="s">
        <v>4552</v>
      </c>
    </row>
    <row r="1618" spans="1:2" ht="13.5">
      <c r="A1618" s="169" t="s">
        <v>2145</v>
      </c>
      <c r="B1618" s="100" t="s">
        <v>4552</v>
      </c>
    </row>
    <row r="1619" spans="1:2" ht="13.5">
      <c r="A1619" s="169" t="s">
        <v>2146</v>
      </c>
      <c r="B1619" s="100" t="s">
        <v>4552</v>
      </c>
    </row>
    <row r="1620" spans="1:2" ht="13.5">
      <c r="A1620" s="169" t="s">
        <v>2147</v>
      </c>
      <c r="B1620" s="100" t="s">
        <v>4552</v>
      </c>
    </row>
    <row r="1621" spans="1:2" ht="13.5">
      <c r="A1621" s="169" t="s">
        <v>2148</v>
      </c>
      <c r="B1621" s="100" t="s">
        <v>4552</v>
      </c>
    </row>
    <row r="1622" spans="1:2" ht="13.5">
      <c r="A1622" s="169" t="s">
        <v>2149</v>
      </c>
      <c r="B1622" s="100" t="s">
        <v>4552</v>
      </c>
    </row>
    <row r="1623" spans="1:2" ht="13.5">
      <c r="A1623" s="169" t="s">
        <v>2150</v>
      </c>
      <c r="B1623" s="100" t="s">
        <v>4552</v>
      </c>
    </row>
    <row r="1624" spans="1:2" ht="13.5">
      <c r="A1624" s="169" t="s">
        <v>2151</v>
      </c>
      <c r="B1624" s="100" t="s">
        <v>4552</v>
      </c>
    </row>
    <row r="1625" spans="1:2" ht="13.5">
      <c r="A1625" s="169" t="s">
        <v>2152</v>
      </c>
      <c r="B1625" s="100" t="s">
        <v>4552</v>
      </c>
    </row>
    <row r="1626" spans="1:2" ht="13.5">
      <c r="A1626" s="169" t="s">
        <v>2153</v>
      </c>
      <c r="B1626" s="100" t="s">
        <v>4552</v>
      </c>
    </row>
    <row r="1627" spans="1:2" ht="13.5">
      <c r="A1627" s="169" t="s">
        <v>2154</v>
      </c>
      <c r="B1627" s="100" t="s">
        <v>4552</v>
      </c>
    </row>
    <row r="1628" spans="1:2" ht="13.5">
      <c r="A1628" s="169" t="s">
        <v>2155</v>
      </c>
      <c r="B1628" s="100" t="s">
        <v>4552</v>
      </c>
    </row>
    <row r="1629" spans="1:2" ht="13.5">
      <c r="A1629" s="169" t="s">
        <v>2156</v>
      </c>
      <c r="B1629" s="100" t="s">
        <v>4552</v>
      </c>
    </row>
    <row r="1630" spans="1:2" ht="13.5">
      <c r="A1630" s="169" t="s">
        <v>2157</v>
      </c>
      <c r="B1630" s="100" t="s">
        <v>4564</v>
      </c>
    </row>
    <row r="1631" spans="1:2" ht="13.5">
      <c r="A1631" s="168" t="s">
        <v>2158</v>
      </c>
      <c r="B1631" s="100" t="s">
        <v>4558</v>
      </c>
    </row>
    <row r="1632" spans="1:2" ht="13.5">
      <c r="A1632" s="169" t="s">
        <v>2159</v>
      </c>
      <c r="B1632" s="100" t="s">
        <v>4552</v>
      </c>
    </row>
    <row r="1633" spans="1:2" ht="13.5">
      <c r="A1633" s="168" t="s">
        <v>2160</v>
      </c>
      <c r="B1633" s="100" t="s">
        <v>4558</v>
      </c>
    </row>
    <row r="1634" spans="1:2" ht="13.5">
      <c r="A1634" s="169" t="s">
        <v>2161</v>
      </c>
      <c r="B1634" s="100" t="s">
        <v>4556</v>
      </c>
    </row>
    <row r="1635" spans="1:2" ht="13.5">
      <c r="A1635" s="169" t="s">
        <v>2162</v>
      </c>
      <c r="B1635" s="100" t="s">
        <v>4556</v>
      </c>
    </row>
    <row r="1636" spans="1:2" ht="13.5">
      <c r="A1636" s="169" t="s">
        <v>2163</v>
      </c>
      <c r="B1636" s="100" t="s">
        <v>4556</v>
      </c>
    </row>
    <row r="1637" spans="1:2" ht="13.5">
      <c r="A1637" s="169" t="s">
        <v>2164</v>
      </c>
      <c r="B1637" s="100" t="s">
        <v>4552</v>
      </c>
    </row>
    <row r="1638" spans="1:2" ht="13.5">
      <c r="A1638" s="169" t="s">
        <v>2165</v>
      </c>
      <c r="B1638" s="100" t="s">
        <v>4552</v>
      </c>
    </row>
    <row r="1639" spans="1:2" ht="13.5">
      <c r="A1639" s="169" t="s">
        <v>2166</v>
      </c>
      <c r="B1639" s="100" t="s">
        <v>4552</v>
      </c>
    </row>
    <row r="1640" spans="1:2" ht="13.5">
      <c r="A1640" s="169" t="s">
        <v>2167</v>
      </c>
      <c r="B1640" s="100" t="s">
        <v>4552</v>
      </c>
    </row>
    <row r="1641" spans="1:2" ht="13.5">
      <c r="A1641" s="168" t="s">
        <v>4607</v>
      </c>
      <c r="B1641" s="100" t="s">
        <v>4558</v>
      </c>
    </row>
    <row r="1642" spans="1:2" ht="13.5">
      <c r="A1642" s="169" t="s">
        <v>2168</v>
      </c>
      <c r="B1642" s="100" t="s">
        <v>4552</v>
      </c>
    </row>
    <row r="1643" spans="1:2" ht="13.5">
      <c r="A1643" s="169" t="s">
        <v>2169</v>
      </c>
      <c r="B1643" s="100" t="s">
        <v>4552</v>
      </c>
    </row>
    <row r="1644" spans="1:2" ht="13.5">
      <c r="A1644" s="169" t="s">
        <v>2170</v>
      </c>
      <c r="B1644" s="100" t="s">
        <v>4552</v>
      </c>
    </row>
    <row r="1645" spans="1:2" ht="13.5">
      <c r="A1645" s="168" t="s">
        <v>2171</v>
      </c>
      <c r="B1645" s="100" t="s">
        <v>4558</v>
      </c>
    </row>
    <row r="1646" spans="1:2" ht="13.5">
      <c r="A1646" s="168" t="s">
        <v>2172</v>
      </c>
      <c r="B1646" s="100" t="s">
        <v>4558</v>
      </c>
    </row>
    <row r="1647" spans="1:2" ht="13.5">
      <c r="A1647" s="169" t="s">
        <v>2173</v>
      </c>
      <c r="B1647" s="100" t="s">
        <v>4552</v>
      </c>
    </row>
    <row r="1648" spans="1:2" ht="13.5">
      <c r="A1648" s="169" t="s">
        <v>2174</v>
      </c>
      <c r="B1648" s="100" t="s">
        <v>4552</v>
      </c>
    </row>
    <row r="1649" spans="1:2" ht="13.5">
      <c r="A1649" s="169" t="s">
        <v>2175</v>
      </c>
      <c r="B1649" s="100" t="s">
        <v>4552</v>
      </c>
    </row>
    <row r="1650" spans="1:2" ht="13.5">
      <c r="A1650" s="169" t="s">
        <v>2176</v>
      </c>
      <c r="B1650" s="100" t="s">
        <v>4608</v>
      </c>
    </row>
    <row r="1651" spans="1:2" ht="13.5">
      <c r="A1651" s="168" t="s">
        <v>4609</v>
      </c>
      <c r="B1651" s="100" t="s">
        <v>4568</v>
      </c>
    </row>
    <row r="1652" spans="1:2" ht="13.5">
      <c r="A1652" s="168" t="s">
        <v>2177</v>
      </c>
      <c r="B1652" s="100" t="s">
        <v>4558</v>
      </c>
    </row>
    <row r="1653" spans="1:2" ht="13.5">
      <c r="A1653" s="169" t="s">
        <v>2178</v>
      </c>
      <c r="B1653" s="100" t="s">
        <v>4552</v>
      </c>
    </row>
    <row r="1654" spans="1:2" ht="13.5">
      <c r="A1654" s="169" t="s">
        <v>2179</v>
      </c>
      <c r="B1654" s="100" t="s">
        <v>4552</v>
      </c>
    </row>
    <row r="1655" spans="1:2" ht="13.5">
      <c r="A1655" s="169" t="s">
        <v>2180</v>
      </c>
      <c r="B1655" s="100" t="s">
        <v>4556</v>
      </c>
    </row>
    <row r="1656" spans="1:2" ht="13.5">
      <c r="A1656" s="169" t="s">
        <v>2181</v>
      </c>
      <c r="B1656" s="100" t="s">
        <v>4556</v>
      </c>
    </row>
    <row r="1657" spans="1:2" ht="13.5">
      <c r="A1657" s="169" t="s">
        <v>2182</v>
      </c>
      <c r="B1657" s="100" t="s">
        <v>4552</v>
      </c>
    </row>
    <row r="1658" spans="1:2" ht="13.5">
      <c r="A1658" s="169" t="s">
        <v>2183</v>
      </c>
      <c r="B1658" s="100" t="s">
        <v>4552</v>
      </c>
    </row>
    <row r="1659" spans="1:2" ht="13.5">
      <c r="A1659" s="169" t="s">
        <v>2184</v>
      </c>
      <c r="B1659" s="100" t="s">
        <v>4552</v>
      </c>
    </row>
    <row r="1660" spans="1:2" ht="13.5">
      <c r="A1660" s="168" t="s">
        <v>2185</v>
      </c>
      <c r="B1660" s="100" t="s">
        <v>4558</v>
      </c>
    </row>
    <row r="1661" spans="1:2" ht="13.5">
      <c r="A1661" s="169" t="s">
        <v>2186</v>
      </c>
      <c r="B1661" s="100" t="s">
        <v>4552</v>
      </c>
    </row>
    <row r="1662" spans="1:2" ht="13.5">
      <c r="A1662" s="169" t="s">
        <v>2187</v>
      </c>
      <c r="B1662" s="100" t="s">
        <v>4552</v>
      </c>
    </row>
    <row r="1663" spans="1:2" ht="13.5">
      <c r="A1663" s="169" t="s">
        <v>2188</v>
      </c>
      <c r="B1663" s="100" t="s">
        <v>4552</v>
      </c>
    </row>
    <row r="1664" spans="1:2" ht="13.5">
      <c r="A1664" s="169" t="s">
        <v>2189</v>
      </c>
      <c r="B1664" s="100" t="s">
        <v>4556</v>
      </c>
    </row>
    <row r="1665" spans="1:2" ht="13.5">
      <c r="A1665" s="169" t="s">
        <v>2190</v>
      </c>
      <c r="B1665" s="100" t="s">
        <v>4552</v>
      </c>
    </row>
    <row r="1666" spans="1:2" ht="13.5">
      <c r="A1666" s="169" t="s">
        <v>2191</v>
      </c>
      <c r="B1666" s="100" t="s">
        <v>4552</v>
      </c>
    </row>
    <row r="1667" spans="1:2" ht="13.5">
      <c r="A1667" s="169" t="s">
        <v>2192</v>
      </c>
      <c r="B1667" s="100" t="s">
        <v>4552</v>
      </c>
    </row>
    <row r="1668" spans="1:2" ht="13.5">
      <c r="A1668" s="169" t="s">
        <v>2193</v>
      </c>
      <c r="B1668" s="100" t="s">
        <v>4552</v>
      </c>
    </row>
    <row r="1669" spans="1:2" ht="13.5">
      <c r="A1669" s="169" t="s">
        <v>2194</v>
      </c>
      <c r="B1669" s="100" t="s">
        <v>4552</v>
      </c>
    </row>
    <row r="1670" spans="1:2" ht="13.5">
      <c r="A1670" s="169" t="s">
        <v>2195</v>
      </c>
      <c r="B1670" s="100" t="s">
        <v>4552</v>
      </c>
    </row>
    <row r="1671" spans="1:2" ht="13.5">
      <c r="A1671" s="169" t="s">
        <v>2196</v>
      </c>
      <c r="B1671" s="100" t="s">
        <v>4552</v>
      </c>
    </row>
    <row r="1672" spans="1:2" ht="13.5">
      <c r="A1672" s="169" t="s">
        <v>2197</v>
      </c>
      <c r="B1672" s="100" t="s">
        <v>4552</v>
      </c>
    </row>
    <row r="1673" spans="1:2" ht="13.5">
      <c r="A1673" s="169" t="s">
        <v>2198</v>
      </c>
      <c r="B1673" s="100" t="s">
        <v>4552</v>
      </c>
    </row>
    <row r="1674" spans="1:2" ht="13.5">
      <c r="A1674" s="169" t="s">
        <v>2199</v>
      </c>
      <c r="B1674" s="100" t="s">
        <v>4552</v>
      </c>
    </row>
    <row r="1675" spans="1:2" ht="13.5">
      <c r="A1675" s="169" t="s">
        <v>2200</v>
      </c>
      <c r="B1675" s="100" t="s">
        <v>4552</v>
      </c>
    </row>
    <row r="1676" spans="1:2" ht="13.5">
      <c r="A1676" s="168" t="s">
        <v>2201</v>
      </c>
      <c r="B1676" s="100" t="s">
        <v>4558</v>
      </c>
    </row>
    <row r="1677" spans="1:2" ht="13.5">
      <c r="A1677" s="169" t="s">
        <v>2202</v>
      </c>
      <c r="B1677" s="100" t="s">
        <v>4552</v>
      </c>
    </row>
    <row r="1678" spans="1:2" ht="13.5">
      <c r="A1678" s="169" t="s">
        <v>2203</v>
      </c>
      <c r="B1678" s="100" t="s">
        <v>4552</v>
      </c>
    </row>
    <row r="1679" spans="1:2" ht="13.5">
      <c r="A1679" s="169" t="s">
        <v>2204</v>
      </c>
      <c r="B1679" s="100" t="s">
        <v>4552</v>
      </c>
    </row>
    <row r="1680" spans="1:2" ht="13.5">
      <c r="A1680" s="169" t="s">
        <v>2205</v>
      </c>
      <c r="B1680" s="100" t="s">
        <v>4552</v>
      </c>
    </row>
    <row r="1681" spans="1:2" ht="13.5">
      <c r="A1681" s="169" t="s">
        <v>2206</v>
      </c>
      <c r="B1681" s="100" t="s">
        <v>4552</v>
      </c>
    </row>
    <row r="1682" spans="1:2" ht="13.5">
      <c r="A1682" s="169" t="s">
        <v>2207</v>
      </c>
      <c r="B1682" s="100" t="s">
        <v>4556</v>
      </c>
    </row>
    <row r="1683" spans="1:2" ht="13.5">
      <c r="A1683" s="169" t="s">
        <v>2208</v>
      </c>
      <c r="B1683" s="100" t="s">
        <v>4552</v>
      </c>
    </row>
    <row r="1684" spans="1:2" ht="13.5">
      <c r="A1684" s="168" t="s">
        <v>2209</v>
      </c>
      <c r="B1684" s="100" t="s">
        <v>4560</v>
      </c>
    </row>
    <row r="1685" spans="1:2" ht="13.5">
      <c r="A1685" s="168" t="s">
        <v>2210</v>
      </c>
      <c r="B1685" s="100" t="s">
        <v>4560</v>
      </c>
    </row>
    <row r="1686" spans="1:2" ht="13.5">
      <c r="A1686" s="169" t="s">
        <v>2211</v>
      </c>
      <c r="B1686" s="100" t="s">
        <v>4556</v>
      </c>
    </row>
    <row r="1687" spans="1:2" ht="13.5">
      <c r="A1687" s="169" t="s">
        <v>2212</v>
      </c>
      <c r="B1687" s="100" t="s">
        <v>4556</v>
      </c>
    </row>
    <row r="1688" spans="1:2" ht="13.5">
      <c r="A1688" s="169" t="s">
        <v>2213</v>
      </c>
      <c r="B1688" s="100" t="s">
        <v>4556</v>
      </c>
    </row>
    <row r="1689" spans="1:2" ht="13.5">
      <c r="A1689" s="169" t="s">
        <v>2214</v>
      </c>
      <c r="B1689" s="100" t="s">
        <v>4556</v>
      </c>
    </row>
    <row r="1690" spans="1:2" ht="13.5">
      <c r="A1690" s="169" t="s">
        <v>2215</v>
      </c>
      <c r="B1690" s="100" t="s">
        <v>4552</v>
      </c>
    </row>
    <row r="1691" spans="1:2" ht="13.5">
      <c r="A1691" s="169" t="s">
        <v>2216</v>
      </c>
      <c r="B1691" s="100" t="s">
        <v>4552</v>
      </c>
    </row>
    <row r="1692" spans="1:2" ht="13.5">
      <c r="A1692" s="169" t="s">
        <v>2217</v>
      </c>
      <c r="B1692" s="100" t="s">
        <v>4552</v>
      </c>
    </row>
    <row r="1693" spans="1:2" ht="13.5">
      <c r="A1693" s="168" t="s">
        <v>2218</v>
      </c>
      <c r="B1693" s="100" t="s">
        <v>4558</v>
      </c>
    </row>
    <row r="1694" spans="1:2" ht="13.5">
      <c r="A1694" s="169" t="s">
        <v>2219</v>
      </c>
      <c r="B1694" s="100" t="s">
        <v>4552</v>
      </c>
    </row>
    <row r="1695" spans="1:2" ht="13.5">
      <c r="A1695" s="169" t="s">
        <v>2220</v>
      </c>
      <c r="B1695" s="100" t="s">
        <v>4552</v>
      </c>
    </row>
    <row r="1696" spans="1:2" ht="13.5">
      <c r="A1696" s="169" t="s">
        <v>2221</v>
      </c>
      <c r="B1696" s="100" t="s">
        <v>4552</v>
      </c>
    </row>
    <row r="1697" spans="1:2" ht="13.5">
      <c r="A1697" s="169" t="s">
        <v>2222</v>
      </c>
      <c r="B1697" s="100" t="s">
        <v>4552</v>
      </c>
    </row>
    <row r="1698" spans="1:2" ht="13.5">
      <c r="A1698" s="169" t="s">
        <v>2223</v>
      </c>
      <c r="B1698" s="100" t="s">
        <v>4552</v>
      </c>
    </row>
    <row r="1699" spans="1:2" ht="13.5">
      <c r="A1699" s="169" t="s">
        <v>2224</v>
      </c>
      <c r="B1699" s="100" t="s">
        <v>4552</v>
      </c>
    </row>
    <row r="1700" spans="1:2" ht="13.5">
      <c r="A1700" s="169" t="s">
        <v>2225</v>
      </c>
      <c r="B1700" s="100" t="s">
        <v>4552</v>
      </c>
    </row>
    <row r="1701" spans="1:2" ht="13.5">
      <c r="A1701" s="169" t="s">
        <v>2226</v>
      </c>
      <c r="B1701" s="100" t="s">
        <v>4552</v>
      </c>
    </row>
    <row r="1702" spans="1:2" ht="13.5">
      <c r="A1702" s="169" t="s">
        <v>2227</v>
      </c>
      <c r="B1702" s="100" t="s">
        <v>4556</v>
      </c>
    </row>
    <row r="1703" spans="1:2" ht="13.5">
      <c r="A1703" s="169" t="s">
        <v>2228</v>
      </c>
      <c r="B1703" s="100" t="s">
        <v>4552</v>
      </c>
    </row>
    <row r="1704" spans="1:2" ht="13.5">
      <c r="A1704" s="169" t="s">
        <v>2229</v>
      </c>
      <c r="B1704" s="100" t="s">
        <v>4552</v>
      </c>
    </row>
    <row r="1705" spans="1:2" ht="13.5">
      <c r="A1705" s="169" t="s">
        <v>2230</v>
      </c>
      <c r="B1705" s="100" t="s">
        <v>4552</v>
      </c>
    </row>
    <row r="1706" spans="1:2" ht="13.5">
      <c r="A1706" s="169" t="s">
        <v>2231</v>
      </c>
      <c r="B1706" s="100" t="s">
        <v>4552</v>
      </c>
    </row>
    <row r="1707" spans="1:2" ht="13.5">
      <c r="A1707" s="169" t="s">
        <v>2232</v>
      </c>
      <c r="B1707" s="100" t="s">
        <v>4552</v>
      </c>
    </row>
    <row r="1708" spans="1:2" ht="13.5">
      <c r="A1708" s="169" t="s">
        <v>2233</v>
      </c>
      <c r="B1708" s="100" t="s">
        <v>4552</v>
      </c>
    </row>
    <row r="1709" spans="1:2" ht="13.5">
      <c r="A1709" s="169" t="s">
        <v>2234</v>
      </c>
      <c r="B1709" s="100" t="s">
        <v>4552</v>
      </c>
    </row>
    <row r="1710" spans="1:2" ht="13.5">
      <c r="A1710" s="169" t="s">
        <v>2235</v>
      </c>
      <c r="B1710" s="100" t="s">
        <v>4552</v>
      </c>
    </row>
    <row r="1711" spans="1:2" ht="13.5">
      <c r="A1711" s="169" t="s">
        <v>2236</v>
      </c>
      <c r="B1711" s="100" t="s">
        <v>4552</v>
      </c>
    </row>
    <row r="1712" spans="1:2" ht="13.5">
      <c r="A1712" s="169" t="s">
        <v>2237</v>
      </c>
      <c r="B1712" s="100" t="s">
        <v>4552</v>
      </c>
    </row>
    <row r="1713" spans="1:2" ht="13.5">
      <c r="A1713" s="169" t="s">
        <v>2238</v>
      </c>
      <c r="B1713" s="100" t="s">
        <v>4552</v>
      </c>
    </row>
    <row r="1714" spans="1:2" ht="13.5">
      <c r="A1714" s="169" t="s">
        <v>2239</v>
      </c>
      <c r="B1714" s="100" t="s">
        <v>4552</v>
      </c>
    </row>
    <row r="1715" spans="1:2" ht="13.5">
      <c r="A1715" s="169" t="s">
        <v>2240</v>
      </c>
      <c r="B1715" s="100" t="s">
        <v>4552</v>
      </c>
    </row>
    <row r="1716" spans="1:2" ht="13.5">
      <c r="A1716" s="169" t="s">
        <v>2241</v>
      </c>
      <c r="B1716" s="100" t="s">
        <v>4552</v>
      </c>
    </row>
    <row r="1717" spans="1:2" ht="13.5">
      <c r="A1717" s="169" t="s">
        <v>2242</v>
      </c>
      <c r="B1717" s="100" t="s">
        <v>4556</v>
      </c>
    </row>
    <row r="1718" spans="1:2" ht="13.5">
      <c r="A1718" s="169" t="s">
        <v>2243</v>
      </c>
      <c r="B1718" s="100" t="s">
        <v>4556</v>
      </c>
    </row>
    <row r="1719" spans="1:2" ht="13.5">
      <c r="A1719" s="169" t="s">
        <v>2244</v>
      </c>
      <c r="B1719" s="100" t="s">
        <v>4556</v>
      </c>
    </row>
    <row r="1720" spans="1:2" ht="13.5">
      <c r="A1720" s="169" t="s">
        <v>2245</v>
      </c>
      <c r="B1720" s="100" t="s">
        <v>4552</v>
      </c>
    </row>
    <row r="1721" spans="1:2" ht="13.5">
      <c r="A1721" s="169" t="s">
        <v>2246</v>
      </c>
      <c r="B1721" s="100" t="s">
        <v>4552</v>
      </c>
    </row>
    <row r="1722" spans="1:2" ht="13.5">
      <c r="A1722" s="169" t="s">
        <v>2247</v>
      </c>
      <c r="B1722" s="100" t="s">
        <v>4552</v>
      </c>
    </row>
    <row r="1723" spans="1:2" ht="13.5">
      <c r="A1723" s="169" t="s">
        <v>2248</v>
      </c>
      <c r="B1723" s="100" t="s">
        <v>4552</v>
      </c>
    </row>
    <row r="1724" spans="1:2" ht="13.5">
      <c r="A1724" s="169" t="s">
        <v>2249</v>
      </c>
      <c r="B1724" s="100" t="s">
        <v>4552</v>
      </c>
    </row>
    <row r="1725" spans="1:2" ht="13.5">
      <c r="A1725" s="169" t="s">
        <v>2250</v>
      </c>
      <c r="B1725" s="100" t="s">
        <v>4552</v>
      </c>
    </row>
    <row r="1726" spans="1:2" ht="13.5">
      <c r="A1726" s="169" t="s">
        <v>2251</v>
      </c>
      <c r="B1726" s="100" t="s">
        <v>4552</v>
      </c>
    </row>
    <row r="1727" spans="1:2" ht="13.5">
      <c r="A1727" s="169" t="s">
        <v>2252</v>
      </c>
      <c r="B1727" s="100" t="s">
        <v>4552</v>
      </c>
    </row>
    <row r="1728" spans="1:2" ht="13.5">
      <c r="A1728" s="169" t="s">
        <v>2253</v>
      </c>
      <c r="B1728" s="100" t="s">
        <v>4552</v>
      </c>
    </row>
    <row r="1729" spans="1:2" ht="13.5">
      <c r="A1729" s="169" t="s">
        <v>2254</v>
      </c>
      <c r="B1729" s="100" t="s">
        <v>4552</v>
      </c>
    </row>
    <row r="1730" spans="1:2" ht="13.5">
      <c r="A1730" s="169" t="s">
        <v>2255</v>
      </c>
      <c r="B1730" s="100" t="s">
        <v>4552</v>
      </c>
    </row>
    <row r="1731" spans="1:2" ht="13.5">
      <c r="A1731" s="169" t="s">
        <v>2256</v>
      </c>
      <c r="B1731" s="100" t="s">
        <v>4552</v>
      </c>
    </row>
    <row r="1732" spans="1:2" ht="13.5">
      <c r="A1732" s="169" t="s">
        <v>2257</v>
      </c>
      <c r="B1732" s="100" t="s">
        <v>4552</v>
      </c>
    </row>
    <row r="1733" spans="1:2" ht="13.5">
      <c r="A1733" s="169" t="s">
        <v>2258</v>
      </c>
      <c r="B1733" s="100" t="s">
        <v>4552</v>
      </c>
    </row>
    <row r="1734" spans="1:2" ht="13.5">
      <c r="A1734" s="169" t="s">
        <v>2259</v>
      </c>
      <c r="B1734" s="100" t="s">
        <v>4552</v>
      </c>
    </row>
    <row r="1735" spans="1:2" ht="13.5">
      <c r="A1735" s="169" t="s">
        <v>2260</v>
      </c>
      <c r="B1735" s="100" t="s">
        <v>4556</v>
      </c>
    </row>
    <row r="1736" spans="1:2" ht="13.5">
      <c r="A1736" s="169" t="s">
        <v>2261</v>
      </c>
      <c r="B1736" s="100" t="s">
        <v>4556</v>
      </c>
    </row>
    <row r="1737" spans="1:2" ht="13.5">
      <c r="A1737" s="169" t="s">
        <v>2262</v>
      </c>
      <c r="B1737" s="100" t="s">
        <v>4564</v>
      </c>
    </row>
    <row r="1738" spans="1:2" ht="13.5">
      <c r="A1738" s="169" t="s">
        <v>2263</v>
      </c>
      <c r="B1738" s="100" t="s">
        <v>4552</v>
      </c>
    </row>
    <row r="1739" spans="1:2" ht="13.5">
      <c r="A1739" s="169" t="s">
        <v>2264</v>
      </c>
      <c r="B1739" s="100" t="s">
        <v>4552</v>
      </c>
    </row>
    <row r="1740" spans="1:2" ht="13.5">
      <c r="A1740" s="169" t="s">
        <v>2265</v>
      </c>
      <c r="B1740" s="100" t="s">
        <v>4552</v>
      </c>
    </row>
    <row r="1741" spans="1:2" ht="13.5">
      <c r="A1741" s="169" t="s">
        <v>2266</v>
      </c>
      <c r="B1741" s="100" t="s">
        <v>4552</v>
      </c>
    </row>
    <row r="1742" spans="1:2" ht="13.5">
      <c r="A1742" s="169" t="s">
        <v>2267</v>
      </c>
      <c r="B1742" s="100" t="s">
        <v>4552</v>
      </c>
    </row>
    <row r="1743" spans="1:2" ht="13.5">
      <c r="A1743" s="169" t="s">
        <v>2268</v>
      </c>
      <c r="B1743" s="100" t="s">
        <v>4552</v>
      </c>
    </row>
    <row r="1744" spans="1:2" ht="13.5">
      <c r="A1744" s="169" t="s">
        <v>2269</v>
      </c>
      <c r="B1744" s="100" t="s">
        <v>4552</v>
      </c>
    </row>
    <row r="1745" spans="1:2" ht="13.5">
      <c r="A1745" s="169" t="s">
        <v>2270</v>
      </c>
      <c r="B1745" s="100" t="s">
        <v>4552</v>
      </c>
    </row>
    <row r="1746" spans="1:2" ht="13.5">
      <c r="A1746" s="169" t="s">
        <v>2271</v>
      </c>
      <c r="B1746" s="100" t="s">
        <v>4552</v>
      </c>
    </row>
    <row r="1747" spans="1:2" ht="13.5">
      <c r="A1747" s="169" t="s">
        <v>2272</v>
      </c>
      <c r="B1747" s="100" t="s">
        <v>4552</v>
      </c>
    </row>
    <row r="1748" spans="1:2" ht="13.5">
      <c r="A1748" s="169" t="s">
        <v>2273</v>
      </c>
      <c r="B1748" s="100" t="s">
        <v>4552</v>
      </c>
    </row>
    <row r="1749" spans="1:2" ht="13.5">
      <c r="A1749" s="169" t="s">
        <v>2274</v>
      </c>
      <c r="B1749" s="100" t="s">
        <v>4552</v>
      </c>
    </row>
    <row r="1750" spans="1:2" ht="13.5">
      <c r="A1750" s="169" t="s">
        <v>2275</v>
      </c>
      <c r="B1750" s="100" t="s">
        <v>4552</v>
      </c>
    </row>
    <row r="1751" spans="1:2" ht="13.5">
      <c r="A1751" s="169" t="s">
        <v>2276</v>
      </c>
      <c r="B1751" s="100" t="s">
        <v>4552</v>
      </c>
    </row>
    <row r="1752" spans="1:2" ht="13.5">
      <c r="A1752" s="169" t="s">
        <v>2277</v>
      </c>
      <c r="B1752" s="100" t="s">
        <v>4552</v>
      </c>
    </row>
    <row r="1753" spans="1:2" ht="13.5">
      <c r="A1753" s="169" t="s">
        <v>2278</v>
      </c>
      <c r="B1753" s="100" t="s">
        <v>4552</v>
      </c>
    </row>
    <row r="1754" spans="1:2" ht="13.5">
      <c r="A1754" s="169" t="s">
        <v>2279</v>
      </c>
      <c r="B1754" s="100" t="s">
        <v>4552</v>
      </c>
    </row>
    <row r="1755" spans="1:2" ht="13.5">
      <c r="A1755" s="169" t="s">
        <v>2280</v>
      </c>
      <c r="B1755" s="100" t="s">
        <v>4552</v>
      </c>
    </row>
    <row r="1756" spans="1:2" ht="13.5">
      <c r="A1756" s="169" t="s">
        <v>2281</v>
      </c>
      <c r="B1756" s="100" t="s">
        <v>4552</v>
      </c>
    </row>
    <row r="1757" spans="1:2" ht="13.5">
      <c r="A1757" s="169" t="s">
        <v>2282</v>
      </c>
      <c r="B1757" s="100" t="s">
        <v>4552</v>
      </c>
    </row>
    <row r="1758" spans="1:2" ht="13.5">
      <c r="A1758" s="169" t="s">
        <v>2283</v>
      </c>
      <c r="B1758" s="100" t="s">
        <v>4552</v>
      </c>
    </row>
    <row r="1759" spans="1:2" ht="13.5">
      <c r="A1759" s="169" t="s">
        <v>2284</v>
      </c>
      <c r="B1759" s="100" t="s">
        <v>4552</v>
      </c>
    </row>
    <row r="1760" spans="1:2" ht="13.5">
      <c r="A1760" s="169" t="s">
        <v>2285</v>
      </c>
      <c r="B1760" s="100" t="s">
        <v>4552</v>
      </c>
    </row>
    <row r="1761" spans="1:2" ht="13.5">
      <c r="A1761" s="169" t="s">
        <v>2286</v>
      </c>
      <c r="B1761" s="100" t="s">
        <v>4552</v>
      </c>
    </row>
    <row r="1762" spans="1:2" ht="13.5">
      <c r="A1762" s="169" t="s">
        <v>2287</v>
      </c>
      <c r="B1762" s="100" t="s">
        <v>4552</v>
      </c>
    </row>
    <row r="1763" spans="1:2" ht="13.5">
      <c r="A1763" s="169" t="s">
        <v>2288</v>
      </c>
      <c r="B1763" s="100" t="s">
        <v>4552</v>
      </c>
    </row>
    <row r="1764" spans="1:2" ht="13.5">
      <c r="A1764" s="169" t="s">
        <v>2289</v>
      </c>
      <c r="B1764" s="100" t="s">
        <v>4552</v>
      </c>
    </row>
    <row r="1765" spans="1:2" ht="13.5">
      <c r="A1765" s="169" t="s">
        <v>2290</v>
      </c>
      <c r="B1765" s="100" t="s">
        <v>4552</v>
      </c>
    </row>
    <row r="1766" spans="1:2" ht="13.5">
      <c r="A1766" s="169" t="s">
        <v>2291</v>
      </c>
      <c r="B1766" s="100" t="s">
        <v>4552</v>
      </c>
    </row>
    <row r="1767" spans="1:2" ht="13.5">
      <c r="A1767" s="169" t="s">
        <v>2292</v>
      </c>
      <c r="B1767" s="100" t="s">
        <v>4552</v>
      </c>
    </row>
    <row r="1768" spans="1:2" ht="13.5">
      <c r="A1768" s="169" t="s">
        <v>2293</v>
      </c>
      <c r="B1768" s="100" t="s">
        <v>4552</v>
      </c>
    </row>
    <row r="1769" spans="1:2" ht="13.5">
      <c r="A1769" s="169" t="s">
        <v>2294</v>
      </c>
      <c r="B1769" s="100" t="s">
        <v>4552</v>
      </c>
    </row>
    <row r="1770" spans="1:2" ht="13.5">
      <c r="A1770" s="169" t="s">
        <v>2295</v>
      </c>
      <c r="B1770" s="100" t="s">
        <v>4552</v>
      </c>
    </row>
    <row r="1771" spans="1:2" ht="13.5">
      <c r="A1771" s="169" t="s">
        <v>2296</v>
      </c>
      <c r="B1771" s="100" t="s">
        <v>4552</v>
      </c>
    </row>
    <row r="1772" spans="1:2" ht="13.5">
      <c r="A1772" s="169" t="s">
        <v>2297</v>
      </c>
      <c r="B1772" s="100" t="s">
        <v>4552</v>
      </c>
    </row>
    <row r="1773" spans="1:2" ht="13.5">
      <c r="A1773" s="169" t="s">
        <v>2298</v>
      </c>
      <c r="B1773" s="100" t="s">
        <v>4552</v>
      </c>
    </row>
    <row r="1774" spans="1:2" ht="13.5">
      <c r="A1774" s="169" t="s">
        <v>2299</v>
      </c>
      <c r="B1774" s="100" t="s">
        <v>4552</v>
      </c>
    </row>
    <row r="1775" spans="1:2" ht="13.5">
      <c r="A1775" s="169" t="s">
        <v>2300</v>
      </c>
      <c r="B1775" s="100" t="s">
        <v>4552</v>
      </c>
    </row>
    <row r="1776" spans="1:2" ht="13.5">
      <c r="A1776" s="169" t="s">
        <v>2301</v>
      </c>
      <c r="B1776" s="100" t="s">
        <v>4552</v>
      </c>
    </row>
    <row r="1777" spans="1:2" ht="13.5">
      <c r="A1777" s="169" t="s">
        <v>2302</v>
      </c>
      <c r="B1777" s="100" t="s">
        <v>4552</v>
      </c>
    </row>
    <row r="1778" spans="1:2" ht="13.5">
      <c r="A1778" s="169" t="s">
        <v>2303</v>
      </c>
      <c r="B1778" s="100" t="s">
        <v>4552</v>
      </c>
    </row>
    <row r="1779" spans="1:2" ht="13.5">
      <c r="A1779" s="169" t="s">
        <v>2304</v>
      </c>
      <c r="B1779" s="100" t="s">
        <v>4552</v>
      </c>
    </row>
    <row r="1780" spans="1:2" ht="13.5">
      <c r="A1780" s="169" t="s">
        <v>2305</v>
      </c>
      <c r="B1780" s="100" t="s">
        <v>4552</v>
      </c>
    </row>
    <row r="1781" spans="1:2" ht="13.5">
      <c r="A1781" s="169" t="s">
        <v>2306</v>
      </c>
      <c r="B1781" s="100" t="s">
        <v>4552</v>
      </c>
    </row>
    <row r="1782" spans="1:2" ht="13.5">
      <c r="A1782" s="169" t="s">
        <v>2307</v>
      </c>
      <c r="B1782" s="100" t="s">
        <v>4552</v>
      </c>
    </row>
    <row r="1783" spans="1:2" ht="13.5">
      <c r="A1783" s="169" t="s">
        <v>2308</v>
      </c>
      <c r="B1783" s="100" t="s">
        <v>4552</v>
      </c>
    </row>
    <row r="1784" spans="1:2" ht="13.5">
      <c r="A1784" s="169" t="s">
        <v>2309</v>
      </c>
      <c r="B1784" s="100" t="s">
        <v>4552</v>
      </c>
    </row>
    <row r="1785" spans="1:2" ht="13.5">
      <c r="A1785" s="169" t="s">
        <v>2310</v>
      </c>
      <c r="B1785" s="100" t="s">
        <v>4552</v>
      </c>
    </row>
    <row r="1786" spans="1:2" ht="13.5">
      <c r="A1786" s="169" t="s">
        <v>2311</v>
      </c>
      <c r="B1786" s="100" t="s">
        <v>4552</v>
      </c>
    </row>
    <row r="1787" spans="1:2" ht="13.5">
      <c r="A1787" s="169" t="s">
        <v>2312</v>
      </c>
      <c r="B1787" s="100" t="s">
        <v>4552</v>
      </c>
    </row>
    <row r="1788" spans="1:2" ht="13.5">
      <c r="A1788" s="169" t="s">
        <v>2313</v>
      </c>
      <c r="B1788" s="100" t="s">
        <v>4552</v>
      </c>
    </row>
    <row r="1789" spans="1:2" ht="13.5">
      <c r="A1789" s="169" t="s">
        <v>2314</v>
      </c>
      <c r="B1789" s="100" t="s">
        <v>4552</v>
      </c>
    </row>
    <row r="1790" spans="1:2" ht="13.5">
      <c r="A1790" s="169" t="s">
        <v>2315</v>
      </c>
      <c r="B1790" s="100" t="s">
        <v>4552</v>
      </c>
    </row>
    <row r="1791" spans="1:2" ht="13.5">
      <c r="A1791" s="169" t="s">
        <v>2316</v>
      </c>
      <c r="B1791" s="100" t="s">
        <v>4552</v>
      </c>
    </row>
    <row r="1792" spans="1:2" ht="13.5">
      <c r="A1792" s="169" t="s">
        <v>2317</v>
      </c>
      <c r="B1792" s="100" t="s">
        <v>4552</v>
      </c>
    </row>
    <row r="1793" spans="1:2" ht="13.5">
      <c r="A1793" s="169" t="s">
        <v>2318</v>
      </c>
      <c r="B1793" s="100" t="s">
        <v>4552</v>
      </c>
    </row>
    <row r="1794" spans="1:2" ht="13.5">
      <c r="A1794" s="169" t="s">
        <v>2319</v>
      </c>
      <c r="B1794" s="100" t="s">
        <v>4552</v>
      </c>
    </row>
    <row r="1795" spans="1:2" ht="13.5">
      <c r="A1795" s="169" t="s">
        <v>2320</v>
      </c>
      <c r="B1795" s="100" t="s">
        <v>4552</v>
      </c>
    </row>
    <row r="1796" spans="1:2" ht="13.5">
      <c r="A1796" s="169" t="s">
        <v>2321</v>
      </c>
      <c r="B1796" s="100" t="s">
        <v>4552</v>
      </c>
    </row>
    <row r="1797" spans="1:2" ht="13.5">
      <c r="A1797" s="169" t="s">
        <v>2322</v>
      </c>
      <c r="B1797" s="100" t="s">
        <v>4552</v>
      </c>
    </row>
    <row r="1798" spans="1:2" ht="13.5">
      <c r="A1798" s="169" t="s">
        <v>2323</v>
      </c>
      <c r="B1798" s="100" t="s">
        <v>4552</v>
      </c>
    </row>
    <row r="1799" spans="1:2" ht="13.5">
      <c r="A1799" s="169" t="s">
        <v>2324</v>
      </c>
      <c r="B1799" s="100" t="s">
        <v>4552</v>
      </c>
    </row>
    <row r="1800" spans="1:2" ht="13.5">
      <c r="A1800" s="169" t="s">
        <v>2325</v>
      </c>
      <c r="B1800" s="100" t="s">
        <v>4552</v>
      </c>
    </row>
    <row r="1801" spans="1:2" ht="13.5">
      <c r="A1801" s="169" t="s">
        <v>2326</v>
      </c>
      <c r="B1801" s="100" t="s">
        <v>4552</v>
      </c>
    </row>
    <row r="1802" spans="1:2" ht="13.5">
      <c r="A1802" s="169" t="s">
        <v>2327</v>
      </c>
      <c r="B1802" s="100" t="s">
        <v>4552</v>
      </c>
    </row>
    <row r="1803" spans="1:2" ht="13.5">
      <c r="A1803" s="169" t="s">
        <v>2328</v>
      </c>
      <c r="B1803" s="100" t="s">
        <v>4552</v>
      </c>
    </row>
    <row r="1804" spans="1:2" ht="13.5">
      <c r="A1804" s="169" t="s">
        <v>2329</v>
      </c>
      <c r="B1804" s="100" t="s">
        <v>4552</v>
      </c>
    </row>
    <row r="1805" spans="1:2" ht="13.5">
      <c r="A1805" s="169" t="s">
        <v>2330</v>
      </c>
      <c r="B1805" s="100" t="s">
        <v>4552</v>
      </c>
    </row>
    <row r="1806" spans="1:2" ht="13.5">
      <c r="A1806" s="169" t="s">
        <v>2331</v>
      </c>
      <c r="B1806" s="100" t="s">
        <v>4552</v>
      </c>
    </row>
    <row r="1807" spans="1:2" ht="13.5">
      <c r="A1807" s="169" t="s">
        <v>2332</v>
      </c>
      <c r="B1807" s="100" t="s">
        <v>4552</v>
      </c>
    </row>
    <row r="1808" spans="1:2" ht="13.5">
      <c r="A1808" s="169" t="s">
        <v>2333</v>
      </c>
      <c r="B1808" s="100" t="s">
        <v>4552</v>
      </c>
    </row>
    <row r="1809" spans="1:2" ht="13.5">
      <c r="A1809" s="169" t="s">
        <v>2334</v>
      </c>
      <c r="B1809" s="100" t="s">
        <v>4552</v>
      </c>
    </row>
    <row r="1810" spans="1:2" ht="13.5">
      <c r="A1810" s="169" t="s">
        <v>2335</v>
      </c>
      <c r="B1810" s="100" t="s">
        <v>4552</v>
      </c>
    </row>
    <row r="1811" spans="1:2" ht="13.5">
      <c r="A1811" s="169" t="s">
        <v>2336</v>
      </c>
      <c r="B1811" s="100" t="s">
        <v>4552</v>
      </c>
    </row>
    <row r="1812" spans="1:2" ht="13.5">
      <c r="A1812" s="169" t="s">
        <v>2337</v>
      </c>
      <c r="B1812" s="100" t="s">
        <v>4552</v>
      </c>
    </row>
    <row r="1813" spans="1:2" ht="13.5">
      <c r="A1813" s="169" t="s">
        <v>2338</v>
      </c>
      <c r="B1813" s="100" t="s">
        <v>4552</v>
      </c>
    </row>
    <row r="1814" spans="1:2" ht="13.5">
      <c r="A1814" s="169" t="s">
        <v>2339</v>
      </c>
      <c r="B1814" s="100" t="s">
        <v>4552</v>
      </c>
    </row>
    <row r="1815" spans="1:2" ht="13.5">
      <c r="A1815" s="169" t="s">
        <v>2340</v>
      </c>
      <c r="B1815" s="100" t="s">
        <v>4552</v>
      </c>
    </row>
    <row r="1816" spans="1:2" ht="13.5">
      <c r="A1816" s="169" t="s">
        <v>2341</v>
      </c>
      <c r="B1816" s="100" t="s">
        <v>4552</v>
      </c>
    </row>
    <row r="1817" spans="1:2" ht="13.5">
      <c r="A1817" s="169" t="s">
        <v>2342</v>
      </c>
      <c r="B1817" s="100" t="s">
        <v>4552</v>
      </c>
    </row>
    <row r="1818" spans="1:2" ht="13.5">
      <c r="A1818" s="169" t="s">
        <v>2343</v>
      </c>
      <c r="B1818" s="100" t="s">
        <v>4552</v>
      </c>
    </row>
    <row r="1819" spans="1:2" ht="13.5">
      <c r="A1819" s="169" t="s">
        <v>2344</v>
      </c>
      <c r="B1819" s="100" t="s">
        <v>4552</v>
      </c>
    </row>
    <row r="1820" spans="1:2" ht="13.5">
      <c r="A1820" s="169" t="s">
        <v>2345</v>
      </c>
      <c r="B1820" s="100" t="s">
        <v>4552</v>
      </c>
    </row>
    <row r="1821" spans="1:2" ht="13.5">
      <c r="A1821" s="169" t="s">
        <v>2346</v>
      </c>
      <c r="B1821" s="100" t="s">
        <v>4552</v>
      </c>
    </row>
    <row r="1822" spans="1:2" ht="13.5">
      <c r="A1822" s="169" t="s">
        <v>2347</v>
      </c>
      <c r="B1822" s="100" t="s">
        <v>4552</v>
      </c>
    </row>
    <row r="1823" spans="1:2" ht="13.5">
      <c r="A1823" s="169" t="s">
        <v>2348</v>
      </c>
      <c r="B1823" s="100" t="s">
        <v>4552</v>
      </c>
    </row>
    <row r="1824" spans="1:2" ht="13.5">
      <c r="A1824" s="169" t="s">
        <v>2349</v>
      </c>
      <c r="B1824" s="100" t="s">
        <v>4552</v>
      </c>
    </row>
    <row r="1825" spans="1:2" ht="13.5">
      <c r="A1825" s="169" t="s">
        <v>2350</v>
      </c>
      <c r="B1825" s="100" t="s">
        <v>4552</v>
      </c>
    </row>
    <row r="1826" spans="1:2" ht="13.5">
      <c r="A1826" s="169" t="s">
        <v>2351</v>
      </c>
      <c r="B1826" s="100" t="s">
        <v>4552</v>
      </c>
    </row>
    <row r="1827" spans="1:2" ht="13.5">
      <c r="A1827" s="169" t="s">
        <v>2352</v>
      </c>
      <c r="B1827" s="100" t="s">
        <v>4552</v>
      </c>
    </row>
    <row r="1828" spans="1:2" ht="13.5">
      <c r="A1828" s="169" t="s">
        <v>2353</v>
      </c>
      <c r="B1828" s="100" t="s">
        <v>4552</v>
      </c>
    </row>
    <row r="1829" spans="1:2" ht="13.5">
      <c r="A1829" s="169" t="s">
        <v>2354</v>
      </c>
      <c r="B1829" s="100" t="s">
        <v>4552</v>
      </c>
    </row>
    <row r="1830" spans="1:2" ht="13.5">
      <c r="A1830" s="169" t="s">
        <v>2355</v>
      </c>
      <c r="B1830" s="100" t="s">
        <v>4552</v>
      </c>
    </row>
    <row r="1831" spans="1:2" ht="13.5">
      <c r="A1831" s="169" t="s">
        <v>2356</v>
      </c>
      <c r="B1831" s="100" t="s">
        <v>4552</v>
      </c>
    </row>
    <row r="1832" spans="1:2" ht="13.5">
      <c r="A1832" s="169" t="s">
        <v>2357</v>
      </c>
      <c r="B1832" s="100" t="s">
        <v>4552</v>
      </c>
    </row>
    <row r="1833" spans="1:2" ht="13.5">
      <c r="A1833" s="169" t="s">
        <v>2358</v>
      </c>
      <c r="B1833" s="100" t="s">
        <v>4552</v>
      </c>
    </row>
    <row r="1834" spans="1:2" ht="13.5">
      <c r="A1834" s="169" t="s">
        <v>2359</v>
      </c>
      <c r="B1834" s="100" t="s">
        <v>4552</v>
      </c>
    </row>
    <row r="1835" spans="1:2" ht="13.5">
      <c r="A1835" s="169" t="s">
        <v>2360</v>
      </c>
      <c r="B1835" s="100" t="s">
        <v>4552</v>
      </c>
    </row>
    <row r="1836" spans="1:2" ht="13.5">
      <c r="A1836" s="169" t="s">
        <v>2361</v>
      </c>
      <c r="B1836" s="100" t="s">
        <v>4552</v>
      </c>
    </row>
    <row r="1837" spans="1:2" ht="13.5">
      <c r="A1837" s="169" t="s">
        <v>2362</v>
      </c>
      <c r="B1837" s="100" t="s">
        <v>4552</v>
      </c>
    </row>
    <row r="1838" spans="1:2" ht="13.5">
      <c r="A1838" s="169" t="s">
        <v>2363</v>
      </c>
      <c r="B1838" s="100" t="s">
        <v>4552</v>
      </c>
    </row>
    <row r="1839" spans="1:2" ht="13.5">
      <c r="A1839" s="169" t="s">
        <v>2364</v>
      </c>
      <c r="B1839" s="100" t="s">
        <v>4552</v>
      </c>
    </row>
    <row r="1840" spans="1:2" ht="13.5">
      <c r="A1840" s="169" t="s">
        <v>2365</v>
      </c>
      <c r="B1840" s="100" t="s">
        <v>4552</v>
      </c>
    </row>
    <row r="1841" spans="1:2" ht="13.5">
      <c r="A1841" s="169" t="s">
        <v>2366</v>
      </c>
      <c r="B1841" s="100" t="s">
        <v>4552</v>
      </c>
    </row>
    <row r="1842" spans="1:2" ht="13.5">
      <c r="A1842" s="169" t="s">
        <v>2367</v>
      </c>
      <c r="B1842" s="100" t="s">
        <v>4552</v>
      </c>
    </row>
    <row r="1843" spans="1:2" ht="13.5">
      <c r="A1843" s="169" t="s">
        <v>2368</v>
      </c>
      <c r="B1843" s="100" t="s">
        <v>4552</v>
      </c>
    </row>
    <row r="1844" spans="1:2" ht="13.5">
      <c r="A1844" s="169" t="s">
        <v>2369</v>
      </c>
      <c r="B1844" s="100" t="s">
        <v>4552</v>
      </c>
    </row>
    <row r="1845" spans="1:2" ht="13.5">
      <c r="A1845" s="169" t="s">
        <v>2370</v>
      </c>
      <c r="B1845" s="100" t="s">
        <v>4552</v>
      </c>
    </row>
    <row r="1846" spans="1:2" ht="13.5">
      <c r="A1846" s="169" t="s">
        <v>2371</v>
      </c>
      <c r="B1846" s="100" t="s">
        <v>4552</v>
      </c>
    </row>
    <row r="1847" spans="1:2" ht="13.5">
      <c r="A1847" s="169" t="s">
        <v>2372</v>
      </c>
      <c r="B1847" s="100" t="s">
        <v>4552</v>
      </c>
    </row>
    <row r="1848" spans="1:2" ht="13.5">
      <c r="A1848" s="169" t="s">
        <v>2373</v>
      </c>
      <c r="B1848" s="100" t="s">
        <v>4552</v>
      </c>
    </row>
    <row r="1849" spans="1:2" ht="13.5">
      <c r="A1849" s="169" t="s">
        <v>2374</v>
      </c>
      <c r="B1849" s="100" t="s">
        <v>4552</v>
      </c>
    </row>
    <row r="1850" spans="1:2" ht="13.5">
      <c r="A1850" s="169" t="s">
        <v>2375</v>
      </c>
      <c r="B1850" s="100" t="s">
        <v>4552</v>
      </c>
    </row>
    <row r="1851" spans="1:2" ht="13.5">
      <c r="A1851" s="169" t="s">
        <v>2376</v>
      </c>
      <c r="B1851" s="100" t="s">
        <v>4552</v>
      </c>
    </row>
    <row r="1852" spans="1:2" ht="13.5">
      <c r="A1852" s="169" t="s">
        <v>2377</v>
      </c>
      <c r="B1852" s="100" t="s">
        <v>4552</v>
      </c>
    </row>
    <row r="1853" spans="1:2" ht="13.5">
      <c r="A1853" s="169" t="s">
        <v>2378</v>
      </c>
      <c r="B1853" s="100" t="s">
        <v>4552</v>
      </c>
    </row>
    <row r="1854" spans="1:2" ht="13.5">
      <c r="A1854" s="169" t="s">
        <v>2379</v>
      </c>
      <c r="B1854" s="100" t="s">
        <v>4552</v>
      </c>
    </row>
    <row r="1855" spans="1:2" ht="13.5">
      <c r="A1855" s="169" t="s">
        <v>2380</v>
      </c>
      <c r="B1855" s="100" t="s">
        <v>4552</v>
      </c>
    </row>
    <row r="1856" spans="1:2" ht="13.5">
      <c r="A1856" s="169" t="s">
        <v>2381</v>
      </c>
      <c r="B1856" s="100" t="s">
        <v>4552</v>
      </c>
    </row>
    <row r="1857" spans="1:2" ht="13.5">
      <c r="A1857" s="169" t="s">
        <v>2382</v>
      </c>
      <c r="B1857" s="100" t="s">
        <v>4552</v>
      </c>
    </row>
    <row r="1858" spans="1:2" ht="13.5">
      <c r="A1858" s="169" t="s">
        <v>2383</v>
      </c>
      <c r="B1858" s="100" t="s">
        <v>4552</v>
      </c>
    </row>
    <row r="1859" spans="1:2" ht="13.5">
      <c r="A1859" s="169" t="s">
        <v>2384</v>
      </c>
      <c r="B1859" s="100" t="s">
        <v>4552</v>
      </c>
    </row>
    <row r="1860" spans="1:2" ht="13.5">
      <c r="A1860" s="169" t="s">
        <v>2385</v>
      </c>
      <c r="B1860" s="100" t="s">
        <v>4552</v>
      </c>
    </row>
    <row r="1861" spans="1:2" ht="13.5">
      <c r="A1861" s="169" t="s">
        <v>2386</v>
      </c>
      <c r="B1861" s="100" t="s">
        <v>4552</v>
      </c>
    </row>
    <row r="1862" spans="1:2" ht="13.5">
      <c r="A1862" s="169" t="s">
        <v>2387</v>
      </c>
      <c r="B1862" s="100" t="s">
        <v>4552</v>
      </c>
    </row>
    <row r="1863" spans="1:2" ht="13.5">
      <c r="A1863" s="169" t="s">
        <v>2388</v>
      </c>
      <c r="B1863" s="100" t="s">
        <v>4552</v>
      </c>
    </row>
    <row r="1864" spans="1:2" ht="13.5">
      <c r="A1864" s="169" t="s">
        <v>2389</v>
      </c>
      <c r="B1864" s="100" t="s">
        <v>4552</v>
      </c>
    </row>
    <row r="1865" spans="1:2" ht="13.5">
      <c r="A1865" s="169" t="s">
        <v>2390</v>
      </c>
      <c r="B1865" s="100" t="s">
        <v>4552</v>
      </c>
    </row>
    <row r="1866" spans="1:2" ht="13.5">
      <c r="A1866" s="169" t="s">
        <v>2391</v>
      </c>
      <c r="B1866" s="100" t="s">
        <v>4552</v>
      </c>
    </row>
    <row r="1867" spans="1:2" ht="13.5">
      <c r="A1867" s="169" t="s">
        <v>2392</v>
      </c>
      <c r="B1867" s="100" t="s">
        <v>4552</v>
      </c>
    </row>
    <row r="1868" spans="1:2" ht="13.5">
      <c r="A1868" s="169" t="s">
        <v>2393</v>
      </c>
      <c r="B1868" s="100" t="s">
        <v>4552</v>
      </c>
    </row>
    <row r="1869" spans="1:2" ht="13.5">
      <c r="A1869" s="169" t="s">
        <v>2394</v>
      </c>
      <c r="B1869" s="100" t="s">
        <v>4552</v>
      </c>
    </row>
    <row r="1870" spans="1:2" ht="13.5">
      <c r="A1870" s="169" t="s">
        <v>2395</v>
      </c>
      <c r="B1870" s="100" t="s">
        <v>4552</v>
      </c>
    </row>
    <row r="1871" spans="1:2" ht="13.5">
      <c r="A1871" s="169" t="s">
        <v>2396</v>
      </c>
      <c r="B1871" s="100" t="s">
        <v>4552</v>
      </c>
    </row>
    <row r="1872" spans="1:2" ht="13.5">
      <c r="A1872" s="169" t="s">
        <v>2397</v>
      </c>
      <c r="B1872" s="100" t="s">
        <v>4552</v>
      </c>
    </row>
    <row r="1873" spans="1:2" ht="13.5">
      <c r="A1873" s="169" t="s">
        <v>2398</v>
      </c>
      <c r="B1873" s="100" t="s">
        <v>4552</v>
      </c>
    </row>
    <row r="1874" spans="1:2" ht="13.5">
      <c r="A1874" s="169" t="s">
        <v>2399</v>
      </c>
      <c r="B1874" s="100" t="s">
        <v>4552</v>
      </c>
    </row>
    <row r="1875" spans="1:2" ht="13.5">
      <c r="A1875" s="169" t="s">
        <v>2400</v>
      </c>
      <c r="B1875" s="100" t="s">
        <v>4552</v>
      </c>
    </row>
    <row r="1876" spans="1:2" ht="13.5">
      <c r="A1876" s="169" t="s">
        <v>2401</v>
      </c>
      <c r="B1876" s="100" t="s">
        <v>4552</v>
      </c>
    </row>
    <row r="1877" spans="1:2" ht="13.5">
      <c r="A1877" s="169" t="s">
        <v>2402</v>
      </c>
      <c r="B1877" s="100" t="s">
        <v>4552</v>
      </c>
    </row>
    <row r="1878" spans="1:2" ht="13.5">
      <c r="A1878" s="169" t="s">
        <v>2403</v>
      </c>
      <c r="B1878" s="100" t="s">
        <v>4552</v>
      </c>
    </row>
    <row r="1879" spans="1:2" ht="13.5">
      <c r="A1879" s="169" t="s">
        <v>2404</v>
      </c>
      <c r="B1879" s="100" t="s">
        <v>4552</v>
      </c>
    </row>
    <row r="1880" spans="1:2" ht="13.5">
      <c r="A1880" s="169" t="s">
        <v>2405</v>
      </c>
      <c r="B1880" s="100" t="s">
        <v>4552</v>
      </c>
    </row>
    <row r="1881" spans="1:2" ht="13.5">
      <c r="A1881" s="169" t="s">
        <v>2406</v>
      </c>
      <c r="B1881" s="100" t="s">
        <v>4552</v>
      </c>
    </row>
    <row r="1882" spans="1:2" ht="13.5">
      <c r="A1882" s="169" t="s">
        <v>2407</v>
      </c>
      <c r="B1882" s="100" t="s">
        <v>4552</v>
      </c>
    </row>
    <row r="1883" spans="1:2" ht="13.5">
      <c r="A1883" s="169" t="s">
        <v>2408</v>
      </c>
      <c r="B1883" s="100" t="s">
        <v>4552</v>
      </c>
    </row>
    <row r="1884" spans="1:2" ht="13.5">
      <c r="A1884" s="169" t="s">
        <v>2409</v>
      </c>
      <c r="B1884" s="100" t="s">
        <v>4552</v>
      </c>
    </row>
    <row r="1885" spans="1:2" ht="13.5">
      <c r="A1885" s="169" t="s">
        <v>2410</v>
      </c>
      <c r="B1885" s="100" t="s">
        <v>4552</v>
      </c>
    </row>
    <row r="1886" spans="1:2" ht="13.5">
      <c r="A1886" s="169" t="s">
        <v>2411</v>
      </c>
      <c r="B1886" s="100" t="s">
        <v>4552</v>
      </c>
    </row>
    <row r="1887" spans="1:2" ht="13.5">
      <c r="A1887" s="169" t="s">
        <v>2412</v>
      </c>
      <c r="B1887" s="100" t="s">
        <v>4552</v>
      </c>
    </row>
    <row r="1888" spans="1:2" ht="13.5">
      <c r="A1888" s="169" t="s">
        <v>2413</v>
      </c>
      <c r="B1888" s="100" t="s">
        <v>4552</v>
      </c>
    </row>
    <row r="1889" spans="1:2" ht="13.5">
      <c r="A1889" s="169" t="s">
        <v>2414</v>
      </c>
      <c r="B1889" s="100" t="s">
        <v>4552</v>
      </c>
    </row>
    <row r="1890" spans="1:2" ht="13.5">
      <c r="A1890" s="169" t="s">
        <v>2415</v>
      </c>
      <c r="B1890" s="100" t="s">
        <v>4552</v>
      </c>
    </row>
    <row r="1891" spans="1:2" ht="13.5">
      <c r="A1891" s="169" t="s">
        <v>2416</v>
      </c>
      <c r="B1891" s="100" t="s">
        <v>4552</v>
      </c>
    </row>
    <row r="1892" spans="1:2" ht="13.5">
      <c r="A1892" s="169" t="s">
        <v>2417</v>
      </c>
      <c r="B1892" s="100" t="s">
        <v>4552</v>
      </c>
    </row>
    <row r="1893" spans="1:2" ht="13.5">
      <c r="A1893" s="169" t="s">
        <v>2418</v>
      </c>
      <c r="B1893" s="100" t="s">
        <v>4552</v>
      </c>
    </row>
    <row r="1894" spans="1:2" ht="13.5">
      <c r="A1894" s="169" t="s">
        <v>2419</v>
      </c>
      <c r="B1894" s="100" t="s">
        <v>4552</v>
      </c>
    </row>
    <row r="1895" spans="1:2" ht="13.5">
      <c r="A1895" s="169" t="s">
        <v>2420</v>
      </c>
      <c r="B1895" s="100" t="s">
        <v>4552</v>
      </c>
    </row>
    <row r="1896" spans="1:2" ht="13.5">
      <c r="A1896" s="169" t="s">
        <v>2421</v>
      </c>
      <c r="B1896" s="100" t="s">
        <v>4552</v>
      </c>
    </row>
    <row r="1897" spans="1:2" ht="13.5">
      <c r="A1897" s="169" t="s">
        <v>2422</v>
      </c>
      <c r="B1897" s="100" t="s">
        <v>4552</v>
      </c>
    </row>
    <row r="1898" spans="1:2" ht="13.5">
      <c r="A1898" s="169" t="s">
        <v>2423</v>
      </c>
      <c r="B1898" s="100" t="s">
        <v>4552</v>
      </c>
    </row>
    <row r="1899" spans="1:2" ht="13.5">
      <c r="A1899" s="169" t="s">
        <v>2424</v>
      </c>
      <c r="B1899" s="100" t="s">
        <v>4552</v>
      </c>
    </row>
    <row r="1900" spans="1:2" ht="13.5">
      <c r="A1900" s="169" t="s">
        <v>2425</v>
      </c>
      <c r="B1900" s="100" t="s">
        <v>4552</v>
      </c>
    </row>
    <row r="1901" spans="1:2" ht="13.5">
      <c r="A1901" s="169" t="s">
        <v>2426</v>
      </c>
      <c r="B1901" s="100" t="s">
        <v>4552</v>
      </c>
    </row>
    <row r="1902" spans="1:2" ht="13.5">
      <c r="A1902" s="169" t="s">
        <v>2427</v>
      </c>
      <c r="B1902" s="100" t="s">
        <v>4552</v>
      </c>
    </row>
    <row r="1903" spans="1:2" ht="13.5">
      <c r="A1903" s="169" t="s">
        <v>2428</v>
      </c>
      <c r="B1903" s="100" t="s">
        <v>4552</v>
      </c>
    </row>
    <row r="1904" spans="1:2" ht="13.5">
      <c r="A1904" s="169" t="s">
        <v>2429</v>
      </c>
      <c r="B1904" s="100" t="s">
        <v>4552</v>
      </c>
    </row>
    <row r="1905" spans="1:2" ht="13.5">
      <c r="A1905" s="169" t="s">
        <v>2430</v>
      </c>
      <c r="B1905" s="100" t="s">
        <v>4552</v>
      </c>
    </row>
    <row r="1906" spans="1:2" ht="13.5">
      <c r="A1906" s="169" t="s">
        <v>2431</v>
      </c>
      <c r="B1906" s="100" t="s">
        <v>4552</v>
      </c>
    </row>
    <row r="1907" spans="1:2" ht="13.5">
      <c r="A1907" s="169" t="s">
        <v>2432</v>
      </c>
      <c r="B1907" s="100" t="s">
        <v>4552</v>
      </c>
    </row>
    <row r="1908" spans="1:2" ht="13.5">
      <c r="A1908" s="169" t="s">
        <v>2433</v>
      </c>
      <c r="B1908" s="100" t="s">
        <v>4552</v>
      </c>
    </row>
    <row r="1909" spans="1:2" ht="13.5">
      <c r="A1909" s="169" t="s">
        <v>2434</v>
      </c>
      <c r="B1909" s="100" t="s">
        <v>4552</v>
      </c>
    </row>
    <row r="1910" spans="1:2" ht="13.5">
      <c r="A1910" s="169" t="s">
        <v>2435</v>
      </c>
      <c r="B1910" s="100" t="s">
        <v>4552</v>
      </c>
    </row>
    <row r="1911" spans="1:2" ht="13.5">
      <c r="A1911" s="169" t="s">
        <v>2436</v>
      </c>
      <c r="B1911" s="100" t="s">
        <v>4552</v>
      </c>
    </row>
    <row r="1912" spans="1:2" ht="13.5">
      <c r="A1912" s="169" t="s">
        <v>2437</v>
      </c>
      <c r="B1912" s="100" t="s">
        <v>4552</v>
      </c>
    </row>
    <row r="1913" spans="1:2" ht="13.5">
      <c r="A1913" s="169" t="s">
        <v>2438</v>
      </c>
      <c r="B1913" s="100" t="s">
        <v>4552</v>
      </c>
    </row>
    <row r="1914" spans="1:2" ht="13.5">
      <c r="A1914" s="169" t="s">
        <v>2439</v>
      </c>
      <c r="B1914" s="100" t="s">
        <v>4552</v>
      </c>
    </row>
    <row r="1915" spans="1:2" ht="13.5">
      <c r="A1915" s="169" t="s">
        <v>2440</v>
      </c>
      <c r="B1915" s="100" t="s">
        <v>4552</v>
      </c>
    </row>
    <row r="1916" spans="1:2" ht="13.5">
      <c r="A1916" s="169" t="s">
        <v>2441</v>
      </c>
      <c r="B1916" s="100" t="s">
        <v>4552</v>
      </c>
    </row>
    <row r="1917" spans="1:2" ht="13.5">
      <c r="A1917" s="169" t="s">
        <v>2442</v>
      </c>
      <c r="B1917" s="100" t="s">
        <v>4552</v>
      </c>
    </row>
    <row r="1918" spans="1:2" ht="13.5">
      <c r="A1918" s="169" t="s">
        <v>2443</v>
      </c>
      <c r="B1918" s="100" t="s">
        <v>4552</v>
      </c>
    </row>
    <row r="1919" spans="1:2" ht="13.5">
      <c r="A1919" s="169" t="s">
        <v>2444</v>
      </c>
      <c r="B1919" s="100" t="s">
        <v>4552</v>
      </c>
    </row>
    <row r="1920" spans="1:2" ht="13.5">
      <c r="A1920" s="169" t="s">
        <v>2445</v>
      </c>
      <c r="B1920" s="100" t="s">
        <v>4552</v>
      </c>
    </row>
    <row r="1921" spans="1:2" ht="13.5">
      <c r="A1921" s="169" t="s">
        <v>2446</v>
      </c>
      <c r="B1921" s="100" t="s">
        <v>4552</v>
      </c>
    </row>
    <row r="1922" spans="1:2" ht="13.5">
      <c r="A1922" s="169" t="s">
        <v>2447</v>
      </c>
      <c r="B1922" s="100" t="s">
        <v>4552</v>
      </c>
    </row>
    <row r="1923" spans="1:2" ht="13.5">
      <c r="A1923" s="169" t="s">
        <v>2448</v>
      </c>
      <c r="B1923" s="100" t="s">
        <v>4552</v>
      </c>
    </row>
    <row r="1924" spans="1:2" ht="13.5">
      <c r="A1924" s="169" t="s">
        <v>2449</v>
      </c>
      <c r="B1924" s="100" t="s">
        <v>4552</v>
      </c>
    </row>
    <row r="1925" spans="1:2" ht="13.5">
      <c r="A1925" s="169" t="s">
        <v>2450</v>
      </c>
      <c r="B1925" s="100" t="s">
        <v>4552</v>
      </c>
    </row>
    <row r="1926" spans="1:2" ht="13.5">
      <c r="A1926" s="169" t="s">
        <v>2451</v>
      </c>
      <c r="B1926" s="100" t="s">
        <v>4552</v>
      </c>
    </row>
    <row r="1927" spans="1:2" ht="13.5">
      <c r="A1927" s="169" t="s">
        <v>2452</v>
      </c>
      <c r="B1927" s="100" t="s">
        <v>4552</v>
      </c>
    </row>
    <row r="1928" spans="1:2" ht="13.5">
      <c r="A1928" s="169" t="s">
        <v>2453</v>
      </c>
      <c r="B1928" s="100" t="s">
        <v>4552</v>
      </c>
    </row>
    <row r="1929" spans="1:2" ht="13.5">
      <c r="A1929" s="169" t="s">
        <v>2454</v>
      </c>
      <c r="B1929" s="100" t="s">
        <v>4552</v>
      </c>
    </row>
    <row r="1930" spans="1:2" ht="13.5">
      <c r="A1930" s="169" t="s">
        <v>2455</v>
      </c>
      <c r="B1930" s="100" t="s">
        <v>4552</v>
      </c>
    </row>
    <row r="1931" spans="1:2" ht="13.5">
      <c r="A1931" s="169" t="s">
        <v>2456</v>
      </c>
      <c r="B1931" s="100" t="s">
        <v>4552</v>
      </c>
    </row>
    <row r="1932" spans="1:2" ht="13.5">
      <c r="A1932" s="169" t="s">
        <v>2457</v>
      </c>
      <c r="B1932" s="100" t="s">
        <v>4552</v>
      </c>
    </row>
    <row r="1933" spans="1:2" ht="13.5">
      <c r="A1933" s="169" t="s">
        <v>2458</v>
      </c>
      <c r="B1933" s="100" t="s">
        <v>4552</v>
      </c>
    </row>
    <row r="1934" spans="1:2" ht="13.5">
      <c r="A1934" s="169" t="s">
        <v>2459</v>
      </c>
      <c r="B1934" s="100" t="s">
        <v>4552</v>
      </c>
    </row>
    <row r="1935" spans="1:2" ht="13.5">
      <c r="A1935" s="169" t="s">
        <v>2460</v>
      </c>
      <c r="B1935" s="100" t="s">
        <v>4552</v>
      </c>
    </row>
    <row r="1936" spans="1:2" ht="13.5">
      <c r="A1936" s="169" t="s">
        <v>2461</v>
      </c>
      <c r="B1936" s="100" t="s">
        <v>4552</v>
      </c>
    </row>
    <row r="1937" spans="1:2" ht="13.5">
      <c r="A1937" s="169" t="s">
        <v>2462</v>
      </c>
      <c r="B1937" s="100" t="s">
        <v>4552</v>
      </c>
    </row>
    <row r="1938" spans="1:2" ht="13.5">
      <c r="A1938" s="169" t="s">
        <v>2463</v>
      </c>
      <c r="B1938" s="100" t="s">
        <v>4552</v>
      </c>
    </row>
    <row r="1939" spans="1:2" ht="13.5">
      <c r="A1939" s="169" t="s">
        <v>2464</v>
      </c>
      <c r="B1939" s="100" t="s">
        <v>4552</v>
      </c>
    </row>
    <row r="1940" spans="1:2" ht="13.5">
      <c r="A1940" s="169" t="s">
        <v>2465</v>
      </c>
      <c r="B1940" s="100" t="s">
        <v>4552</v>
      </c>
    </row>
    <row r="1941" spans="1:2" ht="13.5">
      <c r="A1941" s="169" t="s">
        <v>2466</v>
      </c>
      <c r="B1941" s="100" t="s">
        <v>4564</v>
      </c>
    </row>
    <row r="1942" spans="1:2" ht="13.5">
      <c r="A1942" s="169" t="s">
        <v>2467</v>
      </c>
      <c r="B1942" s="100" t="s">
        <v>4552</v>
      </c>
    </row>
    <row r="1943" spans="1:2" ht="13.5">
      <c r="A1943" s="169" t="s">
        <v>2468</v>
      </c>
      <c r="B1943" s="100" t="s">
        <v>4556</v>
      </c>
    </row>
    <row r="1944" spans="1:2" ht="13.5">
      <c r="A1944" s="169" t="s">
        <v>2469</v>
      </c>
      <c r="B1944" s="100" t="s">
        <v>4552</v>
      </c>
    </row>
    <row r="1945" spans="1:2" ht="13.5">
      <c r="A1945" s="169" t="s">
        <v>2470</v>
      </c>
      <c r="B1945" s="100" t="s">
        <v>4552</v>
      </c>
    </row>
    <row r="1946" spans="1:2" ht="13.5">
      <c r="A1946" s="169" t="s">
        <v>2471</v>
      </c>
      <c r="B1946" s="100" t="s">
        <v>4552</v>
      </c>
    </row>
    <row r="1947" spans="1:2" ht="13.5">
      <c r="A1947" s="169" t="s">
        <v>2472</v>
      </c>
      <c r="B1947" s="100" t="s">
        <v>4552</v>
      </c>
    </row>
    <row r="1948" spans="1:2" ht="13.5">
      <c r="A1948" s="169" t="s">
        <v>2473</v>
      </c>
      <c r="B1948" s="100" t="s">
        <v>4552</v>
      </c>
    </row>
    <row r="1949" spans="1:2" ht="13.5">
      <c r="A1949" s="169" t="s">
        <v>2474</v>
      </c>
      <c r="B1949" s="100" t="s">
        <v>4552</v>
      </c>
    </row>
    <row r="1950" spans="1:2" ht="13.5">
      <c r="A1950" s="168" t="s">
        <v>2475</v>
      </c>
      <c r="B1950" s="100" t="s">
        <v>4558</v>
      </c>
    </row>
    <row r="1951" spans="1:2" ht="13.5">
      <c r="A1951" s="169" t="s">
        <v>2476</v>
      </c>
      <c r="B1951" s="100" t="s">
        <v>4552</v>
      </c>
    </row>
    <row r="1952" spans="1:2" ht="13.5">
      <c r="A1952" s="169" t="s">
        <v>2477</v>
      </c>
      <c r="B1952" s="100" t="s">
        <v>4552</v>
      </c>
    </row>
    <row r="1953" spans="1:2" ht="13.5">
      <c r="A1953" s="169" t="s">
        <v>2478</v>
      </c>
      <c r="B1953" s="100" t="s">
        <v>4552</v>
      </c>
    </row>
    <row r="1954" spans="1:2" ht="13.5">
      <c r="A1954" s="169" t="s">
        <v>2479</v>
      </c>
      <c r="B1954" s="100" t="s">
        <v>4552</v>
      </c>
    </row>
    <row r="1955" spans="1:2" ht="13.5">
      <c r="A1955" s="169" t="s">
        <v>2480</v>
      </c>
      <c r="B1955" s="100" t="s">
        <v>4552</v>
      </c>
    </row>
    <row r="1956" spans="1:2" ht="13.5">
      <c r="A1956" s="169" t="s">
        <v>2481</v>
      </c>
      <c r="B1956" s="100" t="s">
        <v>4552</v>
      </c>
    </row>
    <row r="1957" spans="1:2" ht="13.5">
      <c r="A1957" s="169" t="s">
        <v>2482</v>
      </c>
      <c r="B1957" s="100" t="s">
        <v>4552</v>
      </c>
    </row>
    <row r="1958" spans="1:2" ht="13.5">
      <c r="A1958" s="169" t="s">
        <v>2483</v>
      </c>
      <c r="B1958" s="100" t="s">
        <v>4552</v>
      </c>
    </row>
    <row r="1959" spans="1:2" ht="13.5">
      <c r="A1959" s="169" t="s">
        <v>2484</v>
      </c>
      <c r="B1959" s="100" t="s">
        <v>4552</v>
      </c>
    </row>
    <row r="1960" spans="1:2" ht="13.5">
      <c r="A1960" s="169" t="s">
        <v>2485</v>
      </c>
      <c r="B1960" s="100" t="s">
        <v>4552</v>
      </c>
    </row>
    <row r="1961" spans="1:2" ht="13.5">
      <c r="A1961" s="169" t="s">
        <v>2486</v>
      </c>
      <c r="B1961" s="100" t="s">
        <v>4552</v>
      </c>
    </row>
    <row r="1962" spans="1:2" ht="13.5">
      <c r="A1962" s="169" t="s">
        <v>2487</v>
      </c>
      <c r="B1962" s="100" t="s">
        <v>4552</v>
      </c>
    </row>
    <row r="1963" spans="1:2" ht="13.5">
      <c r="A1963" s="169" t="s">
        <v>2488</v>
      </c>
      <c r="B1963" s="100" t="s">
        <v>4552</v>
      </c>
    </row>
    <row r="1964" spans="1:2" ht="13.5">
      <c r="A1964" s="169" t="s">
        <v>2489</v>
      </c>
      <c r="B1964" s="100" t="s">
        <v>4552</v>
      </c>
    </row>
    <row r="1965" spans="1:2" ht="13.5">
      <c r="A1965" s="169" t="s">
        <v>2490</v>
      </c>
      <c r="B1965" s="100" t="s">
        <v>4552</v>
      </c>
    </row>
    <row r="1966" spans="1:2" ht="13.5">
      <c r="A1966" s="169" t="s">
        <v>2491</v>
      </c>
      <c r="B1966" s="100" t="s">
        <v>4552</v>
      </c>
    </row>
    <row r="1967" spans="1:2" ht="13.5">
      <c r="A1967" s="169" t="s">
        <v>2492</v>
      </c>
      <c r="B1967" s="100" t="s">
        <v>4552</v>
      </c>
    </row>
    <row r="1968" spans="1:2" ht="13.5">
      <c r="A1968" s="169" t="s">
        <v>2493</v>
      </c>
      <c r="B1968" s="100" t="s">
        <v>4552</v>
      </c>
    </row>
    <row r="1969" spans="1:2" ht="13.5">
      <c r="A1969" s="169" t="s">
        <v>2494</v>
      </c>
      <c r="B1969" s="100" t="s">
        <v>4552</v>
      </c>
    </row>
    <row r="1970" spans="1:2" ht="13.5">
      <c r="A1970" s="169" t="s">
        <v>2495</v>
      </c>
      <c r="B1970" s="100" t="s">
        <v>4552</v>
      </c>
    </row>
    <row r="1971" spans="1:2" ht="13.5">
      <c r="A1971" s="169" t="s">
        <v>2496</v>
      </c>
      <c r="B1971" s="100" t="s">
        <v>4552</v>
      </c>
    </row>
    <row r="1972" spans="1:2" ht="13.5">
      <c r="A1972" s="169" t="s">
        <v>2497</v>
      </c>
      <c r="B1972" s="100" t="s">
        <v>4552</v>
      </c>
    </row>
    <row r="1973" spans="1:2" ht="13.5">
      <c r="A1973" s="169" t="s">
        <v>2498</v>
      </c>
      <c r="B1973" s="100" t="s">
        <v>4556</v>
      </c>
    </row>
    <row r="1974" spans="1:2" ht="13.5">
      <c r="A1974" s="169" t="s">
        <v>2499</v>
      </c>
      <c r="B1974" s="100" t="s">
        <v>4556</v>
      </c>
    </row>
    <row r="1975" spans="1:2" ht="13.5">
      <c r="A1975" s="169" t="s">
        <v>2500</v>
      </c>
      <c r="B1975" s="100" t="s">
        <v>4556</v>
      </c>
    </row>
    <row r="1976" spans="1:2" ht="13.5">
      <c r="A1976" s="168" t="s">
        <v>2501</v>
      </c>
      <c r="B1976" s="100" t="s">
        <v>4558</v>
      </c>
    </row>
    <row r="1977" spans="1:2" ht="13.5">
      <c r="A1977" s="169" t="s">
        <v>2502</v>
      </c>
      <c r="B1977" s="100" t="s">
        <v>4552</v>
      </c>
    </row>
    <row r="1978" spans="1:2" ht="13.5">
      <c r="A1978" s="169" t="s">
        <v>2503</v>
      </c>
      <c r="B1978" s="100" t="s">
        <v>4552</v>
      </c>
    </row>
    <row r="1979" spans="1:2" ht="13.5">
      <c r="A1979" s="169" t="s">
        <v>2504</v>
      </c>
      <c r="B1979" s="100" t="s">
        <v>4552</v>
      </c>
    </row>
    <row r="1980" spans="1:2" ht="13.5">
      <c r="A1980" s="169" t="s">
        <v>2505</v>
      </c>
      <c r="B1980" s="100" t="s">
        <v>4552</v>
      </c>
    </row>
    <row r="1981" spans="1:2" ht="13.5">
      <c r="A1981" s="169" t="s">
        <v>2506</v>
      </c>
      <c r="B1981" s="100" t="s">
        <v>4552</v>
      </c>
    </row>
    <row r="1982" spans="1:2" ht="13.5">
      <c r="A1982" s="169" t="s">
        <v>2507</v>
      </c>
      <c r="B1982" s="100" t="s">
        <v>4552</v>
      </c>
    </row>
    <row r="1983" spans="1:2" ht="13.5">
      <c r="A1983" s="169" t="s">
        <v>2508</v>
      </c>
      <c r="B1983" s="100" t="s">
        <v>4552</v>
      </c>
    </row>
    <row r="1984" spans="1:2" ht="13.5">
      <c r="A1984" s="169" t="s">
        <v>2509</v>
      </c>
      <c r="B1984" s="100" t="s">
        <v>4552</v>
      </c>
    </row>
    <row r="1985" spans="1:2" ht="13.5">
      <c r="A1985" s="169" t="s">
        <v>2510</v>
      </c>
      <c r="B1985" s="100" t="s">
        <v>4552</v>
      </c>
    </row>
    <row r="1986" spans="1:2" ht="13.5">
      <c r="A1986" s="169" t="s">
        <v>2511</v>
      </c>
      <c r="B1986" s="100" t="s">
        <v>4552</v>
      </c>
    </row>
    <row r="1987" spans="1:2" ht="13.5">
      <c r="A1987" s="169" t="s">
        <v>2512</v>
      </c>
      <c r="B1987" s="100" t="s">
        <v>4552</v>
      </c>
    </row>
    <row r="1988" spans="1:2" ht="13.5">
      <c r="A1988" s="169" t="s">
        <v>2513</v>
      </c>
      <c r="B1988" s="100" t="s">
        <v>4552</v>
      </c>
    </row>
    <row r="1989" spans="1:2" ht="13.5">
      <c r="A1989" s="169" t="s">
        <v>2514</v>
      </c>
      <c r="B1989" s="100" t="s">
        <v>4552</v>
      </c>
    </row>
    <row r="1990" spans="1:2" ht="13.5">
      <c r="A1990" s="169" t="s">
        <v>2515</v>
      </c>
      <c r="B1990" s="100" t="s">
        <v>4552</v>
      </c>
    </row>
    <row r="1991" spans="1:2" ht="13.5">
      <c r="A1991" s="169" t="s">
        <v>2516</v>
      </c>
      <c r="B1991" s="100" t="s">
        <v>4552</v>
      </c>
    </row>
    <row r="1992" spans="1:2" ht="13.5">
      <c r="A1992" s="169" t="s">
        <v>2517</v>
      </c>
      <c r="B1992" s="100" t="s">
        <v>4552</v>
      </c>
    </row>
    <row r="1993" spans="1:2" ht="13.5">
      <c r="A1993" s="169" t="s">
        <v>2518</v>
      </c>
      <c r="B1993" s="100" t="s">
        <v>4552</v>
      </c>
    </row>
    <row r="1994" spans="1:2" ht="13.5">
      <c r="A1994" s="169" t="s">
        <v>2519</v>
      </c>
      <c r="B1994" s="100" t="s">
        <v>4552</v>
      </c>
    </row>
    <row r="1995" spans="1:2" ht="13.5">
      <c r="A1995" s="169" t="s">
        <v>2520</v>
      </c>
      <c r="B1995" s="100" t="s">
        <v>4552</v>
      </c>
    </row>
    <row r="1996" spans="1:2" ht="13.5">
      <c r="A1996" s="169" t="s">
        <v>2521</v>
      </c>
      <c r="B1996" s="100" t="s">
        <v>4552</v>
      </c>
    </row>
    <row r="1997" spans="1:2" ht="13.5">
      <c r="A1997" s="169" t="s">
        <v>2522</v>
      </c>
      <c r="B1997" s="100" t="s">
        <v>4552</v>
      </c>
    </row>
    <row r="1998" spans="1:2" ht="13.5">
      <c r="A1998" s="169" t="s">
        <v>2523</v>
      </c>
      <c r="B1998" s="100" t="s">
        <v>4552</v>
      </c>
    </row>
    <row r="1999" spans="1:2" ht="13.5">
      <c r="A1999" s="169" t="s">
        <v>2524</v>
      </c>
      <c r="B1999" s="100" t="s">
        <v>4552</v>
      </c>
    </row>
    <row r="2000" spans="1:2" ht="13.5">
      <c r="A2000" s="169" t="s">
        <v>2525</v>
      </c>
      <c r="B2000" s="100" t="s">
        <v>4552</v>
      </c>
    </row>
    <row r="2001" spans="1:2" ht="13.5">
      <c r="A2001" s="169" t="s">
        <v>2526</v>
      </c>
      <c r="B2001" s="100" t="s">
        <v>4552</v>
      </c>
    </row>
    <row r="2002" spans="1:2" ht="13.5">
      <c r="A2002" s="169" t="s">
        <v>2527</v>
      </c>
      <c r="B2002" s="100" t="s">
        <v>4552</v>
      </c>
    </row>
    <row r="2003" spans="1:2" ht="13.5">
      <c r="A2003" s="169" t="s">
        <v>2528</v>
      </c>
      <c r="B2003" s="100" t="s">
        <v>4552</v>
      </c>
    </row>
    <row r="2004" spans="1:2" ht="13.5">
      <c r="A2004" s="169" t="s">
        <v>2529</v>
      </c>
      <c r="B2004" s="100" t="s">
        <v>4552</v>
      </c>
    </row>
    <row r="2005" spans="1:2" ht="13.5">
      <c r="A2005" s="169" t="s">
        <v>2530</v>
      </c>
      <c r="B2005" s="100" t="s">
        <v>4552</v>
      </c>
    </row>
    <row r="2006" spans="1:2" ht="13.5">
      <c r="A2006" s="169" t="s">
        <v>2531</v>
      </c>
      <c r="B2006" s="100" t="s">
        <v>4552</v>
      </c>
    </row>
    <row r="2007" spans="1:2" ht="13.5">
      <c r="A2007" s="169" t="s">
        <v>2532</v>
      </c>
      <c r="B2007" s="100" t="s">
        <v>4552</v>
      </c>
    </row>
    <row r="2008" spans="1:2" ht="13.5">
      <c r="A2008" s="169" t="s">
        <v>2533</v>
      </c>
      <c r="B2008" s="100" t="s">
        <v>4552</v>
      </c>
    </row>
    <row r="2009" spans="1:2" ht="13.5">
      <c r="A2009" s="169" t="s">
        <v>2534</v>
      </c>
      <c r="B2009" s="100" t="s">
        <v>4552</v>
      </c>
    </row>
    <row r="2010" spans="1:2" ht="13.5">
      <c r="A2010" s="169" t="s">
        <v>2535</v>
      </c>
      <c r="B2010" s="100" t="s">
        <v>4552</v>
      </c>
    </row>
    <row r="2011" spans="1:2" ht="13.5">
      <c r="A2011" s="168" t="s">
        <v>2536</v>
      </c>
      <c r="B2011" s="100" t="s">
        <v>4558</v>
      </c>
    </row>
    <row r="2012" spans="1:2" ht="13.5">
      <c r="A2012" s="169" t="s">
        <v>2537</v>
      </c>
      <c r="B2012" s="100" t="s">
        <v>4552</v>
      </c>
    </row>
    <row r="2013" spans="1:2" ht="13.5">
      <c r="A2013" s="169" t="s">
        <v>2538</v>
      </c>
      <c r="B2013" s="100" t="s">
        <v>4552</v>
      </c>
    </row>
    <row r="2014" spans="1:2" ht="13.5">
      <c r="A2014" s="169" t="s">
        <v>2539</v>
      </c>
      <c r="B2014" s="100" t="s">
        <v>4552</v>
      </c>
    </row>
    <row r="2015" spans="1:2" ht="13.5">
      <c r="A2015" s="169" t="s">
        <v>2540</v>
      </c>
      <c r="B2015" s="100" t="s">
        <v>4552</v>
      </c>
    </row>
    <row r="2016" spans="1:2" ht="13.5">
      <c r="A2016" s="169" t="s">
        <v>2541</v>
      </c>
      <c r="B2016" s="100" t="s">
        <v>4552</v>
      </c>
    </row>
    <row r="2017" spans="1:2" ht="13.5">
      <c r="A2017" s="169" t="s">
        <v>2542</v>
      </c>
      <c r="B2017" s="100" t="s">
        <v>4552</v>
      </c>
    </row>
    <row r="2018" spans="1:2" ht="13.5">
      <c r="A2018" s="169" t="s">
        <v>2543</v>
      </c>
      <c r="B2018" s="100" t="s">
        <v>4552</v>
      </c>
    </row>
    <row r="2019" spans="1:2" ht="13.5">
      <c r="A2019" s="169" t="s">
        <v>2544</v>
      </c>
      <c r="B2019" s="100" t="s">
        <v>4552</v>
      </c>
    </row>
    <row r="2020" spans="1:2" ht="13.5">
      <c r="A2020" s="169" t="s">
        <v>2545</v>
      </c>
      <c r="B2020" s="100" t="s">
        <v>4552</v>
      </c>
    </row>
    <row r="2021" spans="1:2" ht="13.5">
      <c r="A2021" s="169" t="s">
        <v>2546</v>
      </c>
      <c r="B2021" s="100" t="s">
        <v>4552</v>
      </c>
    </row>
    <row r="2022" spans="1:2" ht="13.5">
      <c r="A2022" s="169" t="s">
        <v>2547</v>
      </c>
      <c r="B2022" s="100" t="s">
        <v>4552</v>
      </c>
    </row>
    <row r="2023" spans="1:2" ht="13.5">
      <c r="A2023" s="169" t="s">
        <v>2548</v>
      </c>
      <c r="B2023" s="100" t="s">
        <v>4552</v>
      </c>
    </row>
    <row r="2024" spans="1:2" ht="13.5">
      <c r="A2024" s="169" t="s">
        <v>2549</v>
      </c>
      <c r="B2024" s="100" t="s">
        <v>4552</v>
      </c>
    </row>
    <row r="2025" spans="1:2" ht="13.5">
      <c r="A2025" s="169" t="s">
        <v>2550</v>
      </c>
      <c r="B2025" s="100" t="s">
        <v>4552</v>
      </c>
    </row>
    <row r="2026" spans="1:2" ht="13.5">
      <c r="A2026" s="169" t="s">
        <v>2551</v>
      </c>
      <c r="B2026" s="100" t="s">
        <v>4552</v>
      </c>
    </row>
    <row r="2027" spans="1:2" ht="13.5">
      <c r="A2027" s="169" t="s">
        <v>2552</v>
      </c>
      <c r="B2027" s="100" t="s">
        <v>4552</v>
      </c>
    </row>
    <row r="2028" spans="1:2" ht="13.5">
      <c r="A2028" s="169" t="s">
        <v>2553</v>
      </c>
      <c r="B2028" s="100" t="s">
        <v>4552</v>
      </c>
    </row>
    <row r="2029" spans="1:2" ht="13.5">
      <c r="A2029" s="169" t="s">
        <v>2554</v>
      </c>
      <c r="B2029" s="100" t="s">
        <v>4552</v>
      </c>
    </row>
    <row r="2030" spans="1:2" ht="13.5">
      <c r="A2030" s="169" t="s">
        <v>2555</v>
      </c>
      <c r="B2030" s="100" t="s">
        <v>4552</v>
      </c>
    </row>
    <row r="2031" spans="1:2" ht="13.5">
      <c r="A2031" s="169" t="s">
        <v>2556</v>
      </c>
      <c r="B2031" s="100" t="s">
        <v>4552</v>
      </c>
    </row>
    <row r="2032" spans="1:2" ht="13.5">
      <c r="A2032" s="169" t="s">
        <v>2557</v>
      </c>
      <c r="B2032" s="100" t="s">
        <v>4552</v>
      </c>
    </row>
    <row r="2033" spans="1:2" ht="13.5">
      <c r="A2033" s="169" t="s">
        <v>2558</v>
      </c>
      <c r="B2033" s="100" t="s">
        <v>4552</v>
      </c>
    </row>
    <row r="2034" spans="1:2" ht="13.5">
      <c r="A2034" s="169" t="s">
        <v>2559</v>
      </c>
      <c r="B2034" s="100" t="s">
        <v>4552</v>
      </c>
    </row>
    <row r="2035" spans="1:2" ht="13.5">
      <c r="A2035" s="169" t="s">
        <v>2560</v>
      </c>
      <c r="B2035" s="100" t="s">
        <v>4552</v>
      </c>
    </row>
    <row r="2036" spans="1:2" ht="13.5">
      <c r="A2036" s="169" t="s">
        <v>2561</v>
      </c>
      <c r="B2036" s="100" t="s">
        <v>4552</v>
      </c>
    </row>
    <row r="2037" spans="1:2" ht="13.5">
      <c r="A2037" s="169" t="s">
        <v>2562</v>
      </c>
      <c r="B2037" s="100" t="s">
        <v>4552</v>
      </c>
    </row>
    <row r="2038" spans="1:2" ht="13.5">
      <c r="A2038" s="169" t="s">
        <v>2563</v>
      </c>
      <c r="B2038" s="100" t="s">
        <v>4552</v>
      </c>
    </row>
    <row r="2039" spans="1:2" ht="13.5">
      <c r="A2039" s="169" t="s">
        <v>2564</v>
      </c>
      <c r="B2039" s="100" t="s">
        <v>4552</v>
      </c>
    </row>
    <row r="2040" spans="1:2" ht="13.5">
      <c r="A2040" s="169" t="s">
        <v>2565</v>
      </c>
      <c r="B2040" s="100" t="s">
        <v>4552</v>
      </c>
    </row>
    <row r="2041" spans="1:2" ht="13.5">
      <c r="A2041" s="169" t="s">
        <v>2566</v>
      </c>
      <c r="B2041" s="100" t="s">
        <v>4552</v>
      </c>
    </row>
    <row r="2042" spans="1:2" ht="13.5">
      <c r="A2042" s="169" t="s">
        <v>2567</v>
      </c>
      <c r="B2042" s="100" t="s">
        <v>4552</v>
      </c>
    </row>
    <row r="2043" spans="1:2" ht="13.5">
      <c r="A2043" s="169" t="s">
        <v>2568</v>
      </c>
      <c r="B2043" s="100" t="s">
        <v>4552</v>
      </c>
    </row>
    <row r="2044" spans="1:2" ht="13.5">
      <c r="A2044" s="169" t="s">
        <v>2569</v>
      </c>
      <c r="B2044" s="100" t="s">
        <v>4552</v>
      </c>
    </row>
    <row r="2045" spans="1:2" ht="13.5">
      <c r="A2045" s="169" t="s">
        <v>2570</v>
      </c>
      <c r="B2045" s="100" t="s">
        <v>4552</v>
      </c>
    </row>
    <row r="2046" spans="1:2" ht="13.5">
      <c r="A2046" s="169" t="s">
        <v>2571</v>
      </c>
      <c r="B2046" s="100" t="s">
        <v>4552</v>
      </c>
    </row>
    <row r="2047" spans="1:2" ht="13.5">
      <c r="A2047" s="169" t="s">
        <v>2572</v>
      </c>
      <c r="B2047" s="100" t="s">
        <v>4552</v>
      </c>
    </row>
    <row r="2048" spans="1:2" ht="13.5">
      <c r="A2048" s="169" t="s">
        <v>2573</v>
      </c>
      <c r="B2048" s="100" t="s">
        <v>4552</v>
      </c>
    </row>
    <row r="2049" spans="1:2" ht="13.5">
      <c r="A2049" s="169" t="s">
        <v>2574</v>
      </c>
      <c r="B2049" s="100" t="s">
        <v>4552</v>
      </c>
    </row>
    <row r="2050" spans="1:2" ht="13.5">
      <c r="A2050" s="169" t="s">
        <v>2575</v>
      </c>
      <c r="B2050" s="100" t="s">
        <v>4552</v>
      </c>
    </row>
    <row r="2051" spans="1:2" ht="13.5">
      <c r="A2051" s="169" t="s">
        <v>2576</v>
      </c>
      <c r="B2051" s="100" t="s">
        <v>4552</v>
      </c>
    </row>
    <row r="2052" spans="1:2" ht="13.5">
      <c r="A2052" s="169" t="s">
        <v>2577</v>
      </c>
      <c r="B2052" s="100" t="s">
        <v>4552</v>
      </c>
    </row>
    <row r="2053" spans="1:2" ht="13.5">
      <c r="A2053" s="169" t="s">
        <v>2578</v>
      </c>
      <c r="B2053" s="100" t="s">
        <v>4552</v>
      </c>
    </row>
    <row r="2054" spans="1:2" ht="13.5">
      <c r="A2054" s="169" t="s">
        <v>2579</v>
      </c>
      <c r="B2054" s="100" t="s">
        <v>4552</v>
      </c>
    </row>
    <row r="2055" spans="1:2" ht="13.5">
      <c r="A2055" s="169" t="s">
        <v>2580</v>
      </c>
      <c r="B2055" s="100" t="s">
        <v>4552</v>
      </c>
    </row>
    <row r="2056" spans="1:2" ht="13.5">
      <c r="A2056" s="169" t="s">
        <v>2581</v>
      </c>
      <c r="B2056" s="100" t="s">
        <v>4552</v>
      </c>
    </row>
    <row r="2057" spans="1:2" ht="13.5">
      <c r="A2057" s="169" t="s">
        <v>2582</v>
      </c>
      <c r="B2057" s="100" t="s">
        <v>4552</v>
      </c>
    </row>
    <row r="2058" spans="1:2" ht="13.5">
      <c r="A2058" s="169" t="s">
        <v>2583</v>
      </c>
      <c r="B2058" s="100" t="s">
        <v>4552</v>
      </c>
    </row>
    <row r="2059" spans="1:2" ht="13.5">
      <c r="A2059" s="169" t="s">
        <v>2584</v>
      </c>
      <c r="B2059" s="100" t="s">
        <v>4552</v>
      </c>
    </row>
    <row r="2060" spans="1:2" ht="13.5">
      <c r="A2060" s="169" t="s">
        <v>2585</v>
      </c>
      <c r="B2060" s="100" t="s">
        <v>4552</v>
      </c>
    </row>
    <row r="2061" spans="1:2" ht="13.5">
      <c r="A2061" s="169" t="s">
        <v>2586</v>
      </c>
      <c r="B2061" s="100" t="s">
        <v>4552</v>
      </c>
    </row>
    <row r="2062" spans="1:2" ht="13.5">
      <c r="A2062" s="169" t="s">
        <v>2587</v>
      </c>
      <c r="B2062" s="100" t="s">
        <v>4552</v>
      </c>
    </row>
    <row r="2063" spans="1:2" ht="13.5">
      <c r="A2063" s="169" t="s">
        <v>2588</v>
      </c>
      <c r="B2063" s="100" t="s">
        <v>4552</v>
      </c>
    </row>
    <row r="2064" spans="1:2" ht="13.5">
      <c r="A2064" s="169" t="s">
        <v>2589</v>
      </c>
      <c r="B2064" s="100" t="s">
        <v>4552</v>
      </c>
    </row>
    <row r="2065" spans="1:2" ht="13.5">
      <c r="A2065" s="169" t="s">
        <v>2590</v>
      </c>
      <c r="B2065" s="100" t="s">
        <v>4552</v>
      </c>
    </row>
    <row r="2066" spans="1:2" ht="13.5">
      <c r="A2066" s="169" t="s">
        <v>2591</v>
      </c>
      <c r="B2066" s="100" t="s">
        <v>4552</v>
      </c>
    </row>
    <row r="2067" spans="1:2" ht="13.5">
      <c r="A2067" s="169" t="s">
        <v>2592</v>
      </c>
      <c r="B2067" s="100" t="s">
        <v>4552</v>
      </c>
    </row>
    <row r="2068" spans="1:2" ht="13.5">
      <c r="A2068" s="169" t="s">
        <v>2593</v>
      </c>
      <c r="B2068" s="100" t="s">
        <v>4552</v>
      </c>
    </row>
    <row r="2069" spans="1:2" ht="13.5">
      <c r="A2069" s="169" t="s">
        <v>2594</v>
      </c>
      <c r="B2069" s="100" t="s">
        <v>4552</v>
      </c>
    </row>
    <row r="2070" spans="1:2" ht="13.5">
      <c r="A2070" s="169" t="s">
        <v>2595</v>
      </c>
      <c r="B2070" s="100" t="s">
        <v>4552</v>
      </c>
    </row>
    <row r="2071" spans="1:2" ht="13.5">
      <c r="A2071" s="169" t="s">
        <v>2596</v>
      </c>
      <c r="B2071" s="100" t="s">
        <v>4552</v>
      </c>
    </row>
    <row r="2072" spans="1:2" ht="13.5">
      <c r="A2072" s="169" t="s">
        <v>2597</v>
      </c>
      <c r="B2072" s="100" t="s">
        <v>4552</v>
      </c>
    </row>
    <row r="2073" spans="1:2" ht="13.5">
      <c r="A2073" s="169" t="s">
        <v>2598</v>
      </c>
      <c r="B2073" s="100" t="s">
        <v>4552</v>
      </c>
    </row>
    <row r="2074" spans="1:2" ht="13.5">
      <c r="A2074" s="169" t="s">
        <v>2599</v>
      </c>
      <c r="B2074" s="100" t="s">
        <v>4552</v>
      </c>
    </row>
    <row r="2075" spans="1:2" ht="13.5">
      <c r="A2075" s="169" t="s">
        <v>2600</v>
      </c>
      <c r="B2075" s="100" t="s">
        <v>4552</v>
      </c>
    </row>
    <row r="2076" spans="1:2" ht="13.5">
      <c r="A2076" s="169" t="s">
        <v>2601</v>
      </c>
      <c r="B2076" s="100" t="s">
        <v>4552</v>
      </c>
    </row>
    <row r="2077" spans="1:2" ht="13.5">
      <c r="A2077" s="169" t="s">
        <v>2602</v>
      </c>
      <c r="B2077" s="100" t="s">
        <v>4552</v>
      </c>
    </row>
    <row r="2078" spans="1:2" ht="13.5">
      <c r="A2078" s="169" t="s">
        <v>2603</v>
      </c>
      <c r="B2078" s="100" t="s">
        <v>4556</v>
      </c>
    </row>
    <row r="2079" spans="1:2" ht="13.5">
      <c r="A2079" s="169" t="s">
        <v>2604</v>
      </c>
      <c r="B2079" s="100" t="s">
        <v>4552</v>
      </c>
    </row>
    <row r="2080" spans="1:2" ht="13.5">
      <c r="A2080" s="169" t="s">
        <v>2605</v>
      </c>
      <c r="B2080" s="100" t="s">
        <v>4552</v>
      </c>
    </row>
    <row r="2081" spans="1:2" ht="13.5">
      <c r="A2081" s="169" t="s">
        <v>2606</v>
      </c>
      <c r="B2081" s="100" t="s">
        <v>4552</v>
      </c>
    </row>
    <row r="2082" spans="1:2" ht="13.5">
      <c r="A2082" s="169" t="s">
        <v>2607</v>
      </c>
      <c r="B2082" s="100" t="s">
        <v>4552</v>
      </c>
    </row>
    <row r="2083" spans="1:2" ht="13.5">
      <c r="A2083" s="169" t="s">
        <v>2608</v>
      </c>
      <c r="B2083" s="100" t="s">
        <v>4552</v>
      </c>
    </row>
    <row r="2084" spans="1:2" ht="13.5">
      <c r="A2084" s="169" t="s">
        <v>2609</v>
      </c>
      <c r="B2084" s="100" t="s">
        <v>4552</v>
      </c>
    </row>
    <row r="2085" spans="1:2" ht="13.5">
      <c r="A2085" s="169" t="s">
        <v>2610</v>
      </c>
      <c r="B2085" s="100" t="s">
        <v>4552</v>
      </c>
    </row>
    <row r="2086" spans="1:2" ht="13.5">
      <c r="A2086" s="169" t="s">
        <v>2611</v>
      </c>
      <c r="B2086" s="100" t="s">
        <v>4552</v>
      </c>
    </row>
    <row r="2087" spans="1:2" ht="13.5">
      <c r="A2087" s="169" t="s">
        <v>2612</v>
      </c>
      <c r="B2087" s="100" t="s">
        <v>4552</v>
      </c>
    </row>
    <row r="2088" spans="1:2" ht="13.5">
      <c r="A2088" s="169" t="s">
        <v>2613</v>
      </c>
      <c r="B2088" s="100" t="s">
        <v>4552</v>
      </c>
    </row>
    <row r="2089" spans="1:2" ht="13.5">
      <c r="A2089" s="169" t="s">
        <v>2614</v>
      </c>
      <c r="B2089" s="100" t="s">
        <v>4552</v>
      </c>
    </row>
    <row r="2090" spans="1:2" ht="13.5">
      <c r="A2090" s="169" t="s">
        <v>2615</v>
      </c>
      <c r="B2090" s="100" t="s">
        <v>4552</v>
      </c>
    </row>
    <row r="2091" spans="1:2" ht="13.5">
      <c r="A2091" s="169" t="s">
        <v>2616</v>
      </c>
      <c r="B2091" s="100" t="s">
        <v>4552</v>
      </c>
    </row>
    <row r="2092" spans="1:2" ht="13.5">
      <c r="A2092" s="169" t="s">
        <v>2617</v>
      </c>
      <c r="B2092" s="100" t="s">
        <v>4552</v>
      </c>
    </row>
    <row r="2093" spans="1:2" ht="13.5">
      <c r="A2093" s="169" t="s">
        <v>2618</v>
      </c>
      <c r="B2093" s="100" t="s">
        <v>4552</v>
      </c>
    </row>
    <row r="2094" spans="1:2" ht="13.5">
      <c r="A2094" s="169" t="s">
        <v>2619</v>
      </c>
      <c r="B2094" s="100" t="s">
        <v>4552</v>
      </c>
    </row>
    <row r="2095" spans="1:2" ht="13.5">
      <c r="A2095" s="169" t="s">
        <v>2620</v>
      </c>
      <c r="B2095" s="100" t="s">
        <v>4552</v>
      </c>
    </row>
    <row r="2096" spans="1:2" ht="13.5">
      <c r="A2096" s="169" t="s">
        <v>2621</v>
      </c>
      <c r="B2096" s="100" t="s">
        <v>4552</v>
      </c>
    </row>
    <row r="2097" spans="1:2" ht="13.5">
      <c r="A2097" s="169" t="s">
        <v>2622</v>
      </c>
      <c r="B2097" s="100" t="s">
        <v>4552</v>
      </c>
    </row>
    <row r="2098" spans="1:2" ht="13.5">
      <c r="A2098" s="169" t="s">
        <v>2623</v>
      </c>
      <c r="B2098" s="100" t="s">
        <v>4552</v>
      </c>
    </row>
    <row r="2099" spans="1:2" ht="13.5">
      <c r="A2099" s="169" t="s">
        <v>2624</v>
      </c>
      <c r="B2099" s="100" t="s">
        <v>4552</v>
      </c>
    </row>
    <row r="2100" spans="1:2" ht="13.5">
      <c r="A2100" s="169" t="s">
        <v>2625</v>
      </c>
      <c r="B2100" s="100" t="s">
        <v>4552</v>
      </c>
    </row>
    <row r="2101" spans="1:2" ht="13.5">
      <c r="A2101" s="169" t="s">
        <v>2626</v>
      </c>
      <c r="B2101" s="100" t="s">
        <v>4552</v>
      </c>
    </row>
    <row r="2102" spans="1:2" ht="13.5">
      <c r="A2102" s="169" t="s">
        <v>2627</v>
      </c>
      <c r="B2102" s="100" t="s">
        <v>4552</v>
      </c>
    </row>
    <row r="2103" spans="1:2" ht="13.5">
      <c r="A2103" s="169" t="s">
        <v>2628</v>
      </c>
      <c r="B2103" s="100" t="s">
        <v>4552</v>
      </c>
    </row>
    <row r="2104" spans="1:2" ht="13.5">
      <c r="A2104" s="169" t="s">
        <v>2629</v>
      </c>
      <c r="B2104" s="100" t="s">
        <v>4552</v>
      </c>
    </row>
    <row r="2105" spans="1:2" ht="13.5">
      <c r="A2105" s="169" t="s">
        <v>2630</v>
      </c>
      <c r="B2105" s="100" t="s">
        <v>4552</v>
      </c>
    </row>
    <row r="2106" spans="1:2" ht="13.5">
      <c r="A2106" s="169" t="s">
        <v>2631</v>
      </c>
      <c r="B2106" s="100" t="s">
        <v>4552</v>
      </c>
    </row>
    <row r="2107" spans="1:2" ht="13.5">
      <c r="A2107" s="169" t="s">
        <v>2632</v>
      </c>
      <c r="B2107" s="100" t="s">
        <v>4552</v>
      </c>
    </row>
    <row r="2108" spans="1:2" ht="13.5">
      <c r="A2108" s="169" t="s">
        <v>2633</v>
      </c>
      <c r="B2108" s="100" t="s">
        <v>4556</v>
      </c>
    </row>
    <row r="2109" spans="1:2" ht="13.5">
      <c r="A2109" s="169" t="s">
        <v>2634</v>
      </c>
      <c r="B2109" s="100" t="s">
        <v>4556</v>
      </c>
    </row>
    <row r="2110" spans="1:2" ht="13.5">
      <c r="A2110" s="169" t="s">
        <v>2635</v>
      </c>
      <c r="B2110" s="100" t="s">
        <v>4552</v>
      </c>
    </row>
    <row r="2111" spans="1:2" ht="13.5">
      <c r="A2111" s="169" t="s">
        <v>2636</v>
      </c>
      <c r="B2111" s="100" t="s">
        <v>4552</v>
      </c>
    </row>
    <row r="2112" spans="1:2" ht="13.5">
      <c r="A2112" s="169" t="s">
        <v>2637</v>
      </c>
      <c r="B2112" s="100" t="s">
        <v>4552</v>
      </c>
    </row>
    <row r="2113" spans="1:2" ht="13.5">
      <c r="A2113" s="169" t="s">
        <v>2638</v>
      </c>
      <c r="B2113" s="100" t="s">
        <v>4552</v>
      </c>
    </row>
    <row r="2114" spans="1:2" ht="13.5">
      <c r="A2114" s="169" t="s">
        <v>2639</v>
      </c>
      <c r="B2114" s="100" t="s">
        <v>4556</v>
      </c>
    </row>
    <row r="2115" spans="1:2" ht="13.5">
      <c r="A2115" s="169" t="s">
        <v>2640</v>
      </c>
      <c r="B2115" s="100" t="s">
        <v>4552</v>
      </c>
    </row>
    <row r="2116" spans="1:2" ht="13.5">
      <c r="A2116" s="169" t="s">
        <v>2641</v>
      </c>
      <c r="B2116" s="100" t="s">
        <v>4552</v>
      </c>
    </row>
    <row r="2117" spans="1:2" ht="13.5">
      <c r="A2117" s="169" t="s">
        <v>2642</v>
      </c>
      <c r="B2117" s="100" t="s">
        <v>4552</v>
      </c>
    </row>
    <row r="2118" spans="1:2" ht="13.5">
      <c r="A2118" s="169" t="s">
        <v>2643</v>
      </c>
      <c r="B2118" s="100" t="s">
        <v>4552</v>
      </c>
    </row>
    <row r="2119" spans="1:2" ht="13.5">
      <c r="A2119" s="169" t="s">
        <v>2644</v>
      </c>
      <c r="B2119" s="100" t="s">
        <v>4552</v>
      </c>
    </row>
    <row r="2120" spans="1:2" ht="13.5">
      <c r="A2120" s="169" t="s">
        <v>2645</v>
      </c>
      <c r="B2120" s="100" t="s">
        <v>4552</v>
      </c>
    </row>
    <row r="2121" spans="1:2" ht="13.5">
      <c r="A2121" s="169" t="s">
        <v>2646</v>
      </c>
      <c r="B2121" s="100" t="s">
        <v>4552</v>
      </c>
    </row>
    <row r="2122" spans="1:2" ht="13.5">
      <c r="A2122" s="169" t="s">
        <v>2647</v>
      </c>
      <c r="B2122" s="100" t="s">
        <v>4552</v>
      </c>
    </row>
    <row r="2123" spans="1:2" ht="13.5">
      <c r="A2123" s="169" t="s">
        <v>2648</v>
      </c>
      <c r="B2123" s="100" t="s">
        <v>4552</v>
      </c>
    </row>
    <row r="2124" spans="1:2" ht="13.5">
      <c r="A2124" s="169" t="s">
        <v>2649</v>
      </c>
      <c r="B2124" s="100" t="s">
        <v>4552</v>
      </c>
    </row>
    <row r="2125" spans="1:2" ht="13.5">
      <c r="A2125" s="169" t="s">
        <v>2650</v>
      </c>
      <c r="B2125" s="100" t="s">
        <v>4552</v>
      </c>
    </row>
    <row r="2126" spans="1:2" ht="13.5">
      <c r="A2126" s="169" t="s">
        <v>2651</v>
      </c>
      <c r="B2126" s="100" t="s">
        <v>4552</v>
      </c>
    </row>
    <row r="2127" spans="1:2" ht="13.5">
      <c r="A2127" s="169" t="s">
        <v>2652</v>
      </c>
      <c r="B2127" s="100" t="s">
        <v>4552</v>
      </c>
    </row>
    <row r="2128" spans="1:2" ht="13.5">
      <c r="A2128" s="169" t="s">
        <v>2653</v>
      </c>
      <c r="B2128" s="100" t="s">
        <v>4556</v>
      </c>
    </row>
    <row r="2129" spans="1:2" ht="13.5">
      <c r="A2129" s="169" t="s">
        <v>2654</v>
      </c>
      <c r="B2129" s="100" t="s">
        <v>4552</v>
      </c>
    </row>
    <row r="2130" spans="1:2" ht="13.5">
      <c r="A2130" s="169" t="s">
        <v>2655</v>
      </c>
      <c r="B2130" s="100" t="s">
        <v>4552</v>
      </c>
    </row>
    <row r="2131" spans="1:2" ht="13.5">
      <c r="A2131" s="169" t="s">
        <v>2656</v>
      </c>
      <c r="B2131" s="100" t="s">
        <v>4552</v>
      </c>
    </row>
    <row r="2132" spans="1:2" ht="13.5">
      <c r="A2132" s="169" t="s">
        <v>2657</v>
      </c>
      <c r="B2132" s="100" t="s">
        <v>4552</v>
      </c>
    </row>
    <row r="2133" spans="1:2" ht="13.5">
      <c r="A2133" s="169" t="s">
        <v>2658</v>
      </c>
      <c r="B2133" s="100" t="s">
        <v>4552</v>
      </c>
    </row>
    <row r="2134" spans="1:2" ht="13.5">
      <c r="A2134" s="169" t="s">
        <v>2659</v>
      </c>
      <c r="B2134" s="100" t="s">
        <v>4552</v>
      </c>
    </row>
    <row r="2135" spans="1:2" ht="13.5">
      <c r="A2135" s="169" t="s">
        <v>2660</v>
      </c>
      <c r="B2135" s="100" t="s">
        <v>4552</v>
      </c>
    </row>
    <row r="2136" spans="1:2" ht="13.5">
      <c r="A2136" s="169" t="s">
        <v>2661</v>
      </c>
      <c r="B2136" s="100" t="s">
        <v>4552</v>
      </c>
    </row>
    <row r="2137" spans="1:2" ht="13.5">
      <c r="A2137" s="169" t="s">
        <v>2662</v>
      </c>
      <c r="B2137" s="100" t="s">
        <v>4552</v>
      </c>
    </row>
    <row r="2138" spans="1:2" ht="13.5">
      <c r="A2138" s="169" t="s">
        <v>2663</v>
      </c>
      <c r="B2138" s="100" t="s">
        <v>4552</v>
      </c>
    </row>
    <row r="2139" spans="1:2" ht="13.5">
      <c r="A2139" s="169" t="s">
        <v>2664</v>
      </c>
      <c r="B2139" s="100" t="s">
        <v>4552</v>
      </c>
    </row>
    <row r="2140" spans="1:2" ht="13.5">
      <c r="A2140" s="169" t="s">
        <v>2665</v>
      </c>
      <c r="B2140" s="100" t="s">
        <v>4552</v>
      </c>
    </row>
    <row r="2141" spans="1:2" ht="13.5">
      <c r="A2141" s="169" t="s">
        <v>2666</v>
      </c>
      <c r="B2141" s="100" t="s">
        <v>4552</v>
      </c>
    </row>
    <row r="2142" spans="1:2" ht="13.5">
      <c r="A2142" s="169" t="s">
        <v>2667</v>
      </c>
      <c r="B2142" s="100" t="s">
        <v>4552</v>
      </c>
    </row>
    <row r="2143" spans="1:2" ht="13.5">
      <c r="A2143" s="169" t="s">
        <v>2668</v>
      </c>
      <c r="B2143" s="100" t="s">
        <v>4552</v>
      </c>
    </row>
    <row r="2144" spans="1:2" ht="13.5">
      <c r="A2144" s="169" t="s">
        <v>2669</v>
      </c>
      <c r="B2144" s="100" t="s">
        <v>4552</v>
      </c>
    </row>
    <row r="2145" spans="1:2" ht="13.5">
      <c r="A2145" s="169" t="s">
        <v>2670</v>
      </c>
      <c r="B2145" s="100" t="s">
        <v>4552</v>
      </c>
    </row>
    <row r="2146" spans="1:2" ht="13.5">
      <c r="A2146" s="169" t="s">
        <v>2671</v>
      </c>
      <c r="B2146" s="100" t="s">
        <v>4552</v>
      </c>
    </row>
    <row r="2147" spans="1:2" ht="13.5">
      <c r="A2147" s="169" t="s">
        <v>2672</v>
      </c>
      <c r="B2147" s="100" t="s">
        <v>4552</v>
      </c>
    </row>
    <row r="2148" spans="1:2" ht="13.5">
      <c r="A2148" s="169" t="s">
        <v>2673</v>
      </c>
      <c r="B2148" s="100" t="s">
        <v>4552</v>
      </c>
    </row>
    <row r="2149" spans="1:2" ht="13.5">
      <c r="A2149" s="169" t="s">
        <v>2674</v>
      </c>
      <c r="B2149" s="100" t="s">
        <v>4552</v>
      </c>
    </row>
    <row r="2150" spans="1:2" ht="13.5">
      <c r="A2150" s="169" t="s">
        <v>2675</v>
      </c>
      <c r="B2150" s="100" t="s">
        <v>4552</v>
      </c>
    </row>
    <row r="2151" spans="1:2" ht="13.5">
      <c r="A2151" s="169" t="s">
        <v>2676</v>
      </c>
      <c r="B2151" s="100" t="s">
        <v>4552</v>
      </c>
    </row>
    <row r="2152" spans="1:2" ht="13.5">
      <c r="A2152" s="169" t="s">
        <v>2677</v>
      </c>
      <c r="B2152" s="100" t="s">
        <v>4552</v>
      </c>
    </row>
    <row r="2153" spans="1:2" ht="13.5">
      <c r="A2153" s="169" t="s">
        <v>2678</v>
      </c>
      <c r="B2153" s="100" t="s">
        <v>4552</v>
      </c>
    </row>
    <row r="2154" spans="1:2" ht="13.5">
      <c r="A2154" s="169" t="s">
        <v>2679</v>
      </c>
      <c r="B2154" s="100" t="s">
        <v>4552</v>
      </c>
    </row>
    <row r="2155" spans="1:2" ht="13.5">
      <c r="A2155" s="169" t="s">
        <v>2680</v>
      </c>
      <c r="B2155" s="100" t="s">
        <v>4552</v>
      </c>
    </row>
    <row r="2156" spans="1:2" ht="13.5">
      <c r="A2156" s="169" t="s">
        <v>2681</v>
      </c>
      <c r="B2156" s="100" t="s">
        <v>4552</v>
      </c>
    </row>
    <row r="2157" spans="1:2" ht="13.5">
      <c r="A2157" s="169" t="s">
        <v>2682</v>
      </c>
      <c r="B2157" s="100" t="s">
        <v>4552</v>
      </c>
    </row>
    <row r="2158" spans="1:2" ht="13.5">
      <c r="A2158" s="169" t="s">
        <v>2683</v>
      </c>
      <c r="B2158" s="100" t="s">
        <v>4552</v>
      </c>
    </row>
    <row r="2159" spans="1:2" ht="13.5">
      <c r="A2159" s="169" t="s">
        <v>2684</v>
      </c>
      <c r="B2159" s="100" t="s">
        <v>4552</v>
      </c>
    </row>
    <row r="2160" spans="1:2" ht="13.5">
      <c r="A2160" s="169" t="s">
        <v>2685</v>
      </c>
      <c r="B2160" s="100" t="s">
        <v>4552</v>
      </c>
    </row>
    <row r="2161" spans="1:2" ht="13.5">
      <c r="A2161" s="169" t="s">
        <v>2686</v>
      </c>
      <c r="B2161" s="100" t="s">
        <v>4552</v>
      </c>
    </row>
    <row r="2162" spans="1:2" ht="13.5">
      <c r="A2162" s="169" t="s">
        <v>2687</v>
      </c>
      <c r="B2162" s="100" t="s">
        <v>4552</v>
      </c>
    </row>
    <row r="2163" spans="1:2" ht="13.5">
      <c r="A2163" s="169" t="s">
        <v>2688</v>
      </c>
      <c r="B2163" s="100" t="s">
        <v>4552</v>
      </c>
    </row>
    <row r="2164" spans="1:2" ht="13.5">
      <c r="A2164" s="169" t="s">
        <v>2689</v>
      </c>
      <c r="B2164" s="100" t="s">
        <v>4552</v>
      </c>
    </row>
    <row r="2165" spans="1:2" ht="13.5">
      <c r="A2165" s="169" t="s">
        <v>2690</v>
      </c>
      <c r="B2165" s="100" t="s">
        <v>4552</v>
      </c>
    </row>
    <row r="2166" spans="1:2" ht="13.5">
      <c r="A2166" s="169" t="s">
        <v>2691</v>
      </c>
      <c r="B2166" s="100" t="s">
        <v>4552</v>
      </c>
    </row>
    <row r="2167" spans="1:2" ht="13.5">
      <c r="A2167" s="169" t="s">
        <v>2692</v>
      </c>
      <c r="B2167" s="100" t="s">
        <v>4552</v>
      </c>
    </row>
    <row r="2168" spans="1:2" ht="13.5">
      <c r="A2168" s="169" t="s">
        <v>2693</v>
      </c>
      <c r="B2168" s="100" t="s">
        <v>4552</v>
      </c>
    </row>
    <row r="2169" spans="1:2" ht="13.5">
      <c r="A2169" s="169" t="s">
        <v>2694</v>
      </c>
      <c r="B2169" s="100" t="s">
        <v>4552</v>
      </c>
    </row>
    <row r="2170" spans="1:2" ht="13.5">
      <c r="A2170" s="169" t="s">
        <v>2695</v>
      </c>
      <c r="B2170" s="100" t="s">
        <v>4552</v>
      </c>
    </row>
    <row r="2171" spans="1:2" ht="13.5">
      <c r="A2171" s="169" t="s">
        <v>2696</v>
      </c>
      <c r="B2171" s="100" t="s">
        <v>4552</v>
      </c>
    </row>
    <row r="2172" spans="1:2" ht="13.5">
      <c r="A2172" s="169" t="s">
        <v>2697</v>
      </c>
      <c r="B2172" s="100" t="s">
        <v>4552</v>
      </c>
    </row>
    <row r="2173" spans="1:2" ht="13.5">
      <c r="A2173" s="169" t="s">
        <v>2698</v>
      </c>
      <c r="B2173" s="100" t="s">
        <v>4552</v>
      </c>
    </row>
    <row r="2174" spans="1:2" ht="13.5">
      <c r="A2174" s="169" t="s">
        <v>2699</v>
      </c>
      <c r="B2174" s="100" t="s">
        <v>4552</v>
      </c>
    </row>
    <row r="2175" spans="1:2" ht="13.5">
      <c r="A2175" s="169" t="s">
        <v>2700</v>
      </c>
      <c r="B2175" s="100" t="s">
        <v>4552</v>
      </c>
    </row>
    <row r="2176" spans="1:2" ht="13.5">
      <c r="A2176" s="169" t="s">
        <v>2701</v>
      </c>
      <c r="B2176" s="100" t="s">
        <v>4552</v>
      </c>
    </row>
    <row r="2177" spans="1:2" ht="13.5">
      <c r="A2177" s="169" t="s">
        <v>2702</v>
      </c>
      <c r="B2177" s="100" t="s">
        <v>4552</v>
      </c>
    </row>
    <row r="2178" spans="1:2" ht="13.5">
      <c r="A2178" s="169" t="s">
        <v>2703</v>
      </c>
      <c r="B2178" s="100" t="s">
        <v>4552</v>
      </c>
    </row>
    <row r="2179" spans="1:2" ht="13.5">
      <c r="A2179" s="169" t="s">
        <v>2704</v>
      </c>
      <c r="B2179" s="100" t="s">
        <v>4552</v>
      </c>
    </row>
    <row r="2180" spans="1:2" ht="13.5">
      <c r="A2180" s="169" t="s">
        <v>2705</v>
      </c>
      <c r="B2180" s="100" t="s">
        <v>4552</v>
      </c>
    </row>
    <row r="2181" spans="1:2" ht="13.5">
      <c r="A2181" s="169" t="s">
        <v>2706</v>
      </c>
      <c r="B2181" s="100" t="s">
        <v>4552</v>
      </c>
    </row>
    <row r="2182" spans="1:2" ht="13.5">
      <c r="A2182" s="169" t="s">
        <v>2707</v>
      </c>
      <c r="B2182" s="100" t="s">
        <v>4552</v>
      </c>
    </row>
    <row r="2183" spans="1:2" ht="13.5">
      <c r="A2183" s="168" t="s">
        <v>2708</v>
      </c>
      <c r="B2183" s="100" t="s">
        <v>4558</v>
      </c>
    </row>
    <row r="2184" spans="1:2" ht="13.5">
      <c r="A2184" s="169" t="s">
        <v>2709</v>
      </c>
      <c r="B2184" s="100" t="s">
        <v>4552</v>
      </c>
    </row>
    <row r="2185" spans="1:2" ht="13.5">
      <c r="A2185" s="169" t="s">
        <v>2710</v>
      </c>
      <c r="B2185" s="100" t="s">
        <v>4552</v>
      </c>
    </row>
    <row r="2186" spans="1:2" ht="13.5">
      <c r="A2186" s="169" t="s">
        <v>2711</v>
      </c>
      <c r="B2186" s="100" t="s">
        <v>4552</v>
      </c>
    </row>
    <row r="2187" spans="1:2" ht="13.5">
      <c r="A2187" s="169" t="s">
        <v>2712</v>
      </c>
      <c r="B2187" s="100" t="s">
        <v>4552</v>
      </c>
    </row>
    <row r="2188" spans="1:2" ht="13.5">
      <c r="A2188" s="169" t="s">
        <v>2713</v>
      </c>
      <c r="B2188" s="100" t="s">
        <v>4552</v>
      </c>
    </row>
    <row r="2189" spans="1:2" ht="13.5">
      <c r="A2189" s="169" t="s">
        <v>2714</v>
      </c>
      <c r="B2189" s="100" t="s">
        <v>4552</v>
      </c>
    </row>
    <row r="2190" spans="1:2" ht="13.5">
      <c r="A2190" s="169" t="s">
        <v>2715</v>
      </c>
      <c r="B2190" s="100" t="s">
        <v>4552</v>
      </c>
    </row>
    <row r="2191" spans="1:2" ht="13.5">
      <c r="A2191" s="168" t="s">
        <v>2716</v>
      </c>
      <c r="B2191" s="100" t="s">
        <v>4558</v>
      </c>
    </row>
    <row r="2192" spans="1:2" ht="13.5">
      <c r="A2192" s="169" t="s">
        <v>2717</v>
      </c>
      <c r="B2192" s="100" t="s">
        <v>4552</v>
      </c>
    </row>
    <row r="2193" spans="1:2" ht="13.5">
      <c r="A2193" s="169" t="s">
        <v>2718</v>
      </c>
      <c r="B2193" s="100" t="s">
        <v>4552</v>
      </c>
    </row>
    <row r="2194" spans="1:2" ht="13.5">
      <c r="A2194" s="169" t="s">
        <v>2719</v>
      </c>
      <c r="B2194" s="100" t="s">
        <v>4552</v>
      </c>
    </row>
    <row r="2195" spans="1:2" ht="13.5">
      <c r="A2195" s="169" t="s">
        <v>2720</v>
      </c>
      <c r="B2195" s="100" t="s">
        <v>4552</v>
      </c>
    </row>
    <row r="2196" spans="1:2" ht="13.5">
      <c r="A2196" s="169" t="s">
        <v>2721</v>
      </c>
      <c r="B2196" s="100" t="s">
        <v>4552</v>
      </c>
    </row>
    <row r="2197" spans="1:2" ht="13.5">
      <c r="A2197" s="169" t="s">
        <v>2722</v>
      </c>
      <c r="B2197" s="100" t="s">
        <v>4552</v>
      </c>
    </row>
    <row r="2198" spans="1:2" ht="13.5">
      <c r="A2198" s="169" t="s">
        <v>2723</v>
      </c>
      <c r="B2198" s="100" t="s">
        <v>4552</v>
      </c>
    </row>
    <row r="2199" spans="1:2" ht="13.5">
      <c r="A2199" s="169" t="s">
        <v>2724</v>
      </c>
      <c r="B2199" s="100" t="s">
        <v>4552</v>
      </c>
    </row>
    <row r="2200" spans="1:2" ht="13.5">
      <c r="A2200" s="169" t="s">
        <v>2725</v>
      </c>
      <c r="B2200" s="100" t="s">
        <v>4552</v>
      </c>
    </row>
    <row r="2201" spans="1:2" ht="13.5">
      <c r="A2201" s="169" t="s">
        <v>2726</v>
      </c>
      <c r="B2201" s="100" t="s">
        <v>4552</v>
      </c>
    </row>
    <row r="2202" spans="1:2" ht="13.5">
      <c r="A2202" s="169" t="s">
        <v>2727</v>
      </c>
      <c r="B2202" s="100" t="s">
        <v>4552</v>
      </c>
    </row>
    <row r="2203" spans="1:2" ht="13.5">
      <c r="A2203" s="169" t="s">
        <v>2728</v>
      </c>
      <c r="B2203" s="100" t="s">
        <v>4552</v>
      </c>
    </row>
    <row r="2204" spans="1:2" ht="13.5">
      <c r="A2204" s="169" t="s">
        <v>2729</v>
      </c>
      <c r="B2204" s="100" t="s">
        <v>4552</v>
      </c>
    </row>
    <row r="2205" spans="1:2" ht="13.5">
      <c r="A2205" s="169" t="s">
        <v>2730</v>
      </c>
      <c r="B2205" s="100" t="s">
        <v>4552</v>
      </c>
    </row>
    <row r="2206" spans="1:2" ht="13.5">
      <c r="A2206" s="169" t="s">
        <v>2731</v>
      </c>
      <c r="B2206" s="100" t="s">
        <v>4552</v>
      </c>
    </row>
    <row r="2207" spans="1:2" ht="13.5">
      <c r="A2207" s="169" t="s">
        <v>2732</v>
      </c>
      <c r="B2207" s="100" t="s">
        <v>4552</v>
      </c>
    </row>
    <row r="2208" spans="1:2" ht="13.5">
      <c r="A2208" s="169" t="s">
        <v>2733</v>
      </c>
      <c r="B2208" s="100" t="s">
        <v>4552</v>
      </c>
    </row>
    <row r="2209" spans="1:2" ht="13.5">
      <c r="A2209" s="169" t="s">
        <v>2734</v>
      </c>
      <c r="B2209" s="100" t="s">
        <v>4552</v>
      </c>
    </row>
    <row r="2210" spans="1:2" ht="13.5">
      <c r="A2210" s="169" t="s">
        <v>2735</v>
      </c>
      <c r="B2210" s="100" t="s">
        <v>4552</v>
      </c>
    </row>
    <row r="2211" spans="1:2" ht="13.5">
      <c r="A2211" s="169" t="s">
        <v>2736</v>
      </c>
      <c r="B2211" s="100" t="s">
        <v>4552</v>
      </c>
    </row>
    <row r="2212" spans="1:2" ht="13.5">
      <c r="A2212" s="169" t="s">
        <v>2737</v>
      </c>
      <c r="B2212" s="100" t="s">
        <v>4552</v>
      </c>
    </row>
    <row r="2213" spans="1:2" ht="13.5">
      <c r="A2213" s="169" t="s">
        <v>2738</v>
      </c>
      <c r="B2213" s="100" t="s">
        <v>4552</v>
      </c>
    </row>
    <row r="2214" spans="1:2" ht="13.5">
      <c r="A2214" s="169" t="s">
        <v>2739</v>
      </c>
      <c r="B2214" s="100" t="s">
        <v>4552</v>
      </c>
    </row>
    <row r="2215" spans="1:2" ht="13.5">
      <c r="A2215" s="169" t="s">
        <v>2740</v>
      </c>
      <c r="B2215" s="100" t="s">
        <v>4552</v>
      </c>
    </row>
    <row r="2216" spans="1:2" ht="13.5">
      <c r="A2216" s="169" t="s">
        <v>2741</v>
      </c>
      <c r="B2216" s="100" t="s">
        <v>4552</v>
      </c>
    </row>
    <row r="2217" spans="1:2" ht="13.5">
      <c r="A2217" s="169" t="s">
        <v>2742</v>
      </c>
      <c r="B2217" s="100" t="s">
        <v>4552</v>
      </c>
    </row>
    <row r="2218" spans="1:2" ht="13.5">
      <c r="A2218" s="169" t="s">
        <v>2743</v>
      </c>
      <c r="B2218" s="100" t="s">
        <v>4552</v>
      </c>
    </row>
    <row r="2219" spans="1:2" ht="13.5">
      <c r="A2219" s="169" t="s">
        <v>2744</v>
      </c>
      <c r="B2219" s="100" t="s">
        <v>4552</v>
      </c>
    </row>
    <row r="2220" spans="1:2" ht="13.5">
      <c r="A2220" s="169" t="s">
        <v>2745</v>
      </c>
      <c r="B2220" s="100" t="s">
        <v>4552</v>
      </c>
    </row>
    <row r="2221" spans="1:2" ht="13.5">
      <c r="A2221" s="169" t="s">
        <v>2746</v>
      </c>
      <c r="B2221" s="100" t="s">
        <v>4552</v>
      </c>
    </row>
    <row r="2222" spans="1:2" ht="13.5">
      <c r="A2222" s="169" t="s">
        <v>2747</v>
      </c>
      <c r="B2222" s="100" t="s">
        <v>4552</v>
      </c>
    </row>
    <row r="2223" spans="1:2" ht="13.5">
      <c r="A2223" s="169" t="s">
        <v>2748</v>
      </c>
      <c r="B2223" s="100" t="s">
        <v>4552</v>
      </c>
    </row>
    <row r="2224" spans="1:2" ht="13.5">
      <c r="A2224" s="169" t="s">
        <v>2749</v>
      </c>
      <c r="B2224" s="100" t="s">
        <v>4552</v>
      </c>
    </row>
    <row r="2225" spans="1:2" ht="13.5">
      <c r="A2225" s="169" t="s">
        <v>2750</v>
      </c>
      <c r="B2225" s="100" t="s">
        <v>4552</v>
      </c>
    </row>
    <row r="2226" spans="1:2" ht="13.5">
      <c r="A2226" s="169" t="s">
        <v>2751</v>
      </c>
      <c r="B2226" s="100" t="s">
        <v>4552</v>
      </c>
    </row>
    <row r="2227" spans="1:2" ht="13.5">
      <c r="A2227" s="169" t="s">
        <v>2752</v>
      </c>
      <c r="B2227" s="100" t="s">
        <v>4552</v>
      </c>
    </row>
    <row r="2228" spans="1:2" ht="13.5">
      <c r="A2228" s="169" t="s">
        <v>2753</v>
      </c>
      <c r="B2228" s="100" t="s">
        <v>4552</v>
      </c>
    </row>
    <row r="2229" spans="1:2" ht="13.5">
      <c r="A2229" s="169" t="s">
        <v>2754</v>
      </c>
      <c r="B2229" s="100" t="s">
        <v>4552</v>
      </c>
    </row>
    <row r="2230" spans="1:2" ht="13.5">
      <c r="A2230" s="169" t="s">
        <v>2755</v>
      </c>
      <c r="B2230" s="100" t="s">
        <v>4552</v>
      </c>
    </row>
    <row r="2231" spans="1:2" ht="13.5">
      <c r="A2231" s="169" t="s">
        <v>2756</v>
      </c>
      <c r="B2231" s="100" t="s">
        <v>4552</v>
      </c>
    </row>
    <row r="2232" spans="1:2" ht="13.5">
      <c r="A2232" s="168" t="s">
        <v>2757</v>
      </c>
      <c r="B2232" s="100" t="s">
        <v>4610</v>
      </c>
    </row>
    <row r="2233" spans="1:2" ht="13.5">
      <c r="A2233" s="168" t="s">
        <v>2758</v>
      </c>
      <c r="B2233" s="100" t="s">
        <v>4610</v>
      </c>
    </row>
    <row r="2234" spans="1:2" ht="13.5">
      <c r="A2234" s="169" t="s">
        <v>2759</v>
      </c>
      <c r="B2234" s="100" t="s">
        <v>4552</v>
      </c>
    </row>
    <row r="2235" spans="1:2" ht="13.5">
      <c r="A2235" s="169" t="s">
        <v>2760</v>
      </c>
      <c r="B2235" s="100" t="s">
        <v>4552</v>
      </c>
    </row>
    <row r="2236" spans="1:2" ht="13.5">
      <c r="A2236" s="169" t="s">
        <v>2761</v>
      </c>
      <c r="B2236" s="100" t="s">
        <v>4552</v>
      </c>
    </row>
    <row r="2237" spans="1:2" ht="13.5">
      <c r="A2237" s="169" t="s">
        <v>2762</v>
      </c>
      <c r="B2237" s="100" t="s">
        <v>4552</v>
      </c>
    </row>
    <row r="2238" spans="1:2" ht="13.5">
      <c r="A2238" s="169" t="s">
        <v>2763</v>
      </c>
      <c r="B2238" s="100" t="s">
        <v>4552</v>
      </c>
    </row>
    <row r="2239" spans="1:2" ht="13.5">
      <c r="A2239" s="169" t="s">
        <v>2764</v>
      </c>
      <c r="B2239" s="100" t="s">
        <v>4552</v>
      </c>
    </row>
    <row r="2240" spans="1:2" ht="13.5">
      <c r="A2240" s="169" t="s">
        <v>2765</v>
      </c>
      <c r="B2240" s="100" t="s">
        <v>4552</v>
      </c>
    </row>
    <row r="2241" spans="1:2" ht="13.5">
      <c r="A2241" s="169" t="s">
        <v>2766</v>
      </c>
      <c r="B2241" s="100" t="s">
        <v>4552</v>
      </c>
    </row>
    <row r="2242" spans="1:2" ht="13.5">
      <c r="A2242" s="169" t="s">
        <v>2767</v>
      </c>
      <c r="B2242" s="100" t="s">
        <v>4552</v>
      </c>
    </row>
    <row r="2243" spans="1:2" ht="13.5">
      <c r="A2243" s="169" t="s">
        <v>2768</v>
      </c>
      <c r="B2243" s="100" t="s">
        <v>4552</v>
      </c>
    </row>
    <row r="2244" spans="1:2" ht="13.5">
      <c r="A2244" s="169" t="s">
        <v>2769</v>
      </c>
      <c r="B2244" s="100" t="s">
        <v>4552</v>
      </c>
    </row>
    <row r="2245" spans="1:2" ht="13.5">
      <c r="A2245" s="169" t="s">
        <v>2770</v>
      </c>
      <c r="B2245" s="100" t="s">
        <v>4552</v>
      </c>
    </row>
    <row r="2246" spans="1:2" ht="13.5">
      <c r="A2246" s="169" t="s">
        <v>2771</v>
      </c>
      <c r="B2246" s="100" t="s">
        <v>4552</v>
      </c>
    </row>
    <row r="2247" spans="1:2" ht="13.5">
      <c r="A2247" s="169" t="s">
        <v>2772</v>
      </c>
      <c r="B2247" s="100" t="s">
        <v>4552</v>
      </c>
    </row>
    <row r="2248" spans="1:2" ht="13.5">
      <c r="A2248" s="169" t="s">
        <v>2773</v>
      </c>
      <c r="B2248" s="100" t="s">
        <v>4552</v>
      </c>
    </row>
    <row r="2249" spans="1:2" ht="13.5">
      <c r="A2249" s="169" t="s">
        <v>2774</v>
      </c>
      <c r="B2249" s="100" t="s">
        <v>4552</v>
      </c>
    </row>
    <row r="2250" spans="1:2" ht="13.5">
      <c r="A2250" s="169" t="s">
        <v>2775</v>
      </c>
      <c r="B2250" s="100" t="s">
        <v>4552</v>
      </c>
    </row>
    <row r="2251" spans="1:2" ht="13.5">
      <c r="A2251" s="169" t="s">
        <v>2776</v>
      </c>
      <c r="B2251" s="100" t="s">
        <v>4552</v>
      </c>
    </row>
    <row r="2252" spans="1:2" ht="13.5">
      <c r="A2252" s="169" t="s">
        <v>2777</v>
      </c>
      <c r="B2252" s="100" t="s">
        <v>4552</v>
      </c>
    </row>
    <row r="2253" spans="1:2" ht="13.5">
      <c r="A2253" s="169" t="s">
        <v>2778</v>
      </c>
      <c r="B2253" s="100" t="s">
        <v>4552</v>
      </c>
    </row>
    <row r="2254" spans="1:2" ht="13.5">
      <c r="A2254" s="169" t="s">
        <v>2779</v>
      </c>
      <c r="B2254" s="100" t="s">
        <v>4556</v>
      </c>
    </row>
    <row r="2255" spans="1:2" ht="13.5">
      <c r="A2255" s="169" t="s">
        <v>2780</v>
      </c>
      <c r="B2255" s="100" t="s">
        <v>4552</v>
      </c>
    </row>
    <row r="2256" spans="1:2" ht="13.5">
      <c r="A2256" s="169" t="s">
        <v>2781</v>
      </c>
      <c r="B2256" s="100" t="s">
        <v>4552</v>
      </c>
    </row>
    <row r="2257" spans="1:2" ht="13.5">
      <c r="A2257" s="169" t="s">
        <v>2782</v>
      </c>
      <c r="B2257" s="100" t="s">
        <v>4552</v>
      </c>
    </row>
    <row r="2258" spans="1:2" ht="13.5">
      <c r="A2258" s="169" t="s">
        <v>2783</v>
      </c>
      <c r="B2258" s="100" t="s">
        <v>4552</v>
      </c>
    </row>
    <row r="2259" spans="1:2" ht="13.5">
      <c r="A2259" s="169" t="s">
        <v>2784</v>
      </c>
      <c r="B2259" s="100" t="s">
        <v>4552</v>
      </c>
    </row>
    <row r="2260" spans="1:2" ht="13.5">
      <c r="A2260" s="169" t="s">
        <v>2785</v>
      </c>
      <c r="B2260" s="100" t="s">
        <v>4552</v>
      </c>
    </row>
    <row r="2261" spans="1:2" ht="13.5">
      <c r="A2261" s="169" t="s">
        <v>2786</v>
      </c>
      <c r="B2261" s="100" t="s">
        <v>4552</v>
      </c>
    </row>
    <row r="2262" spans="1:2" ht="13.5">
      <c r="A2262" s="169" t="s">
        <v>2787</v>
      </c>
      <c r="B2262" s="100" t="s">
        <v>4552</v>
      </c>
    </row>
    <row r="2263" spans="1:2" ht="13.5">
      <c r="A2263" s="169" t="s">
        <v>2788</v>
      </c>
      <c r="B2263" s="100" t="s">
        <v>4552</v>
      </c>
    </row>
    <row r="2264" spans="1:2" ht="13.5">
      <c r="A2264" s="169" t="s">
        <v>2789</v>
      </c>
      <c r="B2264" s="100" t="s">
        <v>4552</v>
      </c>
    </row>
    <row r="2265" spans="1:2" ht="13.5">
      <c r="A2265" s="169" t="s">
        <v>2790</v>
      </c>
      <c r="B2265" s="100" t="s">
        <v>4552</v>
      </c>
    </row>
    <row r="2266" spans="1:2" ht="13.5">
      <c r="A2266" s="169" t="s">
        <v>2791</v>
      </c>
      <c r="B2266" s="100" t="s">
        <v>4552</v>
      </c>
    </row>
    <row r="2267" spans="1:2" ht="13.5">
      <c r="A2267" s="169" t="s">
        <v>2792</v>
      </c>
      <c r="B2267" s="100" t="s">
        <v>4552</v>
      </c>
    </row>
    <row r="2268" spans="1:2" ht="13.5">
      <c r="A2268" s="169" t="s">
        <v>2793</v>
      </c>
      <c r="B2268" s="100" t="s">
        <v>4552</v>
      </c>
    </row>
    <row r="2269" spans="1:2" ht="13.5">
      <c r="A2269" s="169" t="s">
        <v>2794</v>
      </c>
      <c r="B2269" s="100" t="s">
        <v>4552</v>
      </c>
    </row>
    <row r="2270" spans="1:2" ht="13.5">
      <c r="A2270" s="169" t="s">
        <v>2795</v>
      </c>
      <c r="B2270" s="100" t="s">
        <v>4552</v>
      </c>
    </row>
    <row r="2271" spans="1:2" ht="13.5">
      <c r="A2271" s="169" t="s">
        <v>2796</v>
      </c>
      <c r="B2271" s="100" t="s">
        <v>4552</v>
      </c>
    </row>
    <row r="2272" spans="1:2" ht="13.5">
      <c r="A2272" s="169" t="s">
        <v>2797</v>
      </c>
      <c r="B2272" s="100" t="s">
        <v>4552</v>
      </c>
    </row>
    <row r="2273" spans="1:2" ht="13.5">
      <c r="A2273" s="169" t="s">
        <v>2798</v>
      </c>
      <c r="B2273" s="100" t="s">
        <v>4552</v>
      </c>
    </row>
    <row r="2274" spans="1:2" ht="13.5">
      <c r="A2274" s="169" t="s">
        <v>2799</v>
      </c>
      <c r="B2274" s="100" t="s">
        <v>4552</v>
      </c>
    </row>
    <row r="2275" spans="1:2" ht="13.5">
      <c r="A2275" s="169" t="s">
        <v>2800</v>
      </c>
      <c r="B2275" s="100" t="s">
        <v>4552</v>
      </c>
    </row>
    <row r="2276" spans="1:2" ht="13.5">
      <c r="A2276" s="169" t="s">
        <v>2801</v>
      </c>
      <c r="B2276" s="100" t="s">
        <v>4552</v>
      </c>
    </row>
    <row r="2277" spans="1:2" ht="13.5">
      <c r="A2277" s="169" t="s">
        <v>2802</v>
      </c>
      <c r="B2277" s="100" t="s">
        <v>4552</v>
      </c>
    </row>
    <row r="2278" spans="1:2" ht="13.5">
      <c r="A2278" s="169" t="s">
        <v>2803</v>
      </c>
      <c r="B2278" s="100" t="s">
        <v>4552</v>
      </c>
    </row>
    <row r="2279" spans="1:2" ht="13.5">
      <c r="A2279" s="169" t="s">
        <v>2804</v>
      </c>
      <c r="B2279" s="100" t="s">
        <v>4552</v>
      </c>
    </row>
    <row r="2280" spans="1:2" ht="13.5">
      <c r="A2280" s="169" t="s">
        <v>2805</v>
      </c>
      <c r="B2280" s="100" t="s">
        <v>4552</v>
      </c>
    </row>
    <row r="2281" spans="1:2" ht="13.5">
      <c r="A2281" s="169" t="s">
        <v>2806</v>
      </c>
      <c r="B2281" s="100" t="s">
        <v>4552</v>
      </c>
    </row>
    <row r="2282" spans="1:2" ht="13.5">
      <c r="A2282" s="169" t="s">
        <v>2807</v>
      </c>
      <c r="B2282" s="100" t="s">
        <v>4552</v>
      </c>
    </row>
    <row r="2283" spans="1:2" ht="13.5">
      <c r="A2283" s="169" t="s">
        <v>2808</v>
      </c>
      <c r="B2283" s="100" t="s">
        <v>4552</v>
      </c>
    </row>
    <row r="2284" spans="1:2" ht="13.5">
      <c r="A2284" s="169" t="s">
        <v>2809</v>
      </c>
      <c r="B2284" s="100" t="s">
        <v>4552</v>
      </c>
    </row>
    <row r="2285" spans="1:2" ht="13.5">
      <c r="A2285" s="169" t="s">
        <v>2810</v>
      </c>
      <c r="B2285" s="100" t="s">
        <v>4552</v>
      </c>
    </row>
    <row r="2286" spans="1:2" ht="13.5">
      <c r="A2286" s="169" t="s">
        <v>2811</v>
      </c>
      <c r="B2286" s="100" t="s">
        <v>4552</v>
      </c>
    </row>
    <row r="2287" spans="1:2" ht="13.5">
      <c r="A2287" s="169" t="s">
        <v>2812</v>
      </c>
      <c r="B2287" s="100" t="s">
        <v>4552</v>
      </c>
    </row>
    <row r="2288" spans="1:2" ht="13.5">
      <c r="A2288" s="169" t="s">
        <v>2813</v>
      </c>
      <c r="B2288" s="100" t="s">
        <v>4552</v>
      </c>
    </row>
    <row r="2289" spans="1:2" ht="13.5">
      <c r="A2289" s="169" t="s">
        <v>2814</v>
      </c>
      <c r="B2289" s="100" t="s">
        <v>4552</v>
      </c>
    </row>
    <row r="2290" spans="1:2" ht="13.5">
      <c r="A2290" s="169" t="s">
        <v>2815</v>
      </c>
      <c r="B2290" s="100" t="s">
        <v>4552</v>
      </c>
    </row>
    <row r="2291" spans="1:2" ht="13.5">
      <c r="A2291" s="169" t="s">
        <v>2816</v>
      </c>
      <c r="B2291" s="100" t="s">
        <v>4552</v>
      </c>
    </row>
    <row r="2292" spans="1:2" ht="13.5">
      <c r="A2292" s="169" t="s">
        <v>2817</v>
      </c>
      <c r="B2292" s="100" t="s">
        <v>4552</v>
      </c>
    </row>
    <row r="2293" spans="1:2" ht="13.5">
      <c r="A2293" s="169" t="s">
        <v>2818</v>
      </c>
      <c r="B2293" s="100" t="s">
        <v>4552</v>
      </c>
    </row>
    <row r="2294" spans="1:2" ht="13.5">
      <c r="A2294" s="169" t="s">
        <v>2819</v>
      </c>
      <c r="B2294" s="100" t="s">
        <v>4552</v>
      </c>
    </row>
    <row r="2295" spans="1:2" ht="13.5">
      <c r="A2295" s="169" t="s">
        <v>2820</v>
      </c>
      <c r="B2295" s="100" t="s">
        <v>4552</v>
      </c>
    </row>
    <row r="2296" spans="1:2" ht="13.5">
      <c r="A2296" s="169" t="s">
        <v>2821</v>
      </c>
      <c r="B2296" s="100" t="s">
        <v>4552</v>
      </c>
    </row>
    <row r="2297" spans="1:2" ht="13.5">
      <c r="A2297" s="169" t="s">
        <v>2822</v>
      </c>
      <c r="B2297" s="100" t="s">
        <v>4552</v>
      </c>
    </row>
    <row r="2298" spans="1:2" ht="13.5">
      <c r="A2298" s="169" t="s">
        <v>2823</v>
      </c>
      <c r="B2298" s="100" t="s">
        <v>4552</v>
      </c>
    </row>
    <row r="2299" spans="1:2" ht="13.5">
      <c r="A2299" s="169" t="s">
        <v>2824</v>
      </c>
      <c r="B2299" s="100" t="s">
        <v>4552</v>
      </c>
    </row>
    <row r="2300" spans="1:2" ht="13.5">
      <c r="A2300" s="169" t="s">
        <v>2825</v>
      </c>
      <c r="B2300" s="100" t="s">
        <v>4552</v>
      </c>
    </row>
    <row r="2301" spans="1:2" ht="13.5">
      <c r="A2301" s="169" t="s">
        <v>2826</v>
      </c>
      <c r="B2301" s="100" t="s">
        <v>4552</v>
      </c>
    </row>
    <row r="2302" spans="1:2" ht="13.5">
      <c r="A2302" s="169" t="s">
        <v>2827</v>
      </c>
      <c r="B2302" s="100" t="s">
        <v>4552</v>
      </c>
    </row>
    <row r="2303" spans="1:2" ht="13.5">
      <c r="A2303" s="169" t="s">
        <v>2828</v>
      </c>
      <c r="B2303" s="100" t="s">
        <v>4552</v>
      </c>
    </row>
    <row r="2304" spans="1:2" ht="13.5">
      <c r="A2304" s="169" t="s">
        <v>2829</v>
      </c>
      <c r="B2304" s="100" t="s">
        <v>4552</v>
      </c>
    </row>
    <row r="2305" spans="1:2" ht="13.5">
      <c r="A2305" s="169" t="s">
        <v>2830</v>
      </c>
      <c r="B2305" s="100" t="s">
        <v>4552</v>
      </c>
    </row>
    <row r="2306" spans="1:2" ht="13.5">
      <c r="A2306" s="169" t="s">
        <v>2831</v>
      </c>
      <c r="B2306" s="100" t="s">
        <v>4552</v>
      </c>
    </row>
    <row r="2307" spans="1:2" ht="13.5">
      <c r="A2307" s="169" t="s">
        <v>2832</v>
      </c>
      <c r="B2307" s="100" t="s">
        <v>4552</v>
      </c>
    </row>
    <row r="2308" spans="1:2" ht="13.5">
      <c r="A2308" s="169" t="s">
        <v>2833</v>
      </c>
      <c r="B2308" s="100" t="s">
        <v>4552</v>
      </c>
    </row>
    <row r="2309" spans="1:2" ht="13.5">
      <c r="A2309" s="168" t="s">
        <v>2834</v>
      </c>
      <c r="B2309" s="100" t="s">
        <v>4558</v>
      </c>
    </row>
    <row r="2310" spans="1:2" ht="13.5">
      <c r="A2310" s="168" t="s">
        <v>2835</v>
      </c>
      <c r="B2310" s="100" t="s">
        <v>4558</v>
      </c>
    </row>
    <row r="2311" spans="1:2" ht="13.5">
      <c r="A2311" s="168" t="s">
        <v>2836</v>
      </c>
      <c r="B2311" s="100" t="s">
        <v>4562</v>
      </c>
    </row>
    <row r="2312" spans="1:2" ht="13.5">
      <c r="A2312" s="168" t="s">
        <v>2837</v>
      </c>
      <c r="B2312" s="100" t="s">
        <v>4558</v>
      </c>
    </row>
    <row r="2313" spans="1:2" ht="13.5">
      <c r="A2313" s="168" t="s">
        <v>2838</v>
      </c>
      <c r="B2313" s="100" t="s">
        <v>4558</v>
      </c>
    </row>
    <row r="2314" spans="1:2" ht="13.5">
      <c r="A2314" s="168" t="s">
        <v>2839</v>
      </c>
      <c r="B2314" s="100" t="s">
        <v>4558</v>
      </c>
    </row>
    <row r="2315" spans="1:2" ht="13.5">
      <c r="A2315" s="168" t="s">
        <v>2840</v>
      </c>
      <c r="B2315" s="100" t="s">
        <v>4558</v>
      </c>
    </row>
    <row r="2316" spans="1:2" ht="13.5">
      <c r="A2316" s="168" t="s">
        <v>2841</v>
      </c>
      <c r="B2316" s="100" t="s">
        <v>4558</v>
      </c>
    </row>
    <row r="2317" spans="1:2" ht="13.5">
      <c r="A2317" s="168" t="s">
        <v>2842</v>
      </c>
      <c r="B2317" s="100" t="s">
        <v>4558</v>
      </c>
    </row>
    <row r="2318" spans="1:2" ht="13.5">
      <c r="A2318" s="168" t="s">
        <v>2843</v>
      </c>
      <c r="B2318" s="100" t="s">
        <v>4558</v>
      </c>
    </row>
    <row r="2319" spans="1:2" ht="13.5">
      <c r="A2319" s="168" t="s">
        <v>2844</v>
      </c>
      <c r="B2319" s="100" t="s">
        <v>4558</v>
      </c>
    </row>
    <row r="2320" spans="1:2" ht="13.5">
      <c r="A2320" s="168" t="s">
        <v>2845</v>
      </c>
      <c r="B2320" s="100" t="s">
        <v>4558</v>
      </c>
    </row>
    <row r="2321" spans="1:2" ht="13.5">
      <c r="A2321" s="168" t="s">
        <v>2846</v>
      </c>
      <c r="B2321" s="100" t="s">
        <v>4558</v>
      </c>
    </row>
    <row r="2322" spans="1:2" ht="13.5">
      <c r="A2322" s="168" t="s">
        <v>2847</v>
      </c>
      <c r="B2322" s="100" t="s">
        <v>4558</v>
      </c>
    </row>
    <row r="2323" spans="1:2" ht="13.5">
      <c r="A2323" s="168" t="s">
        <v>2848</v>
      </c>
      <c r="B2323" s="100" t="s">
        <v>4558</v>
      </c>
    </row>
    <row r="2324" spans="1:2" ht="13.5">
      <c r="A2324" s="168" t="s">
        <v>2849</v>
      </c>
      <c r="B2324" s="100" t="s">
        <v>4558</v>
      </c>
    </row>
    <row r="2325" spans="1:2" ht="13.5">
      <c r="A2325" s="168" t="s">
        <v>2850</v>
      </c>
      <c r="B2325" s="100" t="s">
        <v>4558</v>
      </c>
    </row>
    <row r="2326" spans="1:2" ht="13.5">
      <c r="A2326" s="169" t="s">
        <v>2851</v>
      </c>
      <c r="B2326" s="100" t="s">
        <v>4552</v>
      </c>
    </row>
    <row r="2327" spans="1:2" ht="13.5">
      <c r="A2327" s="169" t="s">
        <v>2852</v>
      </c>
      <c r="B2327" s="100" t="s">
        <v>4552</v>
      </c>
    </row>
    <row r="2328" spans="1:2" ht="13.5">
      <c r="A2328" s="169" t="s">
        <v>2853</v>
      </c>
      <c r="B2328" s="100" t="s">
        <v>4552</v>
      </c>
    </row>
    <row r="2329" spans="1:2" ht="13.5">
      <c r="A2329" s="169" t="s">
        <v>2854</v>
      </c>
      <c r="B2329" s="100" t="s">
        <v>4552</v>
      </c>
    </row>
    <row r="2330" spans="1:2" ht="13.5">
      <c r="A2330" s="168" t="s">
        <v>2855</v>
      </c>
      <c r="B2330" s="100" t="s">
        <v>4558</v>
      </c>
    </row>
    <row r="2331" spans="1:2" ht="13.5">
      <c r="A2331" s="169" t="s">
        <v>2856</v>
      </c>
      <c r="B2331" s="100" t="s">
        <v>4552</v>
      </c>
    </row>
    <row r="2332" spans="1:2" ht="13.5">
      <c r="A2332" s="169" t="s">
        <v>2857</v>
      </c>
      <c r="B2332" s="100" t="s">
        <v>4552</v>
      </c>
    </row>
    <row r="2333" spans="1:2" ht="13.5">
      <c r="A2333" s="169" t="s">
        <v>2858</v>
      </c>
      <c r="B2333" s="100" t="s">
        <v>4552</v>
      </c>
    </row>
    <row r="2334" spans="1:2" ht="13.5">
      <c r="A2334" s="169" t="s">
        <v>2859</v>
      </c>
      <c r="B2334" s="100" t="s">
        <v>4552</v>
      </c>
    </row>
    <row r="2335" spans="1:2" ht="13.5">
      <c r="A2335" s="169" t="s">
        <v>2860</v>
      </c>
      <c r="B2335" s="100" t="s">
        <v>4552</v>
      </c>
    </row>
    <row r="2336" spans="1:2" ht="13.5">
      <c r="A2336" s="169" t="s">
        <v>2861</v>
      </c>
      <c r="B2336" s="100" t="s">
        <v>4552</v>
      </c>
    </row>
    <row r="2337" spans="1:2" ht="13.5">
      <c r="A2337" s="169" t="s">
        <v>2862</v>
      </c>
      <c r="B2337" s="100" t="s">
        <v>4552</v>
      </c>
    </row>
    <row r="2338" spans="1:2" ht="13.5">
      <c r="A2338" s="169" t="s">
        <v>2863</v>
      </c>
      <c r="B2338" s="100" t="s">
        <v>4552</v>
      </c>
    </row>
    <row r="2339" spans="1:2" ht="13.5">
      <c r="A2339" s="169" t="s">
        <v>2864</v>
      </c>
      <c r="B2339" s="100" t="s">
        <v>4552</v>
      </c>
    </row>
    <row r="2340" spans="1:2" ht="13.5">
      <c r="A2340" s="169" t="s">
        <v>2865</v>
      </c>
      <c r="B2340" s="100" t="s">
        <v>4556</v>
      </c>
    </row>
    <row r="2341" spans="1:2" ht="13.5">
      <c r="A2341" s="169" t="s">
        <v>2866</v>
      </c>
      <c r="B2341" s="100" t="s">
        <v>4552</v>
      </c>
    </row>
    <row r="2342" spans="1:2" ht="13.5">
      <c r="A2342" s="169" t="s">
        <v>2867</v>
      </c>
      <c r="B2342" s="100" t="s">
        <v>4552</v>
      </c>
    </row>
    <row r="2343" spans="1:2" ht="13.5">
      <c r="A2343" s="169" t="s">
        <v>2868</v>
      </c>
      <c r="B2343" s="100" t="s">
        <v>4552</v>
      </c>
    </row>
    <row r="2344" spans="1:2" ht="13.5">
      <c r="A2344" s="169" t="s">
        <v>2869</v>
      </c>
      <c r="B2344" s="100" t="s">
        <v>4552</v>
      </c>
    </row>
    <row r="2345" spans="1:2" ht="13.5">
      <c r="A2345" s="169" t="s">
        <v>2870</v>
      </c>
      <c r="B2345" s="100" t="s">
        <v>4552</v>
      </c>
    </row>
    <row r="2346" spans="1:2" ht="13.5">
      <c r="A2346" s="169" t="s">
        <v>2871</v>
      </c>
      <c r="B2346" s="100" t="s">
        <v>4552</v>
      </c>
    </row>
    <row r="2347" spans="1:2" ht="13.5">
      <c r="A2347" s="169" t="s">
        <v>2872</v>
      </c>
      <c r="B2347" s="100" t="s">
        <v>4552</v>
      </c>
    </row>
    <row r="2348" spans="1:2" ht="13.5">
      <c r="A2348" s="169" t="s">
        <v>2873</v>
      </c>
      <c r="B2348" s="100" t="s">
        <v>4552</v>
      </c>
    </row>
    <row r="2349" spans="1:2" ht="13.5">
      <c r="A2349" s="169" t="s">
        <v>2874</v>
      </c>
      <c r="B2349" s="100" t="s">
        <v>4552</v>
      </c>
    </row>
    <row r="2350" spans="1:2" ht="13.5">
      <c r="A2350" s="169" t="s">
        <v>2875</v>
      </c>
      <c r="B2350" s="100" t="s">
        <v>4552</v>
      </c>
    </row>
    <row r="2351" spans="1:2" ht="13.5">
      <c r="A2351" s="169" t="s">
        <v>2876</v>
      </c>
      <c r="B2351" s="100" t="s">
        <v>4552</v>
      </c>
    </row>
    <row r="2352" spans="1:2" ht="13.5">
      <c r="A2352" s="169" t="s">
        <v>2877</v>
      </c>
      <c r="B2352" s="100" t="s">
        <v>4552</v>
      </c>
    </row>
    <row r="2353" spans="1:2" ht="13.5">
      <c r="A2353" s="169" t="s">
        <v>2878</v>
      </c>
      <c r="B2353" s="100" t="s">
        <v>4552</v>
      </c>
    </row>
    <row r="2354" spans="1:2" ht="13.5">
      <c r="A2354" s="169" t="s">
        <v>2879</v>
      </c>
      <c r="B2354" s="100" t="s">
        <v>4552</v>
      </c>
    </row>
    <row r="2355" spans="1:2" ht="13.5">
      <c r="A2355" s="169" t="s">
        <v>2880</v>
      </c>
      <c r="B2355" s="100" t="s">
        <v>4552</v>
      </c>
    </row>
    <row r="2356" spans="1:2" ht="13.5">
      <c r="A2356" s="169" t="s">
        <v>2881</v>
      </c>
      <c r="B2356" s="100" t="s">
        <v>4552</v>
      </c>
    </row>
    <row r="2357" spans="1:2" ht="13.5">
      <c r="A2357" s="169" t="s">
        <v>2882</v>
      </c>
      <c r="B2357" s="100" t="s">
        <v>4552</v>
      </c>
    </row>
    <row r="2358" spans="1:2" ht="13.5">
      <c r="A2358" s="169" t="s">
        <v>2883</v>
      </c>
      <c r="B2358" s="100" t="s">
        <v>4552</v>
      </c>
    </row>
    <row r="2359" spans="1:2" ht="13.5">
      <c r="A2359" s="169" t="s">
        <v>2884</v>
      </c>
      <c r="B2359" s="100" t="s">
        <v>4552</v>
      </c>
    </row>
    <row r="2360" spans="1:2" ht="13.5">
      <c r="A2360" s="169" t="s">
        <v>2885</v>
      </c>
      <c r="B2360" s="100" t="s">
        <v>4552</v>
      </c>
    </row>
    <row r="2361" spans="1:2" ht="13.5">
      <c r="A2361" s="169" t="s">
        <v>2886</v>
      </c>
      <c r="B2361" s="100" t="s">
        <v>4552</v>
      </c>
    </row>
    <row r="2362" spans="1:2" ht="13.5">
      <c r="A2362" s="169" t="s">
        <v>2887</v>
      </c>
      <c r="B2362" s="100" t="s">
        <v>4552</v>
      </c>
    </row>
    <row r="2363" spans="1:2" ht="13.5">
      <c r="A2363" s="169" t="s">
        <v>2888</v>
      </c>
      <c r="B2363" s="100" t="s">
        <v>4552</v>
      </c>
    </row>
    <row r="2364" spans="1:2" ht="13.5">
      <c r="A2364" s="169" t="s">
        <v>2889</v>
      </c>
      <c r="B2364" s="100" t="s">
        <v>4552</v>
      </c>
    </row>
    <row r="2365" spans="1:2" ht="13.5">
      <c r="A2365" s="169" t="s">
        <v>2890</v>
      </c>
      <c r="B2365" s="100" t="s">
        <v>4552</v>
      </c>
    </row>
    <row r="2366" spans="1:2" ht="13.5">
      <c r="A2366" s="169" t="s">
        <v>2891</v>
      </c>
      <c r="B2366" s="100" t="s">
        <v>4552</v>
      </c>
    </row>
    <row r="2367" spans="1:2" ht="13.5">
      <c r="A2367" s="169" t="s">
        <v>2892</v>
      </c>
      <c r="B2367" s="100" t="s">
        <v>4552</v>
      </c>
    </row>
    <row r="2368" spans="1:2" ht="13.5">
      <c r="A2368" s="169" t="s">
        <v>2893</v>
      </c>
      <c r="B2368" s="100" t="s">
        <v>4552</v>
      </c>
    </row>
    <row r="2369" spans="1:2" ht="13.5">
      <c r="A2369" s="169" t="s">
        <v>2894</v>
      </c>
      <c r="B2369" s="100" t="s">
        <v>4552</v>
      </c>
    </row>
    <row r="2370" spans="1:2" ht="13.5">
      <c r="A2370" s="169" t="s">
        <v>2895</v>
      </c>
      <c r="B2370" s="100" t="s">
        <v>4552</v>
      </c>
    </row>
    <row r="2371" spans="1:2" ht="13.5">
      <c r="A2371" s="169" t="s">
        <v>2896</v>
      </c>
      <c r="B2371" s="100" t="s">
        <v>4552</v>
      </c>
    </row>
    <row r="2372" spans="1:2" ht="13.5">
      <c r="A2372" s="169" t="s">
        <v>2897</v>
      </c>
      <c r="B2372" s="100" t="s">
        <v>4552</v>
      </c>
    </row>
    <row r="2373" spans="1:2" ht="13.5">
      <c r="A2373" s="169" t="s">
        <v>2898</v>
      </c>
      <c r="B2373" s="100" t="s">
        <v>4552</v>
      </c>
    </row>
    <row r="2374" spans="1:2" ht="13.5">
      <c r="A2374" s="169" t="s">
        <v>2899</v>
      </c>
      <c r="B2374" s="100" t="s">
        <v>4552</v>
      </c>
    </row>
    <row r="2375" spans="1:2" ht="13.5">
      <c r="A2375" s="169" t="s">
        <v>2900</v>
      </c>
      <c r="B2375" s="100" t="s">
        <v>4552</v>
      </c>
    </row>
    <row r="2376" spans="1:2" ht="13.5">
      <c r="A2376" s="169" t="s">
        <v>2901</v>
      </c>
      <c r="B2376" s="100" t="s">
        <v>4552</v>
      </c>
    </row>
    <row r="2377" spans="1:2" ht="13.5">
      <c r="A2377" s="169" t="s">
        <v>2902</v>
      </c>
      <c r="B2377" s="100" t="s">
        <v>4552</v>
      </c>
    </row>
    <row r="2378" spans="1:2" ht="13.5">
      <c r="A2378" s="169" t="s">
        <v>2903</v>
      </c>
      <c r="B2378" s="100" t="s">
        <v>4552</v>
      </c>
    </row>
    <row r="2379" spans="1:2" ht="13.5">
      <c r="A2379" s="169" t="s">
        <v>2904</v>
      </c>
      <c r="B2379" s="100" t="s">
        <v>4552</v>
      </c>
    </row>
    <row r="2380" spans="1:2" ht="13.5">
      <c r="A2380" s="169" t="s">
        <v>2905</v>
      </c>
      <c r="B2380" s="100" t="s">
        <v>4552</v>
      </c>
    </row>
    <row r="2381" spans="1:2" ht="13.5">
      <c r="A2381" s="169" t="s">
        <v>2906</v>
      </c>
      <c r="B2381" s="100" t="s">
        <v>4552</v>
      </c>
    </row>
    <row r="2382" spans="1:2" ht="13.5">
      <c r="A2382" s="169" t="s">
        <v>2907</v>
      </c>
      <c r="B2382" s="100" t="s">
        <v>4552</v>
      </c>
    </row>
    <row r="2383" spans="1:2" ht="13.5">
      <c r="A2383" s="169" t="s">
        <v>2908</v>
      </c>
      <c r="B2383" s="100" t="s">
        <v>4552</v>
      </c>
    </row>
    <row r="2384" spans="1:2" ht="13.5">
      <c r="A2384" s="168" t="s">
        <v>2909</v>
      </c>
      <c r="B2384" s="100" t="s">
        <v>4558</v>
      </c>
    </row>
    <row r="2385" spans="1:2" ht="13.5">
      <c r="A2385" s="168" t="s">
        <v>2910</v>
      </c>
      <c r="B2385" s="100" t="s">
        <v>4558</v>
      </c>
    </row>
    <row r="2386" spans="1:2" ht="13.5">
      <c r="A2386" s="168" t="s">
        <v>2911</v>
      </c>
      <c r="B2386" s="100" t="s">
        <v>4558</v>
      </c>
    </row>
    <row r="2387" spans="1:2" ht="13.5">
      <c r="A2387" s="168" t="s">
        <v>2912</v>
      </c>
      <c r="B2387" s="100" t="s">
        <v>4558</v>
      </c>
    </row>
    <row r="2388" spans="1:2" ht="13.5">
      <c r="A2388" s="168" t="s">
        <v>2913</v>
      </c>
      <c r="B2388" s="100" t="s">
        <v>4558</v>
      </c>
    </row>
    <row r="2389" spans="1:2" ht="13.5">
      <c r="A2389" s="168" t="s">
        <v>2914</v>
      </c>
      <c r="B2389" s="100" t="s">
        <v>4558</v>
      </c>
    </row>
    <row r="2390" spans="1:2" ht="13.5">
      <c r="A2390" s="168" t="s">
        <v>2915</v>
      </c>
      <c r="B2390" s="100" t="s">
        <v>4558</v>
      </c>
    </row>
    <row r="2391" spans="1:2" ht="13.5">
      <c r="A2391" s="168" t="s">
        <v>2916</v>
      </c>
      <c r="B2391" s="100" t="s">
        <v>4558</v>
      </c>
    </row>
    <row r="2392" spans="1:2" ht="13.5">
      <c r="A2392" s="168" t="s">
        <v>2917</v>
      </c>
      <c r="B2392" s="100" t="s">
        <v>4558</v>
      </c>
    </row>
    <row r="2393" spans="1:2" ht="13.5">
      <c r="A2393" s="168" t="s">
        <v>2918</v>
      </c>
      <c r="B2393" s="100" t="s">
        <v>4558</v>
      </c>
    </row>
    <row r="2394" spans="1:2" ht="13.5">
      <c r="A2394" s="168" t="s">
        <v>2919</v>
      </c>
      <c r="B2394" s="100" t="s">
        <v>4558</v>
      </c>
    </row>
    <row r="2395" spans="1:2" ht="13.5">
      <c r="A2395" s="168" t="s">
        <v>2920</v>
      </c>
      <c r="B2395" s="100" t="s">
        <v>4558</v>
      </c>
    </row>
    <row r="2396" spans="1:2" ht="13.5">
      <c r="A2396" s="168" t="s">
        <v>2921</v>
      </c>
      <c r="B2396" s="100" t="s">
        <v>4558</v>
      </c>
    </row>
    <row r="2397" spans="1:2" ht="13.5">
      <c r="A2397" s="168" t="s">
        <v>2922</v>
      </c>
      <c r="B2397" s="100" t="s">
        <v>4558</v>
      </c>
    </row>
    <row r="2398" spans="1:2" ht="13.5">
      <c r="A2398" s="168" t="s">
        <v>2923</v>
      </c>
      <c r="B2398" s="100" t="s">
        <v>4558</v>
      </c>
    </row>
    <row r="2399" spans="1:2" ht="13.5">
      <c r="A2399" s="168" t="s">
        <v>2924</v>
      </c>
      <c r="B2399" s="100" t="s">
        <v>4558</v>
      </c>
    </row>
    <row r="2400" spans="1:2" ht="13.5">
      <c r="A2400" s="168" t="s">
        <v>2925</v>
      </c>
      <c r="B2400" s="100" t="s">
        <v>4558</v>
      </c>
    </row>
    <row r="2401" spans="1:2" ht="13.5">
      <c r="A2401" s="168" t="s">
        <v>2926</v>
      </c>
      <c r="B2401" s="100" t="s">
        <v>4558</v>
      </c>
    </row>
    <row r="2402" spans="1:2" ht="13.5">
      <c r="A2402" s="168" t="s">
        <v>2927</v>
      </c>
      <c r="B2402" s="100" t="s">
        <v>4558</v>
      </c>
    </row>
    <row r="2403" spans="1:2" ht="13.5">
      <c r="A2403" s="169" t="s">
        <v>2928</v>
      </c>
      <c r="B2403" s="100" t="s">
        <v>4564</v>
      </c>
    </row>
    <row r="2404" spans="1:2" ht="13.5">
      <c r="A2404" s="168" t="s">
        <v>2929</v>
      </c>
      <c r="B2404" s="100" t="s">
        <v>4558</v>
      </c>
    </row>
    <row r="2405" spans="1:2" ht="13.5">
      <c r="A2405" s="169" t="s">
        <v>2930</v>
      </c>
      <c r="B2405" s="100" t="s">
        <v>4552</v>
      </c>
    </row>
    <row r="2406" spans="1:2" ht="13.5">
      <c r="A2406" s="168" t="s">
        <v>2931</v>
      </c>
      <c r="B2406" s="100" t="s">
        <v>4558</v>
      </c>
    </row>
    <row r="2407" spans="1:2" ht="13.5">
      <c r="A2407" s="168" t="s">
        <v>2932</v>
      </c>
      <c r="B2407" s="100" t="s">
        <v>4558</v>
      </c>
    </row>
    <row r="2408" spans="1:2" ht="13.5">
      <c r="A2408" s="168" t="s">
        <v>2933</v>
      </c>
      <c r="B2408" s="100" t="s">
        <v>4558</v>
      </c>
    </row>
    <row r="2409" spans="1:2" ht="13.5">
      <c r="A2409" s="168" t="s">
        <v>2934</v>
      </c>
      <c r="B2409" s="100" t="s">
        <v>4558</v>
      </c>
    </row>
    <row r="2410" spans="1:2" ht="13.5">
      <c r="A2410" s="168" t="s">
        <v>2935</v>
      </c>
      <c r="B2410" s="100" t="s">
        <v>4558</v>
      </c>
    </row>
    <row r="2411" spans="1:2" ht="13.5">
      <c r="A2411" s="168" t="s">
        <v>2936</v>
      </c>
      <c r="B2411" s="100" t="s">
        <v>4558</v>
      </c>
    </row>
    <row r="2412" spans="1:2" ht="13.5">
      <c r="A2412" s="168" t="s">
        <v>2937</v>
      </c>
      <c r="B2412" s="100" t="s">
        <v>4558</v>
      </c>
    </row>
    <row r="2413" spans="1:2" ht="13.5">
      <c r="A2413" s="168" t="s">
        <v>2938</v>
      </c>
      <c r="B2413" s="100" t="s">
        <v>4558</v>
      </c>
    </row>
    <row r="2414" spans="1:2" ht="13.5">
      <c r="A2414" s="168" t="s">
        <v>2939</v>
      </c>
      <c r="B2414" s="100" t="s">
        <v>4558</v>
      </c>
    </row>
    <row r="2415" spans="1:2" ht="13.5">
      <c r="A2415" s="168" t="s">
        <v>2940</v>
      </c>
      <c r="B2415" s="100" t="s">
        <v>4558</v>
      </c>
    </row>
    <row r="2416" spans="1:2" ht="13.5">
      <c r="A2416" s="169" t="s">
        <v>2941</v>
      </c>
      <c r="B2416" s="100" t="s">
        <v>4556</v>
      </c>
    </row>
    <row r="2417" spans="1:2" ht="13.5">
      <c r="A2417" s="169" t="s">
        <v>2942</v>
      </c>
      <c r="B2417" s="100" t="s">
        <v>4556</v>
      </c>
    </row>
    <row r="2418" spans="1:2" ht="13.5">
      <c r="A2418" s="169" t="s">
        <v>2943</v>
      </c>
      <c r="B2418" s="100" t="s">
        <v>4556</v>
      </c>
    </row>
    <row r="2419" spans="1:2" ht="13.5">
      <c r="A2419" s="169" t="s">
        <v>2944</v>
      </c>
      <c r="B2419" s="100" t="s">
        <v>4556</v>
      </c>
    </row>
    <row r="2420" spans="1:2" ht="13.5">
      <c r="A2420" s="169" t="s">
        <v>2945</v>
      </c>
      <c r="B2420" s="100" t="s">
        <v>4556</v>
      </c>
    </row>
    <row r="2421" spans="1:2" ht="13.5">
      <c r="A2421" s="169" t="s">
        <v>2946</v>
      </c>
      <c r="B2421" s="100" t="s">
        <v>4556</v>
      </c>
    </row>
    <row r="2422" spans="1:2" ht="13.5">
      <c r="A2422" s="169" t="s">
        <v>2947</v>
      </c>
      <c r="B2422" s="100" t="s">
        <v>4556</v>
      </c>
    </row>
    <row r="2423" spans="1:2" ht="13.5">
      <c r="A2423" s="169" t="s">
        <v>2948</v>
      </c>
      <c r="B2423" s="100" t="s">
        <v>4556</v>
      </c>
    </row>
    <row r="2424" spans="1:2" ht="13.5">
      <c r="A2424" s="169" t="s">
        <v>2949</v>
      </c>
      <c r="B2424" s="100" t="s">
        <v>4556</v>
      </c>
    </row>
    <row r="2425" spans="1:2" ht="13.5">
      <c r="A2425" s="169" t="s">
        <v>2950</v>
      </c>
      <c r="B2425" s="100" t="s">
        <v>4556</v>
      </c>
    </row>
    <row r="2426" spans="1:2" ht="13.5">
      <c r="A2426" s="169" t="s">
        <v>2951</v>
      </c>
      <c r="B2426" s="100" t="s">
        <v>4556</v>
      </c>
    </row>
    <row r="2427" spans="1:2" ht="13.5">
      <c r="A2427" s="169" t="s">
        <v>2952</v>
      </c>
      <c r="B2427" s="100" t="s">
        <v>4556</v>
      </c>
    </row>
    <row r="2428" spans="1:2" ht="13.5">
      <c r="A2428" s="169" t="s">
        <v>2953</v>
      </c>
      <c r="B2428" s="100" t="s">
        <v>4552</v>
      </c>
    </row>
    <row r="2429" spans="1:2" ht="13.5">
      <c r="A2429" s="169" t="s">
        <v>2954</v>
      </c>
      <c r="B2429" s="100" t="s">
        <v>4552</v>
      </c>
    </row>
    <row r="2430" spans="1:2" ht="13.5">
      <c r="A2430" s="169" t="s">
        <v>2955</v>
      </c>
      <c r="B2430" s="100" t="s">
        <v>4552</v>
      </c>
    </row>
    <row r="2431" spans="1:2" ht="13.5">
      <c r="A2431" s="169" t="s">
        <v>2956</v>
      </c>
      <c r="B2431" s="100" t="s">
        <v>4552</v>
      </c>
    </row>
    <row r="2432" spans="1:2" ht="13.5">
      <c r="A2432" s="169" t="s">
        <v>2957</v>
      </c>
      <c r="B2432" s="100" t="s">
        <v>4552</v>
      </c>
    </row>
    <row r="2433" spans="1:2" ht="13.5">
      <c r="A2433" s="169" t="s">
        <v>2958</v>
      </c>
      <c r="B2433" s="100" t="s">
        <v>4552</v>
      </c>
    </row>
    <row r="2434" spans="1:2" ht="13.5">
      <c r="A2434" s="169" t="s">
        <v>2959</v>
      </c>
      <c r="B2434" s="100" t="s">
        <v>4552</v>
      </c>
    </row>
    <row r="2435" spans="1:2" ht="13.5">
      <c r="A2435" s="169" t="s">
        <v>2960</v>
      </c>
      <c r="B2435" s="100" t="s">
        <v>4552</v>
      </c>
    </row>
    <row r="2436" spans="1:2" ht="13.5">
      <c r="A2436" s="169" t="s">
        <v>2961</v>
      </c>
      <c r="B2436" s="100" t="s">
        <v>4552</v>
      </c>
    </row>
    <row r="2437" spans="1:2" ht="13.5">
      <c r="A2437" s="169" t="s">
        <v>2962</v>
      </c>
      <c r="B2437" s="100" t="s">
        <v>4552</v>
      </c>
    </row>
    <row r="2438" spans="1:2" ht="13.5">
      <c r="A2438" s="169" t="s">
        <v>2963</v>
      </c>
      <c r="B2438" s="100" t="s">
        <v>4552</v>
      </c>
    </row>
    <row r="2439" spans="1:2" ht="13.5">
      <c r="A2439" s="169" t="s">
        <v>2964</v>
      </c>
      <c r="B2439" s="100" t="s">
        <v>4552</v>
      </c>
    </row>
    <row r="2440" spans="1:2" ht="13.5">
      <c r="A2440" s="169" t="s">
        <v>2965</v>
      </c>
      <c r="B2440" s="100" t="s">
        <v>4552</v>
      </c>
    </row>
    <row r="2441" spans="1:2" ht="13.5">
      <c r="A2441" s="169" t="s">
        <v>2966</v>
      </c>
      <c r="B2441" s="100" t="s">
        <v>4552</v>
      </c>
    </row>
    <row r="2442" spans="1:2" ht="13.5">
      <c r="A2442" s="169" t="s">
        <v>2967</v>
      </c>
      <c r="B2442" s="100" t="s">
        <v>4552</v>
      </c>
    </row>
    <row r="2443" spans="1:2" ht="13.5">
      <c r="A2443" s="169" t="s">
        <v>2968</v>
      </c>
      <c r="B2443" s="100" t="s">
        <v>4556</v>
      </c>
    </row>
    <row r="2444" spans="1:2" ht="13.5">
      <c r="A2444" s="169" t="s">
        <v>2969</v>
      </c>
      <c r="B2444" s="100" t="s">
        <v>4552</v>
      </c>
    </row>
    <row r="2445" spans="1:2" ht="13.5">
      <c r="A2445" s="169" t="s">
        <v>2970</v>
      </c>
      <c r="B2445" s="100" t="s">
        <v>4552</v>
      </c>
    </row>
    <row r="2446" spans="1:2" ht="13.5">
      <c r="A2446" s="169" t="s">
        <v>2971</v>
      </c>
      <c r="B2446" s="100" t="s">
        <v>4552</v>
      </c>
    </row>
    <row r="2447" spans="1:2" ht="13.5">
      <c r="A2447" s="169" t="s">
        <v>2972</v>
      </c>
      <c r="B2447" s="100" t="s">
        <v>4552</v>
      </c>
    </row>
    <row r="2448" spans="1:2" ht="13.5">
      <c r="A2448" s="169" t="s">
        <v>2973</v>
      </c>
      <c r="B2448" s="100" t="s">
        <v>4552</v>
      </c>
    </row>
    <row r="2449" spans="1:2" ht="13.5">
      <c r="A2449" s="169" t="s">
        <v>2974</v>
      </c>
      <c r="B2449" s="100" t="s">
        <v>4552</v>
      </c>
    </row>
    <row r="2450" spans="1:2" ht="13.5">
      <c r="A2450" s="169" t="s">
        <v>2975</v>
      </c>
      <c r="B2450" s="100" t="s">
        <v>4552</v>
      </c>
    </row>
    <row r="2451" spans="1:2" ht="13.5">
      <c r="A2451" s="169" t="s">
        <v>2976</v>
      </c>
      <c r="B2451" s="100" t="s">
        <v>4552</v>
      </c>
    </row>
    <row r="2452" spans="1:2" ht="13.5">
      <c r="A2452" s="169" t="s">
        <v>2977</v>
      </c>
      <c r="B2452" s="100" t="s">
        <v>4552</v>
      </c>
    </row>
    <row r="2453" spans="1:2" ht="13.5">
      <c r="A2453" s="169" t="s">
        <v>2978</v>
      </c>
      <c r="B2453" s="100" t="s">
        <v>4552</v>
      </c>
    </row>
    <row r="2454" spans="1:2" ht="13.5">
      <c r="A2454" s="169" t="s">
        <v>2979</v>
      </c>
      <c r="B2454" s="100" t="s">
        <v>4552</v>
      </c>
    </row>
    <row r="2455" spans="1:2" ht="13.5">
      <c r="A2455" s="169" t="s">
        <v>2980</v>
      </c>
      <c r="B2455" s="100" t="s">
        <v>4552</v>
      </c>
    </row>
    <row r="2456" spans="1:2" ht="13.5">
      <c r="A2456" s="169" t="s">
        <v>2981</v>
      </c>
      <c r="B2456" s="100" t="s">
        <v>4552</v>
      </c>
    </row>
    <row r="2457" spans="1:2" ht="13.5">
      <c r="A2457" s="169" t="s">
        <v>2982</v>
      </c>
      <c r="B2457" s="100" t="s">
        <v>4552</v>
      </c>
    </row>
    <row r="2458" spans="1:2" ht="13.5">
      <c r="A2458" s="169" t="s">
        <v>2983</v>
      </c>
      <c r="B2458" s="100" t="s">
        <v>4552</v>
      </c>
    </row>
    <row r="2459" spans="1:2" ht="13.5">
      <c r="A2459" s="169" t="s">
        <v>2984</v>
      </c>
      <c r="B2459" s="100" t="s">
        <v>4552</v>
      </c>
    </row>
    <row r="2460" spans="1:2" ht="13.5">
      <c r="A2460" s="169" t="s">
        <v>2985</v>
      </c>
      <c r="B2460" s="100" t="s">
        <v>4552</v>
      </c>
    </row>
    <row r="2461" spans="1:2" ht="13.5">
      <c r="A2461" s="168" t="s">
        <v>2986</v>
      </c>
      <c r="B2461" s="100" t="s">
        <v>4558</v>
      </c>
    </row>
    <row r="2462" spans="1:2" ht="13.5">
      <c r="A2462" s="168" t="s">
        <v>2987</v>
      </c>
      <c r="B2462" s="100" t="s">
        <v>4558</v>
      </c>
    </row>
    <row r="2463" spans="1:2" ht="13.5">
      <c r="A2463" s="168" t="s">
        <v>2988</v>
      </c>
      <c r="B2463" s="100" t="s">
        <v>4558</v>
      </c>
    </row>
    <row r="2464" spans="1:2" ht="13.5">
      <c r="A2464" s="168" t="s">
        <v>2989</v>
      </c>
      <c r="B2464" s="100" t="s">
        <v>4558</v>
      </c>
    </row>
    <row r="2465" spans="1:2" ht="13.5">
      <c r="A2465" s="168" t="s">
        <v>2990</v>
      </c>
      <c r="B2465" s="100" t="s">
        <v>4558</v>
      </c>
    </row>
    <row r="2466" spans="1:2" ht="13.5">
      <c r="A2466" s="169" t="s">
        <v>2991</v>
      </c>
      <c r="B2466" s="100" t="s">
        <v>4552</v>
      </c>
    </row>
    <row r="2467" spans="1:2" ht="13.5">
      <c r="A2467" s="169" t="s">
        <v>2992</v>
      </c>
      <c r="B2467" s="100" t="s">
        <v>4552</v>
      </c>
    </row>
    <row r="2468" spans="1:2" ht="13.5">
      <c r="A2468" s="169" t="s">
        <v>2993</v>
      </c>
      <c r="B2468" s="100" t="s">
        <v>4552</v>
      </c>
    </row>
    <row r="2469" spans="1:2" ht="13.5">
      <c r="A2469" s="169" t="s">
        <v>2994</v>
      </c>
      <c r="B2469" s="100" t="s">
        <v>4552</v>
      </c>
    </row>
    <row r="2470" spans="1:2" ht="13.5">
      <c r="A2470" s="169" t="s">
        <v>2995</v>
      </c>
      <c r="B2470" s="100" t="s">
        <v>4552</v>
      </c>
    </row>
    <row r="2471" spans="1:2" ht="13.5">
      <c r="A2471" s="169" t="s">
        <v>2996</v>
      </c>
      <c r="B2471" s="100" t="s">
        <v>4552</v>
      </c>
    </row>
    <row r="2472" spans="1:2" ht="13.5">
      <c r="A2472" s="169" t="s">
        <v>2997</v>
      </c>
      <c r="B2472" s="100" t="s">
        <v>4552</v>
      </c>
    </row>
    <row r="2473" spans="1:2" ht="13.5">
      <c r="A2473" s="169" t="s">
        <v>2998</v>
      </c>
      <c r="B2473" s="100" t="s">
        <v>4552</v>
      </c>
    </row>
    <row r="2474" spans="1:2" ht="13.5">
      <c r="A2474" s="169" t="s">
        <v>2999</v>
      </c>
      <c r="B2474" s="100" t="s">
        <v>4552</v>
      </c>
    </row>
    <row r="2475" spans="1:2" ht="13.5">
      <c r="A2475" s="169" t="s">
        <v>3000</v>
      </c>
      <c r="B2475" s="100" t="s">
        <v>4552</v>
      </c>
    </row>
    <row r="2476" spans="1:2" ht="13.5">
      <c r="A2476" s="169" t="s">
        <v>3001</v>
      </c>
      <c r="B2476" s="100" t="s">
        <v>4552</v>
      </c>
    </row>
    <row r="2477" spans="1:2" ht="13.5">
      <c r="A2477" s="169" t="s">
        <v>3002</v>
      </c>
      <c r="B2477" s="100" t="s">
        <v>4552</v>
      </c>
    </row>
    <row r="2478" spans="1:2" ht="13.5">
      <c r="A2478" s="169" t="s">
        <v>3003</v>
      </c>
      <c r="B2478" s="100" t="s">
        <v>4552</v>
      </c>
    </row>
    <row r="2479" spans="1:2" ht="13.5">
      <c r="A2479" s="169" t="s">
        <v>3004</v>
      </c>
      <c r="B2479" s="100" t="s">
        <v>4552</v>
      </c>
    </row>
    <row r="2480" spans="1:2" ht="13.5">
      <c r="A2480" s="169" t="s">
        <v>3005</v>
      </c>
      <c r="B2480" s="100" t="s">
        <v>4556</v>
      </c>
    </row>
    <row r="2481" spans="1:2" ht="13.5">
      <c r="A2481" s="169" t="s">
        <v>3006</v>
      </c>
      <c r="B2481" s="100" t="s">
        <v>4556</v>
      </c>
    </row>
    <row r="2482" spans="1:2" ht="13.5">
      <c r="A2482" s="169" t="s">
        <v>3007</v>
      </c>
      <c r="B2482" s="100" t="s">
        <v>4556</v>
      </c>
    </row>
    <row r="2483" spans="1:2" ht="13.5">
      <c r="A2483" s="169" t="s">
        <v>3008</v>
      </c>
      <c r="B2483" s="100" t="s">
        <v>4556</v>
      </c>
    </row>
    <row r="2484" spans="1:2" ht="13.5">
      <c r="A2484" s="169" t="s">
        <v>3009</v>
      </c>
      <c r="B2484" s="100" t="s">
        <v>4556</v>
      </c>
    </row>
    <row r="2485" spans="1:2" ht="13.5">
      <c r="A2485" s="169" t="s">
        <v>3010</v>
      </c>
      <c r="B2485" s="100" t="s">
        <v>4552</v>
      </c>
    </row>
    <row r="2486" spans="1:2" ht="13.5">
      <c r="A2486" s="169" t="s">
        <v>3011</v>
      </c>
      <c r="B2486" s="100" t="s">
        <v>4552</v>
      </c>
    </row>
    <row r="2487" spans="1:2" ht="13.5">
      <c r="A2487" s="169" t="s">
        <v>3012</v>
      </c>
      <c r="B2487" s="100" t="s">
        <v>4552</v>
      </c>
    </row>
    <row r="2488" spans="1:2" ht="13.5">
      <c r="A2488" s="169" t="s">
        <v>3013</v>
      </c>
      <c r="B2488" s="100" t="s">
        <v>4552</v>
      </c>
    </row>
    <row r="2489" spans="1:2" ht="13.5">
      <c r="A2489" s="169" t="s">
        <v>3014</v>
      </c>
      <c r="B2489" s="100" t="s">
        <v>4552</v>
      </c>
    </row>
    <row r="2490" spans="1:2" ht="13.5">
      <c r="A2490" s="169" t="s">
        <v>3015</v>
      </c>
      <c r="B2490" s="100" t="s">
        <v>4552</v>
      </c>
    </row>
    <row r="2491" spans="1:2" ht="13.5">
      <c r="A2491" s="169" t="s">
        <v>3016</v>
      </c>
      <c r="B2491" s="100" t="s">
        <v>4552</v>
      </c>
    </row>
    <row r="2492" spans="1:2" ht="13.5">
      <c r="A2492" s="169" t="s">
        <v>3017</v>
      </c>
      <c r="B2492" s="100" t="s">
        <v>4552</v>
      </c>
    </row>
    <row r="2493" spans="1:2" ht="13.5">
      <c r="A2493" s="169" t="s">
        <v>3018</v>
      </c>
      <c r="B2493" s="100" t="s">
        <v>4552</v>
      </c>
    </row>
    <row r="2494" spans="1:2" ht="13.5">
      <c r="A2494" s="169" t="s">
        <v>3019</v>
      </c>
      <c r="B2494" s="100" t="s">
        <v>4552</v>
      </c>
    </row>
    <row r="2495" spans="1:2" ht="13.5">
      <c r="A2495" s="169" t="s">
        <v>3020</v>
      </c>
      <c r="B2495" s="100" t="s">
        <v>4552</v>
      </c>
    </row>
    <row r="2496" spans="1:2" ht="13.5">
      <c r="A2496" s="169" t="s">
        <v>3021</v>
      </c>
      <c r="B2496" s="100" t="s">
        <v>4552</v>
      </c>
    </row>
    <row r="2497" spans="1:2" ht="13.5">
      <c r="A2497" s="169" t="s">
        <v>3022</v>
      </c>
      <c r="B2497" s="100" t="s">
        <v>4552</v>
      </c>
    </row>
    <row r="2498" spans="1:2" ht="13.5">
      <c r="A2498" s="169" t="s">
        <v>3023</v>
      </c>
      <c r="B2498" s="100" t="s">
        <v>4552</v>
      </c>
    </row>
    <row r="2499" spans="1:2" ht="13.5">
      <c r="A2499" s="169" t="s">
        <v>3024</v>
      </c>
      <c r="B2499" s="100" t="s">
        <v>4552</v>
      </c>
    </row>
    <row r="2500" spans="1:2" ht="13.5">
      <c r="A2500" s="169" t="s">
        <v>3025</v>
      </c>
      <c r="B2500" s="100" t="s">
        <v>4552</v>
      </c>
    </row>
    <row r="2501" spans="1:2" ht="13.5">
      <c r="A2501" s="169" t="s">
        <v>3026</v>
      </c>
      <c r="B2501" s="100" t="s">
        <v>4552</v>
      </c>
    </row>
    <row r="2502" spans="1:2" ht="13.5">
      <c r="A2502" s="169" t="s">
        <v>3027</v>
      </c>
      <c r="B2502" s="100" t="s">
        <v>4552</v>
      </c>
    </row>
    <row r="2503" spans="1:2" ht="13.5">
      <c r="A2503" s="169" t="s">
        <v>3028</v>
      </c>
      <c r="B2503" s="100" t="s">
        <v>4556</v>
      </c>
    </row>
    <row r="2504" spans="1:2" ht="13.5">
      <c r="A2504" s="169" t="s">
        <v>3029</v>
      </c>
      <c r="B2504" s="100" t="s">
        <v>4552</v>
      </c>
    </row>
    <row r="2505" spans="1:2" ht="13.5">
      <c r="A2505" s="169" t="s">
        <v>3030</v>
      </c>
      <c r="B2505" s="100" t="s">
        <v>4552</v>
      </c>
    </row>
    <row r="2506" spans="1:2" ht="13.5">
      <c r="A2506" s="169" t="s">
        <v>3031</v>
      </c>
      <c r="B2506" s="100" t="s">
        <v>4552</v>
      </c>
    </row>
    <row r="2507" spans="1:2" ht="13.5">
      <c r="A2507" s="169" t="s">
        <v>3032</v>
      </c>
      <c r="B2507" s="100" t="s">
        <v>4552</v>
      </c>
    </row>
    <row r="2508" spans="1:2" ht="13.5">
      <c r="A2508" s="169" t="s">
        <v>3033</v>
      </c>
      <c r="B2508" s="100" t="s">
        <v>4552</v>
      </c>
    </row>
    <row r="2509" spans="1:2" ht="13.5">
      <c r="A2509" s="169" t="s">
        <v>3034</v>
      </c>
      <c r="B2509" s="100" t="s">
        <v>4552</v>
      </c>
    </row>
    <row r="2510" spans="1:2" ht="13.5">
      <c r="A2510" s="168" t="s">
        <v>3035</v>
      </c>
      <c r="B2510" s="100" t="s">
        <v>4558</v>
      </c>
    </row>
    <row r="2511" spans="1:2" ht="13.5">
      <c r="A2511" s="169" t="s">
        <v>3036</v>
      </c>
      <c r="B2511" s="100" t="s">
        <v>4552</v>
      </c>
    </row>
    <row r="2512" spans="1:2" ht="13.5">
      <c r="A2512" s="169" t="s">
        <v>3037</v>
      </c>
      <c r="B2512" s="100" t="s">
        <v>4552</v>
      </c>
    </row>
    <row r="2513" spans="1:2" ht="13.5">
      <c r="A2513" s="169" t="s">
        <v>3038</v>
      </c>
      <c r="B2513" s="100" t="s">
        <v>4552</v>
      </c>
    </row>
    <row r="2514" spans="1:2" ht="13.5">
      <c r="A2514" s="169" t="s">
        <v>3039</v>
      </c>
      <c r="B2514" s="100" t="s">
        <v>4552</v>
      </c>
    </row>
    <row r="2515" spans="1:2" ht="13.5">
      <c r="A2515" s="169" t="s">
        <v>3040</v>
      </c>
      <c r="B2515" s="100" t="s">
        <v>4552</v>
      </c>
    </row>
    <row r="2516" spans="1:2" ht="13.5">
      <c r="A2516" s="169" t="s">
        <v>3041</v>
      </c>
      <c r="B2516" s="100" t="s">
        <v>4552</v>
      </c>
    </row>
    <row r="2517" spans="1:2" ht="13.5">
      <c r="A2517" s="169" t="s">
        <v>3042</v>
      </c>
      <c r="B2517" s="100" t="s">
        <v>4552</v>
      </c>
    </row>
    <row r="2518" spans="1:2" ht="13.5">
      <c r="A2518" s="169" t="s">
        <v>3043</v>
      </c>
      <c r="B2518" s="100" t="s">
        <v>4552</v>
      </c>
    </row>
    <row r="2519" spans="1:2" ht="13.5">
      <c r="A2519" s="169" t="s">
        <v>3044</v>
      </c>
      <c r="B2519" s="100" t="s">
        <v>4552</v>
      </c>
    </row>
    <row r="2520" spans="1:2" ht="13.5">
      <c r="A2520" s="169" t="s">
        <v>3045</v>
      </c>
      <c r="B2520" s="100" t="s">
        <v>4552</v>
      </c>
    </row>
    <row r="2521" spans="1:2" ht="13.5">
      <c r="A2521" s="169" t="s">
        <v>3046</v>
      </c>
      <c r="B2521" s="100" t="s">
        <v>4552</v>
      </c>
    </row>
    <row r="2522" spans="1:2" ht="13.5">
      <c r="A2522" s="169" t="s">
        <v>3047</v>
      </c>
      <c r="B2522" s="100" t="s">
        <v>4552</v>
      </c>
    </row>
    <row r="2523" spans="1:2" ht="13.5">
      <c r="A2523" s="169" t="s">
        <v>3048</v>
      </c>
      <c r="B2523" s="100" t="s">
        <v>4552</v>
      </c>
    </row>
    <row r="2524" spans="1:2" ht="13.5">
      <c r="A2524" s="169" t="s">
        <v>3049</v>
      </c>
      <c r="B2524" s="100" t="s">
        <v>4552</v>
      </c>
    </row>
    <row r="2525" spans="1:2" ht="13.5">
      <c r="A2525" s="169" t="s">
        <v>3050</v>
      </c>
      <c r="B2525" s="100" t="s">
        <v>4552</v>
      </c>
    </row>
    <row r="2526" spans="1:2" ht="13.5">
      <c r="A2526" s="169" t="s">
        <v>3051</v>
      </c>
      <c r="B2526" s="100" t="s">
        <v>4552</v>
      </c>
    </row>
    <row r="2527" spans="1:2" ht="13.5">
      <c r="A2527" s="169" t="s">
        <v>3052</v>
      </c>
      <c r="B2527" s="100" t="s">
        <v>4552</v>
      </c>
    </row>
    <row r="2528" spans="1:2" ht="13.5">
      <c r="A2528" s="169" t="s">
        <v>3053</v>
      </c>
      <c r="B2528" s="100" t="s">
        <v>4552</v>
      </c>
    </row>
    <row r="2529" spans="1:2" ht="13.5">
      <c r="A2529" s="168" t="s">
        <v>4611</v>
      </c>
      <c r="B2529" s="100" t="s">
        <v>4558</v>
      </c>
    </row>
    <row r="2530" spans="1:2" ht="13.5">
      <c r="A2530" s="169" t="s">
        <v>3054</v>
      </c>
      <c r="B2530" s="100" t="s">
        <v>4552</v>
      </c>
    </row>
    <row r="2531" spans="1:2" ht="13.5">
      <c r="A2531" s="169" t="s">
        <v>3055</v>
      </c>
      <c r="B2531" s="100" t="s">
        <v>4556</v>
      </c>
    </row>
    <row r="2532" spans="1:2" ht="13.5">
      <c r="A2532" s="169" t="s">
        <v>3056</v>
      </c>
      <c r="B2532" s="100" t="s">
        <v>4556</v>
      </c>
    </row>
    <row r="2533" spans="1:2" ht="13.5">
      <c r="A2533" s="169" t="s">
        <v>3057</v>
      </c>
      <c r="B2533" s="100" t="s">
        <v>4556</v>
      </c>
    </row>
    <row r="2534" spans="1:2" ht="13.5">
      <c r="A2534" s="169" t="s">
        <v>3058</v>
      </c>
      <c r="B2534" s="100" t="s">
        <v>4552</v>
      </c>
    </row>
    <row r="2535" spans="1:2" ht="13.5">
      <c r="A2535" s="169" t="s">
        <v>3059</v>
      </c>
      <c r="B2535" s="100" t="s">
        <v>4552</v>
      </c>
    </row>
    <row r="2536" spans="1:2" ht="13.5">
      <c r="A2536" s="169" t="s">
        <v>3060</v>
      </c>
      <c r="B2536" s="100" t="s">
        <v>4552</v>
      </c>
    </row>
    <row r="2537" spans="1:2" ht="13.5">
      <c r="A2537" s="169" t="s">
        <v>3061</v>
      </c>
      <c r="B2537" s="100" t="s">
        <v>4556</v>
      </c>
    </row>
    <row r="2538" spans="1:2" ht="13.5">
      <c r="A2538" s="169" t="s">
        <v>3062</v>
      </c>
      <c r="B2538" s="100" t="s">
        <v>4556</v>
      </c>
    </row>
    <row r="2539" spans="1:2" ht="13.5">
      <c r="A2539" s="169" t="s">
        <v>3063</v>
      </c>
      <c r="B2539" s="100" t="s">
        <v>4556</v>
      </c>
    </row>
    <row r="2540" spans="1:2" ht="13.5">
      <c r="A2540" s="169" t="s">
        <v>3064</v>
      </c>
      <c r="B2540" s="100" t="s">
        <v>4556</v>
      </c>
    </row>
    <row r="2541" spans="1:2" ht="13.5">
      <c r="A2541" s="169" t="s">
        <v>3065</v>
      </c>
      <c r="B2541" s="100" t="s">
        <v>4556</v>
      </c>
    </row>
    <row r="2542" spans="1:2" ht="13.5">
      <c r="A2542" s="169" t="s">
        <v>3066</v>
      </c>
      <c r="B2542" s="100" t="s">
        <v>4552</v>
      </c>
    </row>
    <row r="2543" spans="1:2" ht="13.5">
      <c r="A2543" s="169" t="s">
        <v>3067</v>
      </c>
      <c r="B2543" s="100" t="s">
        <v>4552</v>
      </c>
    </row>
    <row r="2544" spans="1:2" ht="13.5">
      <c r="A2544" s="169" t="s">
        <v>3068</v>
      </c>
      <c r="B2544" s="100" t="s">
        <v>4552</v>
      </c>
    </row>
    <row r="2545" spans="1:2" ht="13.5">
      <c r="A2545" s="169" t="s">
        <v>3069</v>
      </c>
      <c r="B2545" s="100" t="s">
        <v>4552</v>
      </c>
    </row>
    <row r="2546" spans="1:2" ht="13.5">
      <c r="A2546" s="169" t="s">
        <v>3070</v>
      </c>
      <c r="B2546" s="100" t="s">
        <v>4552</v>
      </c>
    </row>
    <row r="2547" spans="1:2" ht="13.5">
      <c r="A2547" s="169" t="s">
        <v>3071</v>
      </c>
      <c r="B2547" s="100" t="s">
        <v>4552</v>
      </c>
    </row>
    <row r="2548" spans="1:2" ht="13.5">
      <c r="A2548" s="169" t="s">
        <v>3072</v>
      </c>
      <c r="B2548" s="100" t="s">
        <v>4552</v>
      </c>
    </row>
    <row r="2549" spans="1:2" ht="13.5">
      <c r="A2549" s="169" t="s">
        <v>3073</v>
      </c>
      <c r="B2549" s="100" t="s">
        <v>4556</v>
      </c>
    </row>
    <row r="2550" spans="1:2" ht="13.5">
      <c r="A2550" s="169" t="s">
        <v>3074</v>
      </c>
      <c r="B2550" s="100" t="s">
        <v>4552</v>
      </c>
    </row>
    <row r="2551" spans="1:2" ht="13.5">
      <c r="A2551" s="169" t="s">
        <v>3075</v>
      </c>
      <c r="B2551" s="100" t="s">
        <v>4552</v>
      </c>
    </row>
    <row r="2552" spans="1:2" ht="13.5">
      <c r="A2552" s="169" t="s">
        <v>3076</v>
      </c>
      <c r="B2552" s="100" t="s">
        <v>4552</v>
      </c>
    </row>
    <row r="2553" spans="1:2" ht="13.5">
      <c r="A2553" s="169" t="s">
        <v>3077</v>
      </c>
      <c r="B2553" s="100" t="s">
        <v>4612</v>
      </c>
    </row>
    <row r="2554" spans="1:2" ht="13.5">
      <c r="A2554" s="169" t="s">
        <v>3078</v>
      </c>
      <c r="B2554" s="100" t="s">
        <v>4552</v>
      </c>
    </row>
    <row r="2555" spans="1:2" ht="13.5">
      <c r="A2555" s="169" t="s">
        <v>3079</v>
      </c>
      <c r="B2555" s="100" t="s">
        <v>4612</v>
      </c>
    </row>
    <row r="2556" spans="1:2" ht="13.5">
      <c r="A2556" s="169" t="s">
        <v>3080</v>
      </c>
      <c r="B2556" s="100" t="s">
        <v>4552</v>
      </c>
    </row>
    <row r="2557" spans="1:2" ht="13.5">
      <c r="A2557" s="169" t="s">
        <v>3081</v>
      </c>
      <c r="B2557" s="100" t="s">
        <v>4613</v>
      </c>
    </row>
    <row r="2558" spans="1:2" ht="13.5">
      <c r="A2558" s="169" t="s">
        <v>3082</v>
      </c>
      <c r="B2558" s="100" t="s">
        <v>4556</v>
      </c>
    </row>
    <row r="2559" spans="1:2" ht="13.5">
      <c r="A2559" s="169" t="s">
        <v>3083</v>
      </c>
      <c r="B2559" s="100" t="s">
        <v>4556</v>
      </c>
    </row>
    <row r="2560" spans="1:2" ht="13.5">
      <c r="A2560" s="169" t="s">
        <v>3084</v>
      </c>
      <c r="B2560" s="100" t="s">
        <v>4556</v>
      </c>
    </row>
    <row r="2561" spans="1:2" ht="13.5">
      <c r="A2561" s="169" t="s">
        <v>3085</v>
      </c>
      <c r="B2561" s="100" t="s">
        <v>4556</v>
      </c>
    </row>
    <row r="2562" spans="1:2" ht="13.5">
      <c r="A2562" s="169" t="s">
        <v>3086</v>
      </c>
      <c r="B2562" s="100" t="s">
        <v>4556</v>
      </c>
    </row>
    <row r="2563" spans="1:2" ht="13.5">
      <c r="A2563" s="169" t="s">
        <v>3087</v>
      </c>
      <c r="B2563" s="100" t="s">
        <v>4556</v>
      </c>
    </row>
    <row r="2564" spans="1:2" ht="13.5">
      <c r="A2564" s="169" t="s">
        <v>3088</v>
      </c>
      <c r="B2564" s="100" t="s">
        <v>4556</v>
      </c>
    </row>
    <row r="2565" spans="1:2" ht="13.5">
      <c r="A2565" s="169" t="s">
        <v>3089</v>
      </c>
      <c r="B2565" s="100" t="s">
        <v>4556</v>
      </c>
    </row>
    <row r="2566" spans="1:2" ht="13.5">
      <c r="A2566" s="169" t="s">
        <v>3090</v>
      </c>
      <c r="B2566" s="100" t="s">
        <v>4556</v>
      </c>
    </row>
    <row r="2567" spans="1:2" ht="13.5">
      <c r="A2567" s="169" t="s">
        <v>3091</v>
      </c>
      <c r="B2567" s="100" t="s">
        <v>4552</v>
      </c>
    </row>
    <row r="2568" spans="1:2" ht="13.5">
      <c r="A2568" s="169" t="s">
        <v>3092</v>
      </c>
      <c r="B2568" s="100" t="s">
        <v>4556</v>
      </c>
    </row>
    <row r="2569" spans="1:2" ht="13.5">
      <c r="A2569" s="168" t="s">
        <v>3093</v>
      </c>
      <c r="B2569" s="100" t="s">
        <v>4558</v>
      </c>
    </row>
    <row r="2570" spans="1:2" ht="13.5">
      <c r="A2570" s="169" t="s">
        <v>3094</v>
      </c>
      <c r="B2570" s="100" t="s">
        <v>4552</v>
      </c>
    </row>
    <row r="2571" spans="1:2" ht="13.5">
      <c r="A2571" s="169" t="s">
        <v>3095</v>
      </c>
      <c r="B2571" s="100" t="s">
        <v>4552</v>
      </c>
    </row>
    <row r="2572" spans="1:2" ht="13.5">
      <c r="A2572" s="169" t="s">
        <v>3096</v>
      </c>
      <c r="B2572" s="100" t="s">
        <v>4552</v>
      </c>
    </row>
    <row r="2573" spans="1:2" ht="13.5">
      <c r="A2573" s="169" t="s">
        <v>3097</v>
      </c>
      <c r="B2573" s="100" t="s">
        <v>4556</v>
      </c>
    </row>
    <row r="2574" spans="1:2" ht="13.5">
      <c r="A2574" s="169" t="s">
        <v>3098</v>
      </c>
      <c r="B2574" s="100" t="s">
        <v>4556</v>
      </c>
    </row>
    <row r="2575" spans="1:2" ht="13.5">
      <c r="A2575" s="169" t="s">
        <v>3099</v>
      </c>
      <c r="B2575" s="100" t="s">
        <v>4556</v>
      </c>
    </row>
    <row r="2576" spans="1:2" ht="13.5">
      <c r="A2576" s="169" t="s">
        <v>3100</v>
      </c>
      <c r="B2576" s="100" t="s">
        <v>4556</v>
      </c>
    </row>
    <row r="2577" spans="1:2" ht="13.5">
      <c r="A2577" s="169" t="s">
        <v>3101</v>
      </c>
      <c r="B2577" s="100" t="s">
        <v>4556</v>
      </c>
    </row>
    <row r="2578" spans="1:2" ht="13.5">
      <c r="A2578" s="169" t="s">
        <v>3102</v>
      </c>
      <c r="B2578" s="100" t="s">
        <v>4552</v>
      </c>
    </row>
    <row r="2579" spans="1:2" ht="13.5">
      <c r="A2579" s="169" t="s">
        <v>3103</v>
      </c>
      <c r="B2579" s="100" t="s">
        <v>4564</v>
      </c>
    </row>
    <row r="2580" spans="1:2" ht="13.5">
      <c r="A2580" s="169" t="s">
        <v>3104</v>
      </c>
      <c r="B2580" s="100" t="s">
        <v>4552</v>
      </c>
    </row>
    <row r="2581" spans="1:2" ht="13.5">
      <c r="A2581" s="169" t="s">
        <v>3105</v>
      </c>
      <c r="B2581" s="100" t="s">
        <v>4552</v>
      </c>
    </row>
    <row r="2582" spans="1:2" ht="13.5">
      <c r="A2582" s="169" t="s">
        <v>3106</v>
      </c>
      <c r="B2582" s="100" t="s">
        <v>4552</v>
      </c>
    </row>
    <row r="2583" spans="1:2" ht="13.5">
      <c r="A2583" s="169" t="s">
        <v>3107</v>
      </c>
      <c r="B2583" s="100" t="s">
        <v>4552</v>
      </c>
    </row>
    <row r="2584" spans="1:2" ht="13.5">
      <c r="A2584" s="169" t="s">
        <v>3108</v>
      </c>
      <c r="B2584" s="100" t="s">
        <v>4552</v>
      </c>
    </row>
    <row r="2585" spans="1:2" ht="13.5">
      <c r="A2585" s="169" t="s">
        <v>3109</v>
      </c>
      <c r="B2585" s="100" t="s">
        <v>4552</v>
      </c>
    </row>
    <row r="2586" spans="1:2" ht="13.5">
      <c r="A2586" s="169" t="s">
        <v>3110</v>
      </c>
      <c r="B2586" s="100" t="s">
        <v>4552</v>
      </c>
    </row>
    <row r="2587" spans="1:2" ht="13.5">
      <c r="A2587" s="169" t="s">
        <v>3111</v>
      </c>
      <c r="B2587" s="100" t="s">
        <v>4552</v>
      </c>
    </row>
    <row r="2588" spans="1:2" ht="13.5">
      <c r="A2588" s="169" t="s">
        <v>3112</v>
      </c>
      <c r="B2588" s="100" t="s">
        <v>4552</v>
      </c>
    </row>
    <row r="2589" spans="1:2" ht="13.5">
      <c r="A2589" s="169" t="s">
        <v>3113</v>
      </c>
      <c r="B2589" s="100" t="s">
        <v>4552</v>
      </c>
    </row>
    <row r="2590" spans="1:2" ht="13.5">
      <c r="A2590" s="169" t="s">
        <v>3114</v>
      </c>
      <c r="B2590" s="100" t="s">
        <v>4552</v>
      </c>
    </row>
    <row r="2591" spans="1:2" ht="13.5">
      <c r="A2591" s="169" t="s">
        <v>3115</v>
      </c>
      <c r="B2591" s="100" t="s">
        <v>4552</v>
      </c>
    </row>
    <row r="2592" spans="1:2" ht="13.5">
      <c r="A2592" s="169" t="s">
        <v>3116</v>
      </c>
      <c r="B2592" s="100" t="s">
        <v>4552</v>
      </c>
    </row>
    <row r="2593" spans="1:2" ht="13.5">
      <c r="A2593" s="169" t="s">
        <v>3117</v>
      </c>
      <c r="B2593" s="100" t="s">
        <v>4552</v>
      </c>
    </row>
    <row r="2594" spans="1:2" ht="13.5">
      <c r="A2594" s="169" t="s">
        <v>3118</v>
      </c>
      <c r="B2594" s="100" t="s">
        <v>4552</v>
      </c>
    </row>
    <row r="2595" spans="1:2" ht="13.5">
      <c r="A2595" s="169" t="s">
        <v>3119</v>
      </c>
      <c r="B2595" s="100" t="s">
        <v>4552</v>
      </c>
    </row>
    <row r="2596" spans="1:2" ht="13.5">
      <c r="A2596" s="169" t="s">
        <v>3120</v>
      </c>
      <c r="B2596" s="100" t="s">
        <v>4552</v>
      </c>
    </row>
    <row r="2597" spans="1:2" ht="13.5">
      <c r="A2597" s="169" t="s">
        <v>3121</v>
      </c>
      <c r="B2597" s="100" t="s">
        <v>4552</v>
      </c>
    </row>
    <row r="2598" spans="1:2" ht="13.5">
      <c r="A2598" s="169" t="s">
        <v>3122</v>
      </c>
      <c r="B2598" s="100" t="s">
        <v>4552</v>
      </c>
    </row>
    <row r="2599" spans="1:2" ht="13.5">
      <c r="A2599" s="169" t="s">
        <v>3123</v>
      </c>
      <c r="B2599" s="100" t="s">
        <v>4552</v>
      </c>
    </row>
    <row r="2600" spans="1:2" ht="13.5">
      <c r="A2600" s="169" t="s">
        <v>3124</v>
      </c>
      <c r="B2600" s="100" t="s">
        <v>4552</v>
      </c>
    </row>
    <row r="2601" spans="1:2" ht="13.5">
      <c r="A2601" s="169" t="s">
        <v>3125</v>
      </c>
      <c r="B2601" s="100" t="s">
        <v>4552</v>
      </c>
    </row>
    <row r="2602" spans="1:2" ht="13.5">
      <c r="A2602" s="169" t="s">
        <v>3126</v>
      </c>
      <c r="B2602" s="100" t="s">
        <v>4552</v>
      </c>
    </row>
    <row r="2603" spans="1:2" ht="13.5">
      <c r="A2603" s="169" t="s">
        <v>3127</v>
      </c>
      <c r="B2603" s="100" t="s">
        <v>4552</v>
      </c>
    </row>
    <row r="2604" spans="1:2" ht="13.5">
      <c r="A2604" s="169" t="s">
        <v>3128</v>
      </c>
      <c r="B2604" s="100" t="s">
        <v>4552</v>
      </c>
    </row>
    <row r="2605" spans="1:2" ht="13.5">
      <c r="A2605" s="169" t="s">
        <v>3129</v>
      </c>
      <c r="B2605" s="100" t="s">
        <v>4552</v>
      </c>
    </row>
    <row r="2606" spans="1:2" ht="13.5">
      <c r="A2606" s="169" t="s">
        <v>3130</v>
      </c>
      <c r="B2606" s="100" t="s">
        <v>4552</v>
      </c>
    </row>
    <row r="2607" spans="1:2" ht="13.5">
      <c r="A2607" s="169" t="s">
        <v>3131</v>
      </c>
      <c r="B2607" s="100" t="s">
        <v>4552</v>
      </c>
    </row>
    <row r="2608" spans="1:2" ht="13.5">
      <c r="A2608" s="169" t="s">
        <v>3132</v>
      </c>
      <c r="B2608" s="100" t="s">
        <v>4552</v>
      </c>
    </row>
    <row r="2609" spans="1:2" ht="13.5">
      <c r="A2609" s="169" t="s">
        <v>3133</v>
      </c>
      <c r="B2609" s="100" t="s">
        <v>4552</v>
      </c>
    </row>
    <row r="2610" spans="1:2" ht="13.5">
      <c r="A2610" s="169" t="s">
        <v>3134</v>
      </c>
      <c r="B2610" s="100" t="s">
        <v>4552</v>
      </c>
    </row>
    <row r="2611" spans="1:2" ht="13.5">
      <c r="A2611" s="169" t="s">
        <v>3135</v>
      </c>
      <c r="B2611" s="100" t="s">
        <v>4552</v>
      </c>
    </row>
    <row r="2612" spans="1:2" ht="13.5">
      <c r="A2612" s="169" t="s">
        <v>3136</v>
      </c>
      <c r="B2612" s="100" t="s">
        <v>4552</v>
      </c>
    </row>
    <row r="2613" spans="1:2" ht="13.5">
      <c r="A2613" s="169" t="s">
        <v>3137</v>
      </c>
      <c r="B2613" s="100" t="s">
        <v>4552</v>
      </c>
    </row>
    <row r="2614" spans="1:2" ht="13.5">
      <c r="A2614" s="169" t="s">
        <v>3138</v>
      </c>
      <c r="B2614" s="100" t="s">
        <v>4552</v>
      </c>
    </row>
    <row r="2615" spans="1:2" ht="13.5">
      <c r="A2615" s="169" t="s">
        <v>3139</v>
      </c>
      <c r="B2615" s="100" t="s">
        <v>4552</v>
      </c>
    </row>
    <row r="2616" spans="1:2" ht="13.5">
      <c r="A2616" s="169" t="s">
        <v>3140</v>
      </c>
      <c r="B2616" s="100" t="s">
        <v>4552</v>
      </c>
    </row>
    <row r="2617" spans="1:2" ht="13.5">
      <c r="A2617" s="169" t="s">
        <v>3141</v>
      </c>
      <c r="B2617" s="100" t="s">
        <v>4552</v>
      </c>
    </row>
    <row r="2618" spans="1:2" ht="13.5">
      <c r="A2618" s="169" t="s">
        <v>3142</v>
      </c>
      <c r="B2618" s="100" t="s">
        <v>4552</v>
      </c>
    </row>
    <row r="2619" spans="1:2" ht="13.5">
      <c r="A2619" s="169" t="s">
        <v>3143</v>
      </c>
      <c r="B2619" s="100" t="s">
        <v>4552</v>
      </c>
    </row>
    <row r="2620" spans="1:2" ht="13.5">
      <c r="A2620" s="169" t="s">
        <v>3144</v>
      </c>
      <c r="B2620" s="100" t="s">
        <v>4552</v>
      </c>
    </row>
    <row r="2621" spans="1:2" ht="13.5">
      <c r="A2621" s="169" t="s">
        <v>3145</v>
      </c>
      <c r="B2621" s="100" t="s">
        <v>4552</v>
      </c>
    </row>
    <row r="2622" spans="1:2" ht="13.5">
      <c r="A2622" s="169" t="s">
        <v>3146</v>
      </c>
      <c r="B2622" s="100" t="s">
        <v>4552</v>
      </c>
    </row>
    <row r="2623" spans="1:2" ht="13.5">
      <c r="A2623" s="169" t="s">
        <v>3147</v>
      </c>
      <c r="B2623" s="100" t="s">
        <v>4552</v>
      </c>
    </row>
    <row r="2624" spans="1:2" ht="13.5">
      <c r="A2624" s="169" t="s">
        <v>3148</v>
      </c>
      <c r="B2624" s="100" t="s">
        <v>4552</v>
      </c>
    </row>
    <row r="2625" spans="1:2" ht="13.5">
      <c r="A2625" s="169" t="s">
        <v>3149</v>
      </c>
      <c r="B2625" s="100" t="s">
        <v>4552</v>
      </c>
    </row>
    <row r="2626" spans="1:2" ht="13.5">
      <c r="A2626" s="169" t="s">
        <v>3150</v>
      </c>
      <c r="B2626" s="100" t="s">
        <v>4552</v>
      </c>
    </row>
    <row r="2627" spans="1:2" ht="13.5">
      <c r="A2627" s="169" t="s">
        <v>3151</v>
      </c>
      <c r="B2627" s="100" t="s">
        <v>4552</v>
      </c>
    </row>
    <row r="2628" spans="1:2" ht="13.5">
      <c r="A2628" s="169" t="s">
        <v>3152</v>
      </c>
      <c r="B2628" s="100" t="s">
        <v>4552</v>
      </c>
    </row>
    <row r="2629" spans="1:2" ht="13.5">
      <c r="A2629" s="169" t="s">
        <v>3153</v>
      </c>
      <c r="B2629" s="100" t="s">
        <v>4552</v>
      </c>
    </row>
    <row r="2630" spans="1:2" ht="13.5">
      <c r="A2630" s="169" t="s">
        <v>3154</v>
      </c>
      <c r="B2630" s="100" t="s">
        <v>4552</v>
      </c>
    </row>
    <row r="2631" spans="1:2" ht="13.5">
      <c r="A2631" s="169" t="s">
        <v>3155</v>
      </c>
      <c r="B2631" s="100" t="s">
        <v>4552</v>
      </c>
    </row>
    <row r="2632" spans="1:2" ht="13.5">
      <c r="A2632" s="169" t="s">
        <v>3156</v>
      </c>
      <c r="B2632" s="100" t="s">
        <v>4552</v>
      </c>
    </row>
    <row r="2633" spans="1:2" ht="13.5">
      <c r="A2633" s="169" t="s">
        <v>3157</v>
      </c>
      <c r="B2633" s="100" t="s">
        <v>4552</v>
      </c>
    </row>
    <row r="2634" spans="1:2" ht="13.5">
      <c r="A2634" s="169" t="s">
        <v>3158</v>
      </c>
      <c r="B2634" s="100" t="s">
        <v>4552</v>
      </c>
    </row>
    <row r="2635" spans="1:2" ht="13.5">
      <c r="A2635" s="169" t="s">
        <v>3159</v>
      </c>
      <c r="B2635" s="100" t="s">
        <v>4552</v>
      </c>
    </row>
    <row r="2636" spans="1:2" ht="13.5">
      <c r="A2636" s="169" t="s">
        <v>3160</v>
      </c>
      <c r="B2636" s="100" t="s">
        <v>4552</v>
      </c>
    </row>
    <row r="2637" spans="1:2" ht="13.5">
      <c r="A2637" s="169" t="s">
        <v>3161</v>
      </c>
      <c r="B2637" s="100" t="s">
        <v>4552</v>
      </c>
    </row>
    <row r="2638" spans="1:2" ht="13.5">
      <c r="A2638" s="169" t="s">
        <v>3162</v>
      </c>
      <c r="B2638" s="100" t="s">
        <v>4552</v>
      </c>
    </row>
    <row r="2639" spans="1:2" ht="13.5">
      <c r="A2639" s="169" t="s">
        <v>3163</v>
      </c>
      <c r="B2639" s="100" t="s">
        <v>4552</v>
      </c>
    </row>
    <row r="2640" spans="1:2" ht="13.5">
      <c r="A2640" s="169" t="s">
        <v>3164</v>
      </c>
      <c r="B2640" s="100" t="s">
        <v>4552</v>
      </c>
    </row>
    <row r="2641" spans="1:2" ht="13.5">
      <c r="A2641" s="169" t="s">
        <v>3165</v>
      </c>
      <c r="B2641" s="100" t="s">
        <v>4552</v>
      </c>
    </row>
    <row r="2642" spans="1:2" ht="13.5">
      <c r="A2642" s="169" t="s">
        <v>3166</v>
      </c>
      <c r="B2642" s="100" t="s">
        <v>4552</v>
      </c>
    </row>
    <row r="2643" spans="1:2" ht="13.5">
      <c r="A2643" s="169" t="s">
        <v>3167</v>
      </c>
      <c r="B2643" s="100" t="s">
        <v>4552</v>
      </c>
    </row>
    <row r="2644" spans="1:2" ht="13.5">
      <c r="A2644" s="169" t="s">
        <v>3168</v>
      </c>
      <c r="B2644" s="100" t="s">
        <v>4552</v>
      </c>
    </row>
    <row r="2645" spans="1:2" ht="13.5">
      <c r="A2645" s="169" t="s">
        <v>3169</v>
      </c>
      <c r="B2645" s="100" t="s">
        <v>4552</v>
      </c>
    </row>
    <row r="2646" spans="1:2" ht="13.5">
      <c r="A2646" s="169" t="s">
        <v>3170</v>
      </c>
      <c r="B2646" s="100" t="s">
        <v>4552</v>
      </c>
    </row>
    <row r="2647" spans="1:2" ht="13.5">
      <c r="A2647" s="169" t="s">
        <v>3171</v>
      </c>
      <c r="B2647" s="100" t="s">
        <v>4552</v>
      </c>
    </row>
    <row r="2648" spans="1:2" ht="13.5">
      <c r="A2648" s="169" t="s">
        <v>3172</v>
      </c>
      <c r="B2648" s="100" t="s">
        <v>4552</v>
      </c>
    </row>
    <row r="2649" spans="1:2" ht="13.5">
      <c r="A2649" s="169" t="s">
        <v>3173</v>
      </c>
      <c r="B2649" s="100" t="s">
        <v>4552</v>
      </c>
    </row>
    <row r="2650" spans="1:2" ht="13.5">
      <c r="A2650" s="169" t="s">
        <v>3174</v>
      </c>
      <c r="B2650" s="100" t="s">
        <v>4552</v>
      </c>
    </row>
    <row r="2651" spans="1:2" ht="13.5">
      <c r="A2651" s="169" t="s">
        <v>3175</v>
      </c>
      <c r="B2651" s="100" t="s">
        <v>4552</v>
      </c>
    </row>
    <row r="2652" spans="1:2" ht="13.5">
      <c r="A2652" s="169" t="s">
        <v>3176</v>
      </c>
      <c r="B2652" s="100" t="s">
        <v>4552</v>
      </c>
    </row>
    <row r="2653" spans="1:2" ht="13.5">
      <c r="A2653" s="169" t="s">
        <v>3177</v>
      </c>
      <c r="B2653" s="100" t="s">
        <v>4552</v>
      </c>
    </row>
    <row r="2654" spans="1:2" ht="13.5">
      <c r="A2654" s="169" t="s">
        <v>3178</v>
      </c>
      <c r="B2654" s="100" t="s">
        <v>4552</v>
      </c>
    </row>
    <row r="2655" spans="1:2" ht="13.5">
      <c r="A2655" s="169" t="s">
        <v>3179</v>
      </c>
      <c r="B2655" s="100" t="s">
        <v>4552</v>
      </c>
    </row>
    <row r="2656" spans="1:2" ht="13.5">
      <c r="A2656" s="169" t="s">
        <v>3180</v>
      </c>
      <c r="B2656" s="100" t="s">
        <v>4552</v>
      </c>
    </row>
    <row r="2657" spans="1:2" ht="13.5">
      <c r="A2657" s="169" t="s">
        <v>3181</v>
      </c>
      <c r="B2657" s="100" t="s">
        <v>4552</v>
      </c>
    </row>
    <row r="2658" spans="1:2" ht="13.5">
      <c r="A2658" s="169" t="s">
        <v>3182</v>
      </c>
      <c r="B2658" s="100" t="s">
        <v>4552</v>
      </c>
    </row>
    <row r="2659" spans="1:2" ht="13.5">
      <c r="A2659" s="169" t="s">
        <v>3183</v>
      </c>
      <c r="B2659" s="100" t="s">
        <v>4552</v>
      </c>
    </row>
    <row r="2660" spans="1:2" ht="13.5">
      <c r="A2660" s="169" t="s">
        <v>3184</v>
      </c>
      <c r="B2660" s="100" t="s">
        <v>4552</v>
      </c>
    </row>
    <row r="2661" spans="1:2" ht="13.5">
      <c r="A2661" s="169" t="s">
        <v>3185</v>
      </c>
      <c r="B2661" s="100" t="s">
        <v>4552</v>
      </c>
    </row>
    <row r="2662" spans="1:2" ht="13.5">
      <c r="A2662" s="169" t="s">
        <v>3186</v>
      </c>
      <c r="B2662" s="100" t="s">
        <v>4552</v>
      </c>
    </row>
    <row r="2663" spans="1:2" ht="13.5">
      <c r="A2663" s="169" t="s">
        <v>3187</v>
      </c>
      <c r="B2663" s="100" t="s">
        <v>4552</v>
      </c>
    </row>
    <row r="2664" spans="1:2" ht="13.5">
      <c r="A2664" s="169" t="s">
        <v>3188</v>
      </c>
      <c r="B2664" s="100" t="s">
        <v>4552</v>
      </c>
    </row>
    <row r="2665" spans="1:2" ht="13.5">
      <c r="A2665" s="169" t="s">
        <v>3189</v>
      </c>
      <c r="B2665" s="100" t="s">
        <v>4552</v>
      </c>
    </row>
    <row r="2666" spans="1:2" ht="13.5">
      <c r="A2666" s="168" t="s">
        <v>3190</v>
      </c>
      <c r="B2666" s="100" t="s">
        <v>4558</v>
      </c>
    </row>
    <row r="2667" spans="1:2" ht="13.5">
      <c r="A2667" s="169" t="s">
        <v>3191</v>
      </c>
      <c r="B2667" s="100" t="s">
        <v>4552</v>
      </c>
    </row>
    <row r="2668" spans="1:2" ht="13.5">
      <c r="A2668" s="169" t="s">
        <v>3192</v>
      </c>
      <c r="B2668" s="100" t="s">
        <v>4552</v>
      </c>
    </row>
    <row r="2669" spans="1:2" ht="13.5">
      <c r="A2669" s="169" t="s">
        <v>3193</v>
      </c>
      <c r="B2669" s="100" t="s">
        <v>4552</v>
      </c>
    </row>
    <row r="2670" spans="1:2" ht="13.5">
      <c r="A2670" s="169" t="s">
        <v>3194</v>
      </c>
      <c r="B2670" s="100" t="s">
        <v>4552</v>
      </c>
    </row>
    <row r="2671" spans="1:2" ht="13.5">
      <c r="A2671" s="169" t="s">
        <v>3195</v>
      </c>
      <c r="B2671" s="100" t="s">
        <v>4552</v>
      </c>
    </row>
    <row r="2672" spans="1:2" ht="13.5">
      <c r="A2672" s="169" t="s">
        <v>3196</v>
      </c>
      <c r="B2672" s="100" t="s">
        <v>4552</v>
      </c>
    </row>
    <row r="2673" spans="1:2" ht="13.5">
      <c r="A2673" s="169" t="s">
        <v>3197</v>
      </c>
      <c r="B2673" s="100" t="s">
        <v>4552</v>
      </c>
    </row>
    <row r="2674" spans="1:2" ht="13.5">
      <c r="A2674" s="169" t="s">
        <v>3198</v>
      </c>
      <c r="B2674" s="100" t="s">
        <v>4552</v>
      </c>
    </row>
    <row r="2675" spans="1:2" ht="13.5">
      <c r="A2675" s="169" t="s">
        <v>3199</v>
      </c>
      <c r="B2675" s="100" t="s">
        <v>4552</v>
      </c>
    </row>
    <row r="2676" spans="1:2" ht="13.5">
      <c r="A2676" s="169" t="s">
        <v>3200</v>
      </c>
      <c r="B2676" s="100" t="s">
        <v>4552</v>
      </c>
    </row>
    <row r="2677" spans="1:2" ht="13.5">
      <c r="A2677" s="169" t="s">
        <v>3201</v>
      </c>
      <c r="B2677" s="100" t="s">
        <v>4552</v>
      </c>
    </row>
    <row r="2678" spans="1:2" ht="13.5">
      <c r="A2678" s="169" t="s">
        <v>3202</v>
      </c>
      <c r="B2678" s="100" t="s">
        <v>4552</v>
      </c>
    </row>
    <row r="2679" spans="1:2" ht="13.5">
      <c r="A2679" s="169" t="s">
        <v>3203</v>
      </c>
      <c r="B2679" s="100" t="s">
        <v>4552</v>
      </c>
    </row>
    <row r="2680" spans="1:2" ht="13.5">
      <c r="A2680" s="169" t="s">
        <v>3204</v>
      </c>
      <c r="B2680" s="100" t="s">
        <v>4552</v>
      </c>
    </row>
    <row r="2681" spans="1:2" ht="13.5">
      <c r="A2681" s="169" t="s">
        <v>3205</v>
      </c>
      <c r="B2681" s="100" t="s">
        <v>4552</v>
      </c>
    </row>
    <row r="2682" spans="1:2" ht="13.5">
      <c r="A2682" s="169" t="s">
        <v>3206</v>
      </c>
      <c r="B2682" s="100" t="s">
        <v>4552</v>
      </c>
    </row>
    <row r="2683" spans="1:2" ht="13.5">
      <c r="A2683" s="169" t="s">
        <v>3207</v>
      </c>
      <c r="B2683" s="100" t="s">
        <v>4552</v>
      </c>
    </row>
    <row r="2684" spans="1:2" ht="13.5">
      <c r="A2684" s="169" t="s">
        <v>3208</v>
      </c>
      <c r="B2684" s="100" t="s">
        <v>4552</v>
      </c>
    </row>
    <row r="2685" spans="1:2" ht="13.5">
      <c r="A2685" s="169" t="s">
        <v>3209</v>
      </c>
      <c r="B2685" s="100" t="s">
        <v>4552</v>
      </c>
    </row>
    <row r="2686" spans="1:2" ht="13.5">
      <c r="A2686" s="169" t="s">
        <v>3210</v>
      </c>
      <c r="B2686" s="100" t="s">
        <v>4552</v>
      </c>
    </row>
    <row r="2687" spans="1:2" ht="13.5">
      <c r="A2687" s="169" t="s">
        <v>3211</v>
      </c>
      <c r="B2687" s="100" t="s">
        <v>4552</v>
      </c>
    </row>
    <row r="2688" spans="1:2" ht="13.5">
      <c r="A2688" s="169" t="s">
        <v>3212</v>
      </c>
      <c r="B2688" s="100" t="s">
        <v>4552</v>
      </c>
    </row>
    <row r="2689" spans="1:2" ht="13.5">
      <c r="A2689" s="169" t="s">
        <v>3213</v>
      </c>
      <c r="B2689" s="100" t="s">
        <v>4552</v>
      </c>
    </row>
    <row r="2690" spans="1:2" ht="13.5">
      <c r="A2690" s="169" t="s">
        <v>3214</v>
      </c>
      <c r="B2690" s="100" t="s">
        <v>4552</v>
      </c>
    </row>
    <row r="2691" spans="1:2" ht="13.5">
      <c r="A2691" s="169" t="s">
        <v>3215</v>
      </c>
      <c r="B2691" s="100" t="s">
        <v>4552</v>
      </c>
    </row>
    <row r="2692" spans="1:2" ht="13.5">
      <c r="A2692" s="169" t="s">
        <v>3216</v>
      </c>
      <c r="B2692" s="100" t="s">
        <v>4552</v>
      </c>
    </row>
    <row r="2693" spans="1:2" ht="13.5">
      <c r="A2693" s="169" t="s">
        <v>3217</v>
      </c>
      <c r="B2693" s="100" t="s">
        <v>4552</v>
      </c>
    </row>
    <row r="2694" spans="1:2" ht="13.5">
      <c r="A2694" s="169" t="s">
        <v>3218</v>
      </c>
      <c r="B2694" s="100" t="s">
        <v>4552</v>
      </c>
    </row>
    <row r="2695" spans="1:2" ht="13.5">
      <c r="A2695" s="169" t="s">
        <v>3219</v>
      </c>
      <c r="B2695" s="100" t="s">
        <v>4552</v>
      </c>
    </row>
    <row r="2696" spans="1:2" ht="13.5">
      <c r="A2696" s="169" t="s">
        <v>3220</v>
      </c>
      <c r="B2696" s="100" t="s">
        <v>4552</v>
      </c>
    </row>
    <row r="2697" spans="1:2" ht="13.5">
      <c r="A2697" s="169" t="s">
        <v>3221</v>
      </c>
      <c r="B2697" s="100" t="s">
        <v>4552</v>
      </c>
    </row>
    <row r="2698" spans="1:2" ht="13.5">
      <c r="A2698" s="169" t="s">
        <v>3222</v>
      </c>
      <c r="B2698" s="100" t="s">
        <v>4556</v>
      </c>
    </row>
    <row r="2699" spans="1:2" ht="13.5">
      <c r="A2699" s="169" t="s">
        <v>3223</v>
      </c>
      <c r="B2699" s="100" t="s">
        <v>4552</v>
      </c>
    </row>
    <row r="2700" spans="1:2" ht="13.5">
      <c r="A2700" s="169" t="s">
        <v>3224</v>
      </c>
      <c r="B2700" s="100" t="s">
        <v>4552</v>
      </c>
    </row>
    <row r="2701" spans="1:2" ht="13.5">
      <c r="A2701" s="169" t="s">
        <v>3225</v>
      </c>
      <c r="B2701" s="100" t="s">
        <v>4552</v>
      </c>
    </row>
    <row r="2702" spans="1:2" ht="13.5">
      <c r="A2702" s="169" t="s">
        <v>3226</v>
      </c>
      <c r="B2702" s="100" t="s">
        <v>4552</v>
      </c>
    </row>
    <row r="2703" spans="1:2" ht="13.5">
      <c r="A2703" s="169" t="s">
        <v>3227</v>
      </c>
      <c r="B2703" s="100" t="s">
        <v>4552</v>
      </c>
    </row>
    <row r="2704" spans="1:2" ht="13.5">
      <c r="A2704" s="169" t="s">
        <v>3228</v>
      </c>
      <c r="B2704" s="100" t="s">
        <v>4552</v>
      </c>
    </row>
    <row r="2705" spans="1:2" ht="13.5">
      <c r="A2705" s="169" t="s">
        <v>3229</v>
      </c>
      <c r="B2705" s="100" t="s">
        <v>4552</v>
      </c>
    </row>
    <row r="2706" spans="1:2" ht="13.5">
      <c r="A2706" s="169" t="s">
        <v>3230</v>
      </c>
      <c r="B2706" s="100" t="s">
        <v>4552</v>
      </c>
    </row>
    <row r="2707" spans="1:2" ht="13.5">
      <c r="A2707" s="169" t="s">
        <v>3231</v>
      </c>
      <c r="B2707" s="100" t="s">
        <v>4552</v>
      </c>
    </row>
    <row r="2708" spans="1:2" ht="13.5">
      <c r="A2708" s="169" t="s">
        <v>3232</v>
      </c>
      <c r="B2708" s="100" t="s">
        <v>4552</v>
      </c>
    </row>
    <row r="2709" spans="1:2" ht="13.5">
      <c r="A2709" s="169" t="s">
        <v>3233</v>
      </c>
      <c r="B2709" s="100" t="s">
        <v>4552</v>
      </c>
    </row>
    <row r="2710" spans="1:2" ht="13.5">
      <c r="A2710" s="169" t="s">
        <v>3234</v>
      </c>
      <c r="B2710" s="100" t="s">
        <v>4552</v>
      </c>
    </row>
    <row r="2711" spans="1:2" ht="13.5">
      <c r="A2711" s="169" t="s">
        <v>3235</v>
      </c>
      <c r="B2711" s="100" t="s">
        <v>4552</v>
      </c>
    </row>
    <row r="2712" spans="1:2" ht="13.5">
      <c r="A2712" s="169" t="s">
        <v>3236</v>
      </c>
      <c r="B2712" s="100" t="s">
        <v>4552</v>
      </c>
    </row>
    <row r="2713" spans="1:2" ht="13.5">
      <c r="A2713" s="169" t="s">
        <v>3237</v>
      </c>
      <c r="B2713" s="100" t="s">
        <v>4552</v>
      </c>
    </row>
    <row r="2714" spans="1:2" ht="13.5">
      <c r="A2714" s="169" t="s">
        <v>3238</v>
      </c>
      <c r="B2714" s="100" t="s">
        <v>4552</v>
      </c>
    </row>
    <row r="2715" spans="1:2" ht="13.5">
      <c r="A2715" s="168" t="s">
        <v>4614</v>
      </c>
      <c r="B2715" s="100" t="s">
        <v>4568</v>
      </c>
    </row>
    <row r="2716" spans="1:2" ht="13.5">
      <c r="A2716" s="169" t="s">
        <v>3239</v>
      </c>
      <c r="B2716" s="100" t="s">
        <v>4552</v>
      </c>
    </row>
    <row r="2717" spans="1:2" ht="13.5">
      <c r="A2717" s="169" t="s">
        <v>3240</v>
      </c>
      <c r="B2717" s="100" t="s">
        <v>4552</v>
      </c>
    </row>
    <row r="2718" spans="1:2" ht="13.5">
      <c r="A2718" s="169" t="s">
        <v>3241</v>
      </c>
      <c r="B2718" s="100" t="s">
        <v>4552</v>
      </c>
    </row>
    <row r="2719" spans="1:2" ht="13.5">
      <c r="A2719" s="169" t="s">
        <v>3242</v>
      </c>
      <c r="B2719" s="100" t="s">
        <v>4552</v>
      </c>
    </row>
    <row r="2720" spans="1:2" ht="13.5">
      <c r="A2720" s="169" t="s">
        <v>3243</v>
      </c>
      <c r="B2720" s="100" t="s">
        <v>4552</v>
      </c>
    </row>
    <row r="2721" spans="1:2" ht="13.5">
      <c r="A2721" s="169" t="s">
        <v>3244</v>
      </c>
      <c r="B2721" s="100" t="s">
        <v>4552</v>
      </c>
    </row>
    <row r="2722" spans="1:2" ht="13.5">
      <c r="A2722" s="169" t="s">
        <v>3245</v>
      </c>
      <c r="B2722" s="100" t="s">
        <v>4552</v>
      </c>
    </row>
    <row r="2723" spans="1:2" ht="13.5">
      <c r="A2723" s="169" t="s">
        <v>3246</v>
      </c>
      <c r="B2723" s="100" t="s">
        <v>4552</v>
      </c>
    </row>
    <row r="2724" spans="1:2" ht="13.5">
      <c r="A2724" s="169" t="s">
        <v>3247</v>
      </c>
      <c r="B2724" s="100" t="s">
        <v>4552</v>
      </c>
    </row>
    <row r="2725" spans="1:2" ht="13.5">
      <c r="A2725" s="169" t="s">
        <v>3248</v>
      </c>
      <c r="B2725" s="100" t="s">
        <v>4552</v>
      </c>
    </row>
    <row r="2726" spans="1:2" ht="13.5">
      <c r="A2726" s="169" t="s">
        <v>3249</v>
      </c>
      <c r="B2726" s="100" t="s">
        <v>4552</v>
      </c>
    </row>
    <row r="2727" spans="1:2" ht="13.5">
      <c r="A2727" s="169" t="s">
        <v>3250</v>
      </c>
      <c r="B2727" s="100" t="s">
        <v>4552</v>
      </c>
    </row>
    <row r="2728" spans="1:2" ht="13.5">
      <c r="A2728" s="169" t="s">
        <v>3251</v>
      </c>
      <c r="B2728" s="100" t="s">
        <v>4552</v>
      </c>
    </row>
    <row r="2729" spans="1:2" ht="13.5">
      <c r="A2729" s="169" t="s">
        <v>3252</v>
      </c>
      <c r="B2729" s="100" t="s">
        <v>4552</v>
      </c>
    </row>
    <row r="2730" spans="1:2" ht="13.5">
      <c r="A2730" s="169" t="s">
        <v>3253</v>
      </c>
      <c r="B2730" s="100" t="s">
        <v>4552</v>
      </c>
    </row>
    <row r="2731" spans="1:2" ht="13.5">
      <c r="A2731" s="169" t="s">
        <v>3254</v>
      </c>
      <c r="B2731" s="100" t="s">
        <v>4552</v>
      </c>
    </row>
    <row r="2732" spans="1:2" ht="13.5">
      <c r="A2732" s="169" t="s">
        <v>3255</v>
      </c>
      <c r="B2732" s="100" t="s">
        <v>4552</v>
      </c>
    </row>
    <row r="2733" spans="1:2" ht="13.5">
      <c r="A2733" s="169" t="s">
        <v>3256</v>
      </c>
      <c r="B2733" s="100" t="s">
        <v>4552</v>
      </c>
    </row>
    <row r="2734" spans="1:2" ht="13.5">
      <c r="A2734" s="169" t="s">
        <v>3257</v>
      </c>
      <c r="B2734" s="100" t="s">
        <v>4552</v>
      </c>
    </row>
    <row r="2735" spans="1:2" ht="13.5">
      <c r="A2735" s="169" t="s">
        <v>3258</v>
      </c>
      <c r="B2735" s="100" t="s">
        <v>4552</v>
      </c>
    </row>
    <row r="2736" spans="1:2" ht="13.5">
      <c r="A2736" s="169" t="s">
        <v>3259</v>
      </c>
      <c r="B2736" s="100" t="s">
        <v>4552</v>
      </c>
    </row>
    <row r="2737" spans="1:2" ht="13.5">
      <c r="A2737" s="169" t="s">
        <v>3260</v>
      </c>
      <c r="B2737" s="100" t="s">
        <v>4552</v>
      </c>
    </row>
    <row r="2738" spans="1:2" ht="13.5">
      <c r="A2738" s="169" t="s">
        <v>3261</v>
      </c>
      <c r="B2738" s="100" t="s">
        <v>4552</v>
      </c>
    </row>
    <row r="2739" spans="1:2" ht="13.5">
      <c r="A2739" s="169" t="s">
        <v>3262</v>
      </c>
      <c r="B2739" s="100" t="s">
        <v>4552</v>
      </c>
    </row>
    <row r="2740" spans="1:2" ht="13.5">
      <c r="A2740" s="169" t="s">
        <v>3263</v>
      </c>
      <c r="B2740" s="100" t="s">
        <v>4552</v>
      </c>
    </row>
    <row r="2741" spans="1:2" ht="13.5">
      <c r="A2741" s="169" t="s">
        <v>3264</v>
      </c>
      <c r="B2741" s="100" t="s">
        <v>4552</v>
      </c>
    </row>
    <row r="2742" spans="1:2" ht="13.5">
      <c r="A2742" s="169" t="s">
        <v>3265</v>
      </c>
      <c r="B2742" s="100" t="s">
        <v>4552</v>
      </c>
    </row>
    <row r="2743" spans="1:2" ht="13.5">
      <c r="A2743" s="169" t="s">
        <v>3266</v>
      </c>
      <c r="B2743" s="100" t="s">
        <v>4552</v>
      </c>
    </row>
    <row r="2744" spans="1:2" ht="13.5">
      <c r="A2744" s="169" t="s">
        <v>3267</v>
      </c>
      <c r="B2744" s="100" t="s">
        <v>4552</v>
      </c>
    </row>
    <row r="2745" spans="1:2" ht="13.5">
      <c r="A2745" s="169" t="s">
        <v>3268</v>
      </c>
      <c r="B2745" s="100" t="s">
        <v>4552</v>
      </c>
    </row>
    <row r="2746" spans="1:2" ht="13.5">
      <c r="A2746" s="169" t="s">
        <v>3269</v>
      </c>
      <c r="B2746" s="100" t="s">
        <v>4552</v>
      </c>
    </row>
    <row r="2747" spans="1:2" ht="13.5">
      <c r="A2747" s="169" t="s">
        <v>3270</v>
      </c>
      <c r="B2747" s="100" t="s">
        <v>4552</v>
      </c>
    </row>
    <row r="2748" spans="1:2" ht="13.5">
      <c r="A2748" s="169" t="s">
        <v>3271</v>
      </c>
      <c r="B2748" s="100" t="s">
        <v>4552</v>
      </c>
    </row>
    <row r="2749" spans="1:2" ht="13.5">
      <c r="A2749" s="169" t="s">
        <v>3272</v>
      </c>
      <c r="B2749" s="100" t="s">
        <v>4552</v>
      </c>
    </row>
    <row r="2750" spans="1:2" ht="13.5">
      <c r="A2750" s="169" t="s">
        <v>3273</v>
      </c>
      <c r="B2750" s="100" t="s">
        <v>4552</v>
      </c>
    </row>
    <row r="2751" spans="1:2" ht="13.5">
      <c r="A2751" s="169" t="s">
        <v>3274</v>
      </c>
      <c r="B2751" s="100" t="s">
        <v>4552</v>
      </c>
    </row>
    <row r="2752" spans="1:2" ht="13.5">
      <c r="A2752" s="169" t="s">
        <v>3275</v>
      </c>
      <c r="B2752" s="100" t="s">
        <v>4552</v>
      </c>
    </row>
    <row r="2753" spans="1:2" ht="13.5">
      <c r="A2753" s="169" t="s">
        <v>3276</v>
      </c>
      <c r="B2753" s="100" t="s">
        <v>4552</v>
      </c>
    </row>
    <row r="2754" spans="1:2" ht="13.5">
      <c r="A2754" s="169" t="s">
        <v>3277</v>
      </c>
      <c r="B2754" s="100" t="s">
        <v>4552</v>
      </c>
    </row>
    <row r="2755" spans="1:2" ht="13.5">
      <c r="A2755" s="169" t="s">
        <v>3278</v>
      </c>
      <c r="B2755" s="100" t="s">
        <v>4552</v>
      </c>
    </row>
    <row r="2756" spans="1:2" ht="13.5">
      <c r="A2756" s="169" t="s">
        <v>3279</v>
      </c>
      <c r="B2756" s="100" t="s">
        <v>4552</v>
      </c>
    </row>
    <row r="2757" spans="1:2" ht="13.5">
      <c r="A2757" s="169" t="s">
        <v>3280</v>
      </c>
      <c r="B2757" s="100" t="s">
        <v>4552</v>
      </c>
    </row>
    <row r="2758" spans="1:2" ht="13.5">
      <c r="A2758" s="169" t="s">
        <v>3281</v>
      </c>
      <c r="B2758" s="100" t="s">
        <v>4552</v>
      </c>
    </row>
    <row r="2759" spans="1:2" ht="13.5">
      <c r="A2759" s="169" t="s">
        <v>3282</v>
      </c>
      <c r="B2759" s="100" t="s">
        <v>4552</v>
      </c>
    </row>
    <row r="2760" spans="1:2" ht="13.5">
      <c r="A2760" s="169" t="s">
        <v>3283</v>
      </c>
      <c r="B2760" s="100" t="s">
        <v>4552</v>
      </c>
    </row>
    <row r="2761" spans="1:2" ht="13.5">
      <c r="A2761" s="169" t="s">
        <v>3284</v>
      </c>
      <c r="B2761" s="100" t="s">
        <v>4552</v>
      </c>
    </row>
    <row r="2762" spans="1:2" ht="13.5">
      <c r="A2762" s="169" t="s">
        <v>3285</v>
      </c>
      <c r="B2762" s="100" t="s">
        <v>4552</v>
      </c>
    </row>
    <row r="2763" spans="1:2" ht="13.5">
      <c r="A2763" s="169" t="s">
        <v>3286</v>
      </c>
      <c r="B2763" s="100" t="s">
        <v>4552</v>
      </c>
    </row>
    <row r="2764" spans="1:2" ht="13.5">
      <c r="A2764" s="169" t="s">
        <v>3287</v>
      </c>
      <c r="B2764" s="100" t="s">
        <v>4552</v>
      </c>
    </row>
    <row r="2765" spans="1:2" ht="13.5">
      <c r="A2765" s="169" t="s">
        <v>3288</v>
      </c>
      <c r="B2765" s="100" t="s">
        <v>4552</v>
      </c>
    </row>
    <row r="2766" spans="1:2" ht="13.5">
      <c r="A2766" s="169" t="s">
        <v>3289</v>
      </c>
      <c r="B2766" s="100" t="s">
        <v>4552</v>
      </c>
    </row>
    <row r="2767" spans="1:2" ht="13.5">
      <c r="A2767" s="169" t="s">
        <v>3290</v>
      </c>
      <c r="B2767" s="100" t="s">
        <v>4552</v>
      </c>
    </row>
    <row r="2768" spans="1:2" ht="13.5">
      <c r="A2768" s="169" t="s">
        <v>3291</v>
      </c>
      <c r="B2768" s="100" t="s">
        <v>4552</v>
      </c>
    </row>
    <row r="2769" spans="1:2" ht="13.5">
      <c r="A2769" s="169" t="s">
        <v>3292</v>
      </c>
      <c r="B2769" s="100" t="s">
        <v>4552</v>
      </c>
    </row>
    <row r="2770" spans="1:2" ht="13.5">
      <c r="A2770" s="169" t="s">
        <v>3293</v>
      </c>
      <c r="B2770" s="100" t="s">
        <v>4552</v>
      </c>
    </row>
    <row r="2771" spans="1:2" ht="13.5">
      <c r="A2771" s="169" t="s">
        <v>3294</v>
      </c>
      <c r="B2771" s="100" t="s">
        <v>4552</v>
      </c>
    </row>
    <row r="2772" spans="1:2" ht="13.5">
      <c r="A2772" s="169" t="s">
        <v>3295</v>
      </c>
      <c r="B2772" s="100" t="s">
        <v>4552</v>
      </c>
    </row>
    <row r="2773" spans="1:2" ht="13.5">
      <c r="A2773" s="169" t="s">
        <v>3296</v>
      </c>
      <c r="B2773" s="100" t="s">
        <v>4552</v>
      </c>
    </row>
    <row r="2774" spans="1:2" ht="13.5">
      <c r="A2774" s="169" t="s">
        <v>3297</v>
      </c>
      <c r="B2774" s="100" t="s">
        <v>4552</v>
      </c>
    </row>
    <row r="2775" spans="1:2" ht="13.5">
      <c r="A2775" s="169" t="s">
        <v>3298</v>
      </c>
      <c r="B2775" s="100" t="s">
        <v>4552</v>
      </c>
    </row>
    <row r="2776" spans="1:2" ht="13.5">
      <c r="A2776" s="169" t="s">
        <v>3299</v>
      </c>
      <c r="B2776" s="100" t="s">
        <v>4552</v>
      </c>
    </row>
    <row r="2777" spans="1:2" ht="13.5">
      <c r="A2777" s="169" t="s">
        <v>3300</v>
      </c>
      <c r="B2777" s="100" t="s">
        <v>4552</v>
      </c>
    </row>
    <row r="2778" spans="1:2" ht="13.5">
      <c r="A2778" s="169" t="s">
        <v>3301</v>
      </c>
      <c r="B2778" s="100" t="s">
        <v>4552</v>
      </c>
    </row>
    <row r="2779" spans="1:2" ht="13.5">
      <c r="A2779" s="169" t="s">
        <v>3302</v>
      </c>
      <c r="B2779" s="100" t="s">
        <v>4552</v>
      </c>
    </row>
    <row r="2780" spans="1:2" ht="13.5">
      <c r="A2780" s="169" t="s">
        <v>3303</v>
      </c>
      <c r="B2780" s="100" t="s">
        <v>4552</v>
      </c>
    </row>
    <row r="2781" spans="1:2" ht="13.5">
      <c r="A2781" s="169" t="s">
        <v>3304</v>
      </c>
      <c r="B2781" s="100" t="s">
        <v>4552</v>
      </c>
    </row>
    <row r="2782" spans="1:2" ht="13.5">
      <c r="A2782" s="169" t="s">
        <v>3305</v>
      </c>
      <c r="B2782" s="100" t="s">
        <v>4552</v>
      </c>
    </row>
    <row r="2783" spans="1:2" ht="13.5">
      <c r="A2783" s="169" t="s">
        <v>3306</v>
      </c>
      <c r="B2783" s="100" t="s">
        <v>4552</v>
      </c>
    </row>
    <row r="2784" spans="1:2" ht="13.5">
      <c r="A2784" s="169" t="s">
        <v>3307</v>
      </c>
      <c r="B2784" s="100" t="s">
        <v>4552</v>
      </c>
    </row>
    <row r="2785" spans="1:2" ht="13.5">
      <c r="A2785" s="169" t="s">
        <v>3308</v>
      </c>
      <c r="B2785" s="100" t="s">
        <v>4559</v>
      </c>
    </row>
    <row r="2786" spans="1:2" ht="13.5">
      <c r="A2786" s="168" t="s">
        <v>3309</v>
      </c>
      <c r="B2786" s="100" t="s">
        <v>4558</v>
      </c>
    </row>
    <row r="2787" spans="1:2" ht="13.5">
      <c r="A2787" s="169" t="s">
        <v>3310</v>
      </c>
      <c r="B2787" s="100" t="s">
        <v>4552</v>
      </c>
    </row>
    <row r="2788" spans="1:2" ht="13.5">
      <c r="A2788" s="169" t="s">
        <v>3311</v>
      </c>
      <c r="B2788" s="100" t="s">
        <v>4552</v>
      </c>
    </row>
    <row r="2789" spans="1:2" ht="13.5">
      <c r="A2789" s="169" t="s">
        <v>3312</v>
      </c>
      <c r="B2789" s="100" t="s">
        <v>4552</v>
      </c>
    </row>
    <row r="2790" spans="1:2" ht="13.5">
      <c r="A2790" s="169" t="s">
        <v>3313</v>
      </c>
      <c r="B2790" s="100" t="s">
        <v>4552</v>
      </c>
    </row>
    <row r="2791" spans="1:2" ht="13.5">
      <c r="A2791" s="169" t="s">
        <v>3314</v>
      </c>
      <c r="B2791" s="100" t="s">
        <v>4556</v>
      </c>
    </row>
    <row r="2792" spans="1:2" ht="13.5">
      <c r="A2792" s="169" t="s">
        <v>3315</v>
      </c>
      <c r="B2792" s="100" t="s">
        <v>4552</v>
      </c>
    </row>
    <row r="2793" spans="1:2" ht="13.5">
      <c r="A2793" s="169" t="s">
        <v>3316</v>
      </c>
      <c r="B2793" s="100" t="s">
        <v>4552</v>
      </c>
    </row>
    <row r="2794" spans="1:2" ht="13.5">
      <c r="A2794" s="169" t="s">
        <v>3317</v>
      </c>
      <c r="B2794" s="100" t="s">
        <v>4552</v>
      </c>
    </row>
    <row r="2795" spans="1:2" ht="13.5">
      <c r="A2795" s="169" t="s">
        <v>3318</v>
      </c>
      <c r="B2795" s="100" t="s">
        <v>4552</v>
      </c>
    </row>
    <row r="2796" spans="1:2" ht="13.5">
      <c r="A2796" s="169" t="s">
        <v>3319</v>
      </c>
      <c r="B2796" s="100" t="s">
        <v>4552</v>
      </c>
    </row>
    <row r="2797" spans="1:2" ht="13.5">
      <c r="A2797" s="169" t="s">
        <v>3320</v>
      </c>
      <c r="B2797" s="100" t="s">
        <v>4552</v>
      </c>
    </row>
    <row r="2798" spans="1:2" ht="13.5">
      <c r="A2798" s="169" t="s">
        <v>3321</v>
      </c>
      <c r="B2798" s="100" t="s">
        <v>4552</v>
      </c>
    </row>
    <row r="2799" spans="1:2" ht="13.5">
      <c r="A2799" s="169" t="s">
        <v>3322</v>
      </c>
      <c r="B2799" s="100" t="s">
        <v>4552</v>
      </c>
    </row>
    <row r="2800" spans="1:2" ht="13.5">
      <c r="A2800" s="169" t="s">
        <v>3323</v>
      </c>
      <c r="B2800" s="100" t="s">
        <v>4552</v>
      </c>
    </row>
    <row r="2801" spans="1:2" ht="13.5">
      <c r="A2801" s="169" t="s">
        <v>3324</v>
      </c>
      <c r="B2801" s="100" t="s">
        <v>4552</v>
      </c>
    </row>
    <row r="2802" spans="1:2" ht="13.5">
      <c r="A2802" s="169" t="s">
        <v>3325</v>
      </c>
      <c r="B2802" s="100" t="s">
        <v>4552</v>
      </c>
    </row>
    <row r="2803" spans="1:2" ht="13.5">
      <c r="A2803" s="169" t="s">
        <v>3326</v>
      </c>
      <c r="B2803" s="100" t="s">
        <v>4552</v>
      </c>
    </row>
    <row r="2804" spans="1:2" ht="13.5">
      <c r="A2804" s="169" t="s">
        <v>3327</v>
      </c>
      <c r="B2804" s="100" t="s">
        <v>4552</v>
      </c>
    </row>
    <row r="2805" spans="1:2" ht="13.5">
      <c r="A2805" s="169" t="s">
        <v>3328</v>
      </c>
      <c r="B2805" s="100" t="s">
        <v>4552</v>
      </c>
    </row>
    <row r="2806" spans="1:2" ht="13.5">
      <c r="A2806" s="169" t="s">
        <v>3329</v>
      </c>
      <c r="B2806" s="100" t="s">
        <v>4552</v>
      </c>
    </row>
    <row r="2807" spans="1:2" ht="13.5">
      <c r="A2807" s="169" t="s">
        <v>3330</v>
      </c>
      <c r="B2807" s="100" t="s">
        <v>4552</v>
      </c>
    </row>
    <row r="2808" spans="1:2" ht="13.5">
      <c r="A2808" s="169" t="s">
        <v>3331</v>
      </c>
      <c r="B2808" s="100" t="s">
        <v>4552</v>
      </c>
    </row>
    <row r="2809" spans="1:2" ht="13.5">
      <c r="A2809" s="169" t="s">
        <v>3332</v>
      </c>
      <c r="B2809" s="100" t="s">
        <v>4552</v>
      </c>
    </row>
    <row r="2810" spans="1:2" ht="13.5">
      <c r="A2810" s="169" t="s">
        <v>3333</v>
      </c>
      <c r="B2810" s="100" t="s">
        <v>4552</v>
      </c>
    </row>
    <row r="2811" spans="1:2" ht="13.5">
      <c r="A2811" s="169" t="s">
        <v>3334</v>
      </c>
      <c r="B2811" s="100" t="s">
        <v>4552</v>
      </c>
    </row>
    <row r="2812" spans="1:2" ht="13.5">
      <c r="A2812" s="169" t="s">
        <v>3335</v>
      </c>
      <c r="B2812" s="100" t="s">
        <v>4552</v>
      </c>
    </row>
    <row r="2813" spans="1:2" ht="13.5">
      <c r="A2813" s="169" t="s">
        <v>3336</v>
      </c>
      <c r="B2813" s="100" t="s">
        <v>4552</v>
      </c>
    </row>
    <row r="2814" spans="1:2" ht="13.5">
      <c r="A2814" s="169" t="s">
        <v>3337</v>
      </c>
      <c r="B2814" s="100" t="s">
        <v>4552</v>
      </c>
    </row>
    <row r="2815" spans="1:2" ht="13.5">
      <c r="A2815" s="169" t="s">
        <v>3338</v>
      </c>
      <c r="B2815" s="100" t="s">
        <v>4552</v>
      </c>
    </row>
    <row r="2816" spans="1:2" ht="13.5">
      <c r="A2816" s="169" t="s">
        <v>3339</v>
      </c>
      <c r="B2816" s="100" t="s">
        <v>4552</v>
      </c>
    </row>
    <row r="2817" spans="1:2" ht="13.5">
      <c r="A2817" s="169" t="s">
        <v>3340</v>
      </c>
      <c r="B2817" s="100" t="s">
        <v>4552</v>
      </c>
    </row>
    <row r="2818" spans="1:2" ht="13.5">
      <c r="A2818" s="169" t="s">
        <v>3341</v>
      </c>
      <c r="B2818" s="100" t="s">
        <v>4552</v>
      </c>
    </row>
    <row r="2819" spans="1:2" ht="13.5">
      <c r="A2819" s="169" t="s">
        <v>3342</v>
      </c>
      <c r="B2819" s="100" t="s">
        <v>4552</v>
      </c>
    </row>
    <row r="2820" spans="1:2" ht="13.5">
      <c r="A2820" s="169" t="s">
        <v>3343</v>
      </c>
      <c r="B2820" s="100" t="s">
        <v>4552</v>
      </c>
    </row>
    <row r="2821" spans="1:2" ht="13.5">
      <c r="A2821" s="169" t="s">
        <v>3344</v>
      </c>
      <c r="B2821" s="100" t="s">
        <v>4552</v>
      </c>
    </row>
    <row r="2822" spans="1:2" ht="13.5">
      <c r="A2822" s="169" t="s">
        <v>3345</v>
      </c>
      <c r="B2822" s="100" t="s">
        <v>4552</v>
      </c>
    </row>
    <row r="2823" spans="1:2" ht="13.5">
      <c r="A2823" s="169" t="s">
        <v>3346</v>
      </c>
      <c r="B2823" s="100" t="s">
        <v>4552</v>
      </c>
    </row>
    <row r="2824" spans="1:2" ht="13.5">
      <c r="A2824" s="169" t="s">
        <v>3347</v>
      </c>
      <c r="B2824" s="100" t="s">
        <v>4552</v>
      </c>
    </row>
    <row r="2825" spans="1:2" ht="13.5">
      <c r="A2825" s="169" t="s">
        <v>3348</v>
      </c>
      <c r="B2825" s="100" t="s">
        <v>4552</v>
      </c>
    </row>
    <row r="2826" spans="1:2" ht="13.5">
      <c r="A2826" s="169" t="s">
        <v>3349</v>
      </c>
      <c r="B2826" s="100" t="s">
        <v>4552</v>
      </c>
    </row>
    <row r="2827" spans="1:2" ht="13.5">
      <c r="A2827" s="169" t="s">
        <v>3350</v>
      </c>
      <c r="B2827" s="100" t="s">
        <v>4552</v>
      </c>
    </row>
    <row r="2828" spans="1:2" ht="13.5">
      <c r="A2828" s="169" t="s">
        <v>3351</v>
      </c>
      <c r="B2828" s="100" t="s">
        <v>4552</v>
      </c>
    </row>
    <row r="2829" spans="1:2" ht="13.5">
      <c r="A2829" s="169" t="s">
        <v>3352</v>
      </c>
      <c r="B2829" s="100" t="s">
        <v>4552</v>
      </c>
    </row>
    <row r="2830" spans="1:2" ht="13.5">
      <c r="A2830" s="169" t="s">
        <v>3353</v>
      </c>
      <c r="B2830" s="100" t="s">
        <v>4552</v>
      </c>
    </row>
    <row r="2831" spans="1:2" ht="13.5">
      <c r="A2831" s="169" t="s">
        <v>3354</v>
      </c>
      <c r="B2831" s="100" t="s">
        <v>4552</v>
      </c>
    </row>
    <row r="2832" spans="1:2" ht="13.5">
      <c r="A2832" s="169" t="s">
        <v>3355</v>
      </c>
      <c r="B2832" s="100" t="s">
        <v>4552</v>
      </c>
    </row>
    <row r="2833" spans="1:2" ht="13.5">
      <c r="A2833" s="169" t="s">
        <v>3356</v>
      </c>
      <c r="B2833" s="100" t="s">
        <v>4552</v>
      </c>
    </row>
    <row r="2834" spans="1:2" ht="13.5">
      <c r="A2834" s="169" t="s">
        <v>3357</v>
      </c>
      <c r="B2834" s="100" t="s">
        <v>4552</v>
      </c>
    </row>
    <row r="2835" spans="1:2" ht="13.5">
      <c r="A2835" s="169" t="s">
        <v>3358</v>
      </c>
      <c r="B2835" s="100" t="s">
        <v>4552</v>
      </c>
    </row>
    <row r="2836" spans="1:2" ht="13.5">
      <c r="A2836" s="169" t="s">
        <v>3359</v>
      </c>
      <c r="B2836" s="100" t="s">
        <v>4552</v>
      </c>
    </row>
    <row r="2837" spans="1:2" ht="13.5">
      <c r="A2837" s="169" t="s">
        <v>3360</v>
      </c>
      <c r="B2837" s="100" t="s">
        <v>4552</v>
      </c>
    </row>
    <row r="2838" spans="1:2" ht="13.5">
      <c r="A2838" s="169" t="s">
        <v>3361</v>
      </c>
      <c r="B2838" s="100" t="s">
        <v>4552</v>
      </c>
    </row>
    <row r="2839" spans="1:2" ht="13.5">
      <c r="A2839" s="169" t="s">
        <v>3362</v>
      </c>
      <c r="B2839" s="100" t="s">
        <v>4552</v>
      </c>
    </row>
    <row r="2840" spans="1:2" ht="13.5">
      <c r="A2840" s="168" t="s">
        <v>3363</v>
      </c>
      <c r="B2840" s="100" t="s">
        <v>4558</v>
      </c>
    </row>
    <row r="2841" spans="1:2" ht="13.5">
      <c r="A2841" s="168" t="s">
        <v>3364</v>
      </c>
      <c r="B2841" s="100" t="s">
        <v>4558</v>
      </c>
    </row>
    <row r="2842" spans="1:2" ht="13.5">
      <c r="A2842" s="169" t="s">
        <v>3365</v>
      </c>
      <c r="B2842" s="100" t="s">
        <v>4552</v>
      </c>
    </row>
    <row r="2843" spans="1:2" ht="13.5">
      <c r="A2843" s="169" t="s">
        <v>3366</v>
      </c>
      <c r="B2843" s="100" t="s">
        <v>4552</v>
      </c>
    </row>
    <row r="2844" spans="1:2" ht="13.5">
      <c r="A2844" s="169" t="s">
        <v>3367</v>
      </c>
      <c r="B2844" s="100" t="s">
        <v>4552</v>
      </c>
    </row>
    <row r="2845" spans="1:2" ht="13.5">
      <c r="A2845" s="169" t="s">
        <v>3368</v>
      </c>
      <c r="B2845" s="100" t="s">
        <v>4556</v>
      </c>
    </row>
    <row r="2846" spans="1:2" ht="13.5">
      <c r="A2846" s="169" t="s">
        <v>3369</v>
      </c>
      <c r="B2846" s="100" t="s">
        <v>4552</v>
      </c>
    </row>
    <row r="2847" spans="1:2" ht="13.5">
      <c r="A2847" s="169" t="s">
        <v>3370</v>
      </c>
      <c r="B2847" s="100" t="s">
        <v>4552</v>
      </c>
    </row>
    <row r="2848" spans="1:2" ht="13.5">
      <c r="A2848" s="169" t="s">
        <v>3371</v>
      </c>
      <c r="B2848" s="100" t="s">
        <v>4552</v>
      </c>
    </row>
    <row r="2849" spans="1:2" ht="13.5">
      <c r="A2849" s="169" t="s">
        <v>3372</v>
      </c>
      <c r="B2849" s="100" t="s">
        <v>4552</v>
      </c>
    </row>
    <row r="2850" spans="1:2" ht="13.5">
      <c r="A2850" s="169" t="s">
        <v>3373</v>
      </c>
      <c r="B2850" s="100" t="s">
        <v>4552</v>
      </c>
    </row>
    <row r="2851" spans="1:2" ht="13.5">
      <c r="A2851" s="169" t="s">
        <v>3374</v>
      </c>
      <c r="B2851" s="100" t="s">
        <v>4552</v>
      </c>
    </row>
    <row r="2852" spans="1:2" ht="13.5">
      <c r="A2852" s="169" t="s">
        <v>3375</v>
      </c>
      <c r="B2852" s="100" t="s">
        <v>4552</v>
      </c>
    </row>
    <row r="2853" spans="1:2" ht="13.5">
      <c r="A2853" s="169" t="s">
        <v>3376</v>
      </c>
      <c r="B2853" s="100" t="s">
        <v>4552</v>
      </c>
    </row>
    <row r="2854" spans="1:2" ht="13.5">
      <c r="A2854" s="169" t="s">
        <v>3377</v>
      </c>
      <c r="B2854" s="100" t="s">
        <v>4556</v>
      </c>
    </row>
    <row r="2855" spans="1:2" ht="13.5">
      <c r="A2855" s="169" t="s">
        <v>3378</v>
      </c>
      <c r="B2855" s="100" t="s">
        <v>4556</v>
      </c>
    </row>
    <row r="2856" spans="1:2" ht="13.5">
      <c r="A2856" s="169" t="s">
        <v>3379</v>
      </c>
      <c r="B2856" s="100" t="s">
        <v>4556</v>
      </c>
    </row>
    <row r="2857" spans="1:2" ht="13.5">
      <c r="A2857" s="169" t="s">
        <v>3380</v>
      </c>
      <c r="B2857" s="100" t="s">
        <v>4556</v>
      </c>
    </row>
    <row r="2858" spans="1:2" ht="13.5">
      <c r="A2858" s="169" t="s">
        <v>3381</v>
      </c>
      <c r="B2858" s="100" t="s">
        <v>4556</v>
      </c>
    </row>
    <row r="2859" spans="1:2" ht="13.5">
      <c r="A2859" s="169" t="s">
        <v>3382</v>
      </c>
      <c r="B2859" s="100" t="s">
        <v>4552</v>
      </c>
    </row>
    <row r="2860" spans="1:2" ht="13.5">
      <c r="A2860" s="169" t="s">
        <v>3383</v>
      </c>
      <c r="B2860" s="100" t="s">
        <v>4552</v>
      </c>
    </row>
    <row r="2861" spans="1:2" ht="13.5">
      <c r="A2861" s="169" t="s">
        <v>3384</v>
      </c>
      <c r="B2861" s="100" t="s">
        <v>4552</v>
      </c>
    </row>
    <row r="2862" spans="1:2" ht="13.5">
      <c r="A2862" s="169" t="s">
        <v>3385</v>
      </c>
      <c r="B2862" s="100" t="s">
        <v>4552</v>
      </c>
    </row>
    <row r="2863" spans="1:2" ht="13.5">
      <c r="A2863" s="169" t="s">
        <v>3386</v>
      </c>
      <c r="B2863" s="100" t="s">
        <v>4552</v>
      </c>
    </row>
    <row r="2864" spans="1:2" ht="13.5">
      <c r="A2864" s="169" t="s">
        <v>3387</v>
      </c>
      <c r="B2864" s="100" t="s">
        <v>4552</v>
      </c>
    </row>
    <row r="2865" spans="1:2" ht="13.5">
      <c r="A2865" s="169" t="s">
        <v>3388</v>
      </c>
      <c r="B2865" s="100" t="s">
        <v>4552</v>
      </c>
    </row>
    <row r="2866" spans="1:2" ht="13.5">
      <c r="A2866" s="169" t="s">
        <v>3389</v>
      </c>
      <c r="B2866" s="100" t="s">
        <v>4552</v>
      </c>
    </row>
    <row r="2867" spans="1:2" ht="13.5">
      <c r="A2867" s="169" t="s">
        <v>3390</v>
      </c>
      <c r="B2867" s="100" t="s">
        <v>4552</v>
      </c>
    </row>
    <row r="2868" spans="1:2" ht="13.5">
      <c r="A2868" s="169" t="s">
        <v>3391</v>
      </c>
      <c r="B2868" s="100" t="s">
        <v>4552</v>
      </c>
    </row>
    <row r="2869" spans="1:2" ht="13.5">
      <c r="A2869" s="169" t="s">
        <v>3392</v>
      </c>
      <c r="B2869" s="100" t="s">
        <v>4552</v>
      </c>
    </row>
    <row r="2870" spans="1:2" ht="13.5">
      <c r="A2870" s="169" t="s">
        <v>3393</v>
      </c>
      <c r="B2870" s="100" t="s">
        <v>4552</v>
      </c>
    </row>
    <row r="2871" spans="1:2" ht="13.5">
      <c r="A2871" s="169" t="s">
        <v>3394</v>
      </c>
      <c r="B2871" s="100" t="s">
        <v>4552</v>
      </c>
    </row>
    <row r="2872" spans="1:2" ht="13.5">
      <c r="A2872" s="169" t="s">
        <v>3395</v>
      </c>
      <c r="B2872" s="100" t="s">
        <v>4552</v>
      </c>
    </row>
    <row r="2873" spans="1:2" ht="13.5">
      <c r="A2873" s="169" t="s">
        <v>3396</v>
      </c>
      <c r="B2873" s="100" t="s">
        <v>4552</v>
      </c>
    </row>
    <row r="2874" spans="1:2" ht="13.5">
      <c r="A2874" s="169" t="s">
        <v>3397</v>
      </c>
      <c r="B2874" s="100" t="s">
        <v>4552</v>
      </c>
    </row>
    <row r="2875" spans="1:2" ht="13.5">
      <c r="A2875" s="169" t="s">
        <v>3398</v>
      </c>
      <c r="B2875" s="100" t="s">
        <v>4552</v>
      </c>
    </row>
    <row r="2876" spans="1:2" ht="13.5">
      <c r="A2876" s="169" t="s">
        <v>3399</v>
      </c>
      <c r="B2876" s="100" t="s">
        <v>4552</v>
      </c>
    </row>
    <row r="2877" spans="1:2" ht="13.5">
      <c r="A2877" s="169" t="s">
        <v>3400</v>
      </c>
      <c r="B2877" s="100" t="s">
        <v>4552</v>
      </c>
    </row>
    <row r="2878" spans="1:2" ht="13.5">
      <c r="A2878" s="169" t="s">
        <v>3401</v>
      </c>
      <c r="B2878" s="100" t="s">
        <v>4552</v>
      </c>
    </row>
    <row r="2879" spans="1:2" ht="13.5">
      <c r="A2879" s="169" t="s">
        <v>3402</v>
      </c>
      <c r="B2879" s="100" t="s">
        <v>4552</v>
      </c>
    </row>
    <row r="2880" spans="1:2" ht="13.5">
      <c r="A2880" s="169" t="s">
        <v>3403</v>
      </c>
      <c r="B2880" s="100" t="s">
        <v>4552</v>
      </c>
    </row>
    <row r="2881" spans="1:2" ht="13.5">
      <c r="A2881" s="169" t="s">
        <v>3404</v>
      </c>
      <c r="B2881" s="100" t="s">
        <v>4552</v>
      </c>
    </row>
    <row r="2882" spans="1:2" ht="13.5">
      <c r="A2882" s="169" t="s">
        <v>3405</v>
      </c>
      <c r="B2882" s="100" t="s">
        <v>4552</v>
      </c>
    </row>
    <row r="2883" spans="1:2" ht="13.5">
      <c r="A2883" s="169" t="s">
        <v>3406</v>
      </c>
      <c r="B2883" s="100" t="s">
        <v>4552</v>
      </c>
    </row>
    <row r="2884" spans="1:2" ht="13.5">
      <c r="A2884" s="169" t="s">
        <v>3407</v>
      </c>
      <c r="B2884" s="100" t="s">
        <v>4556</v>
      </c>
    </row>
    <row r="2885" spans="1:2" ht="13.5">
      <c r="A2885" s="169" t="s">
        <v>3408</v>
      </c>
      <c r="B2885" s="100" t="s">
        <v>4552</v>
      </c>
    </row>
    <row r="2886" spans="1:2" ht="13.5">
      <c r="A2886" s="169" t="s">
        <v>3409</v>
      </c>
      <c r="B2886" s="100" t="s">
        <v>4552</v>
      </c>
    </row>
    <row r="2887" spans="1:2" ht="13.5">
      <c r="A2887" s="169" t="s">
        <v>3410</v>
      </c>
      <c r="B2887" s="100" t="s">
        <v>4552</v>
      </c>
    </row>
    <row r="2888" spans="1:2" ht="13.5">
      <c r="A2888" s="169" t="s">
        <v>3411</v>
      </c>
      <c r="B2888" s="100" t="s">
        <v>4552</v>
      </c>
    </row>
    <row r="2889" spans="1:2" ht="13.5">
      <c r="A2889" s="169" t="s">
        <v>3412</v>
      </c>
      <c r="B2889" s="100" t="s">
        <v>4552</v>
      </c>
    </row>
    <row r="2890" spans="1:2" ht="13.5">
      <c r="A2890" s="169" t="s">
        <v>3413</v>
      </c>
      <c r="B2890" s="100" t="s">
        <v>4552</v>
      </c>
    </row>
    <row r="2891" spans="1:2" ht="13.5">
      <c r="A2891" s="169" t="s">
        <v>3414</v>
      </c>
      <c r="B2891" s="100" t="s">
        <v>4552</v>
      </c>
    </row>
    <row r="2892" spans="1:2" ht="13.5">
      <c r="A2892" s="169" t="s">
        <v>3415</v>
      </c>
      <c r="B2892" s="100" t="s">
        <v>4552</v>
      </c>
    </row>
    <row r="2893" spans="1:2" ht="13.5">
      <c r="A2893" s="169" t="s">
        <v>3416</v>
      </c>
      <c r="B2893" s="100" t="s">
        <v>4552</v>
      </c>
    </row>
    <row r="2894" spans="1:2" ht="13.5">
      <c r="A2894" s="169" t="s">
        <v>3417</v>
      </c>
      <c r="B2894" s="100" t="s">
        <v>4552</v>
      </c>
    </row>
    <row r="2895" spans="1:2" ht="13.5">
      <c r="A2895" s="169" t="s">
        <v>3418</v>
      </c>
      <c r="B2895" s="100" t="s">
        <v>4552</v>
      </c>
    </row>
    <row r="2896" spans="1:2" ht="13.5">
      <c r="A2896" s="169" t="s">
        <v>3419</v>
      </c>
      <c r="B2896" s="100" t="s">
        <v>4552</v>
      </c>
    </row>
    <row r="2897" spans="1:2" ht="13.5">
      <c r="A2897" s="169" t="s">
        <v>3420</v>
      </c>
      <c r="B2897" s="100" t="s">
        <v>4552</v>
      </c>
    </row>
    <row r="2898" spans="1:2" ht="13.5">
      <c r="A2898" s="169" t="s">
        <v>3421</v>
      </c>
      <c r="B2898" s="100" t="s">
        <v>4552</v>
      </c>
    </row>
    <row r="2899" spans="1:2" ht="13.5">
      <c r="A2899" s="169" t="s">
        <v>3422</v>
      </c>
      <c r="B2899" s="100" t="s">
        <v>4552</v>
      </c>
    </row>
    <row r="2900" spans="1:2" ht="13.5">
      <c r="A2900" s="169" t="s">
        <v>3423</v>
      </c>
      <c r="B2900" s="100" t="s">
        <v>4552</v>
      </c>
    </row>
    <row r="2901" spans="1:2" ht="13.5">
      <c r="A2901" s="169" t="s">
        <v>3424</v>
      </c>
      <c r="B2901" s="100" t="s">
        <v>4552</v>
      </c>
    </row>
    <row r="2902" spans="1:2" ht="13.5">
      <c r="A2902" s="169" t="s">
        <v>3425</v>
      </c>
      <c r="B2902" s="100" t="s">
        <v>4552</v>
      </c>
    </row>
    <row r="2903" spans="1:2" ht="13.5">
      <c r="A2903" s="169" t="s">
        <v>3426</v>
      </c>
      <c r="B2903" s="100" t="s">
        <v>4556</v>
      </c>
    </row>
    <row r="2904" spans="1:2" ht="13.5">
      <c r="A2904" s="169" t="s">
        <v>3427</v>
      </c>
      <c r="B2904" s="100" t="s">
        <v>4556</v>
      </c>
    </row>
    <row r="2905" spans="1:2" ht="13.5">
      <c r="A2905" s="169" t="s">
        <v>3428</v>
      </c>
      <c r="B2905" s="100" t="s">
        <v>4556</v>
      </c>
    </row>
    <row r="2906" spans="1:2" ht="13.5">
      <c r="A2906" s="169" t="s">
        <v>3429</v>
      </c>
      <c r="B2906" s="100" t="s">
        <v>4556</v>
      </c>
    </row>
    <row r="2907" spans="1:2" ht="13.5">
      <c r="A2907" s="169" t="s">
        <v>3430</v>
      </c>
      <c r="B2907" s="100" t="s">
        <v>4556</v>
      </c>
    </row>
    <row r="2908" spans="1:2" ht="13.5">
      <c r="A2908" s="169" t="s">
        <v>3431</v>
      </c>
      <c r="B2908" s="100" t="s">
        <v>4556</v>
      </c>
    </row>
    <row r="2909" spans="1:2" ht="13.5">
      <c r="A2909" s="169" t="s">
        <v>3432</v>
      </c>
      <c r="B2909" s="100" t="s">
        <v>4556</v>
      </c>
    </row>
    <row r="2910" spans="1:2" ht="13.5">
      <c r="A2910" s="169" t="s">
        <v>3433</v>
      </c>
      <c r="B2910" s="100" t="s">
        <v>4556</v>
      </c>
    </row>
    <row r="2911" spans="1:2" ht="13.5">
      <c r="A2911" s="169" t="s">
        <v>3434</v>
      </c>
      <c r="B2911" s="100" t="s">
        <v>4556</v>
      </c>
    </row>
    <row r="2912" spans="1:2" ht="13.5">
      <c r="A2912" s="169" t="s">
        <v>3435</v>
      </c>
      <c r="B2912" s="100" t="s">
        <v>4556</v>
      </c>
    </row>
    <row r="2913" spans="1:2" ht="13.5">
      <c r="A2913" s="169" t="s">
        <v>3436</v>
      </c>
      <c r="B2913" s="100" t="s">
        <v>4552</v>
      </c>
    </row>
    <row r="2914" spans="1:2" ht="13.5">
      <c r="A2914" s="169" t="s">
        <v>3437</v>
      </c>
      <c r="B2914" s="100" t="s">
        <v>4552</v>
      </c>
    </row>
    <row r="2915" spans="1:2" ht="13.5">
      <c r="A2915" s="169" t="s">
        <v>3438</v>
      </c>
      <c r="B2915" s="100" t="s">
        <v>4552</v>
      </c>
    </row>
    <row r="2916" spans="1:2" ht="13.5">
      <c r="A2916" s="169" t="s">
        <v>3439</v>
      </c>
      <c r="B2916" s="100" t="s">
        <v>4556</v>
      </c>
    </row>
    <row r="2917" spans="1:2" ht="13.5">
      <c r="A2917" s="169" t="s">
        <v>3440</v>
      </c>
      <c r="B2917" s="100" t="s">
        <v>4552</v>
      </c>
    </row>
    <row r="2918" spans="1:2" ht="13.5">
      <c r="A2918" s="169" t="s">
        <v>3441</v>
      </c>
      <c r="B2918" s="100" t="s">
        <v>4552</v>
      </c>
    </row>
    <row r="2919" spans="1:2" ht="13.5">
      <c r="A2919" s="169" t="s">
        <v>3442</v>
      </c>
      <c r="B2919" s="100" t="s">
        <v>4556</v>
      </c>
    </row>
    <row r="2920" spans="1:2" ht="13.5">
      <c r="A2920" s="169" t="s">
        <v>3443</v>
      </c>
      <c r="B2920" s="100" t="s">
        <v>4552</v>
      </c>
    </row>
    <row r="2921" spans="1:2" ht="13.5">
      <c r="A2921" s="169" t="s">
        <v>3444</v>
      </c>
      <c r="B2921" s="100" t="s">
        <v>4552</v>
      </c>
    </row>
    <row r="2922" spans="1:2" ht="13.5">
      <c r="A2922" s="169" t="s">
        <v>3445</v>
      </c>
      <c r="B2922" s="100" t="s">
        <v>4552</v>
      </c>
    </row>
    <row r="2923" spans="1:2" ht="13.5">
      <c r="A2923" s="169" t="s">
        <v>3446</v>
      </c>
      <c r="B2923" s="100" t="s">
        <v>4552</v>
      </c>
    </row>
    <row r="2924" spans="1:2" ht="13.5">
      <c r="A2924" s="169" t="s">
        <v>3447</v>
      </c>
      <c r="B2924" s="100" t="s">
        <v>4552</v>
      </c>
    </row>
    <row r="2925" spans="1:2" ht="13.5">
      <c r="A2925" s="169" t="s">
        <v>3448</v>
      </c>
      <c r="B2925" s="100" t="s">
        <v>4552</v>
      </c>
    </row>
    <row r="2926" spans="1:2" ht="13.5">
      <c r="A2926" s="169" t="s">
        <v>3449</v>
      </c>
      <c r="B2926" s="100" t="s">
        <v>4552</v>
      </c>
    </row>
    <row r="2927" spans="1:2" ht="13.5">
      <c r="A2927" s="169" t="s">
        <v>3450</v>
      </c>
      <c r="B2927" s="100" t="s">
        <v>4552</v>
      </c>
    </row>
    <row r="2928" spans="1:2" ht="13.5">
      <c r="A2928" s="169" t="s">
        <v>3451</v>
      </c>
      <c r="B2928" s="100" t="s">
        <v>4552</v>
      </c>
    </row>
    <row r="2929" spans="1:2" ht="13.5">
      <c r="A2929" s="169" t="s">
        <v>3452</v>
      </c>
      <c r="B2929" s="100" t="s">
        <v>4552</v>
      </c>
    </row>
    <row r="2930" spans="1:2" ht="13.5">
      <c r="A2930" s="169" t="s">
        <v>3453</v>
      </c>
      <c r="B2930" s="100" t="s">
        <v>4552</v>
      </c>
    </row>
    <row r="2931" spans="1:2" ht="13.5">
      <c r="A2931" s="169" t="s">
        <v>3454</v>
      </c>
      <c r="B2931" s="100" t="s">
        <v>4552</v>
      </c>
    </row>
    <row r="2932" spans="1:2" ht="13.5">
      <c r="A2932" s="169" t="s">
        <v>3455</v>
      </c>
      <c r="B2932" s="100" t="s">
        <v>4552</v>
      </c>
    </row>
    <row r="2933" spans="1:2" ht="13.5">
      <c r="A2933" s="169" t="s">
        <v>3456</v>
      </c>
      <c r="B2933" s="100" t="s">
        <v>4552</v>
      </c>
    </row>
    <row r="2934" spans="1:2" ht="13.5">
      <c r="A2934" s="169" t="s">
        <v>3457</v>
      </c>
      <c r="B2934" s="100" t="s">
        <v>4552</v>
      </c>
    </row>
    <row r="2935" spans="1:2" ht="13.5">
      <c r="A2935" s="169" t="s">
        <v>3458</v>
      </c>
      <c r="B2935" s="100" t="s">
        <v>4552</v>
      </c>
    </row>
    <row r="2936" spans="1:2" ht="13.5">
      <c r="A2936" s="169" t="s">
        <v>3459</v>
      </c>
      <c r="B2936" s="100" t="s">
        <v>4552</v>
      </c>
    </row>
    <row r="2937" spans="1:2" ht="13.5">
      <c r="A2937" s="169" t="s">
        <v>3460</v>
      </c>
      <c r="B2937" s="100" t="s">
        <v>4552</v>
      </c>
    </row>
    <row r="2938" spans="1:2" ht="13.5">
      <c r="A2938" s="169" t="s">
        <v>3461</v>
      </c>
      <c r="B2938" s="100" t="s">
        <v>4552</v>
      </c>
    </row>
    <row r="2939" spans="1:2" ht="13.5">
      <c r="A2939" s="169" t="s">
        <v>3462</v>
      </c>
      <c r="B2939" s="100" t="s">
        <v>4552</v>
      </c>
    </row>
    <row r="2940" spans="1:2" ht="13.5">
      <c r="A2940" s="169" t="s">
        <v>3463</v>
      </c>
      <c r="B2940" s="100" t="s">
        <v>4552</v>
      </c>
    </row>
    <row r="2941" spans="1:2" ht="13.5">
      <c r="A2941" s="169" t="s">
        <v>3464</v>
      </c>
      <c r="B2941" s="100" t="s">
        <v>4552</v>
      </c>
    </row>
    <row r="2942" spans="1:2" ht="13.5">
      <c r="A2942" s="169" t="s">
        <v>3465</v>
      </c>
      <c r="B2942" s="100" t="s">
        <v>4552</v>
      </c>
    </row>
    <row r="2943" spans="1:2" ht="13.5">
      <c r="A2943" s="169" t="s">
        <v>3466</v>
      </c>
      <c r="B2943" s="100" t="s">
        <v>4552</v>
      </c>
    </row>
    <row r="2944" spans="1:2" ht="13.5">
      <c r="A2944" s="169" t="s">
        <v>3467</v>
      </c>
      <c r="B2944" s="100" t="s">
        <v>4552</v>
      </c>
    </row>
    <row r="2945" spans="1:2" ht="13.5">
      <c r="A2945" s="169" t="s">
        <v>3468</v>
      </c>
      <c r="B2945" s="100" t="s">
        <v>4552</v>
      </c>
    </row>
    <row r="2946" spans="1:2" ht="13.5">
      <c r="A2946" s="169" t="s">
        <v>3469</v>
      </c>
      <c r="B2946" s="100" t="s">
        <v>4552</v>
      </c>
    </row>
    <row r="2947" spans="1:2" ht="13.5">
      <c r="A2947" s="169" t="s">
        <v>3470</v>
      </c>
      <c r="B2947" s="100" t="s">
        <v>4552</v>
      </c>
    </row>
    <row r="2948" spans="1:2" ht="13.5">
      <c r="A2948" s="169" t="s">
        <v>3471</v>
      </c>
      <c r="B2948" s="100" t="s">
        <v>4552</v>
      </c>
    </row>
    <row r="2949" spans="1:2" ht="13.5">
      <c r="A2949" s="169" t="s">
        <v>3472</v>
      </c>
      <c r="B2949" s="100" t="s">
        <v>4552</v>
      </c>
    </row>
    <row r="2950" spans="1:2" ht="13.5">
      <c r="A2950" s="169" t="s">
        <v>3473</v>
      </c>
      <c r="B2950" s="100" t="s">
        <v>4552</v>
      </c>
    </row>
    <row r="2951" spans="1:2" ht="13.5">
      <c r="A2951" s="169" t="s">
        <v>3474</v>
      </c>
      <c r="B2951" s="100" t="s">
        <v>4552</v>
      </c>
    </row>
    <row r="2952" spans="1:2" ht="13.5">
      <c r="A2952" s="169" t="s">
        <v>3475</v>
      </c>
      <c r="B2952" s="100" t="s">
        <v>4552</v>
      </c>
    </row>
    <row r="2953" spans="1:2" ht="13.5">
      <c r="A2953" s="169" t="s">
        <v>3476</v>
      </c>
      <c r="B2953" s="100" t="s">
        <v>4552</v>
      </c>
    </row>
    <row r="2954" spans="1:2" ht="13.5">
      <c r="A2954" s="169" t="s">
        <v>3477</v>
      </c>
      <c r="B2954" s="100" t="s">
        <v>4552</v>
      </c>
    </row>
    <row r="2955" spans="1:2" ht="13.5">
      <c r="A2955" s="169" t="s">
        <v>3478</v>
      </c>
      <c r="B2955" s="100" t="s">
        <v>4552</v>
      </c>
    </row>
    <row r="2956" spans="1:2" ht="13.5">
      <c r="A2956" s="169" t="s">
        <v>3479</v>
      </c>
      <c r="B2956" s="100" t="s">
        <v>4552</v>
      </c>
    </row>
    <row r="2957" spans="1:2" ht="13.5">
      <c r="A2957" s="169" t="s">
        <v>3480</v>
      </c>
      <c r="B2957" s="100" t="s">
        <v>4552</v>
      </c>
    </row>
    <row r="2958" spans="1:2" ht="13.5">
      <c r="A2958" s="169" t="s">
        <v>3481</v>
      </c>
      <c r="B2958" s="100" t="s">
        <v>4552</v>
      </c>
    </row>
    <row r="2959" spans="1:2" ht="13.5">
      <c r="A2959" s="169" t="s">
        <v>3482</v>
      </c>
      <c r="B2959" s="100" t="s">
        <v>4552</v>
      </c>
    </row>
    <row r="2960" spans="1:2" ht="13.5">
      <c r="A2960" s="169" t="s">
        <v>3483</v>
      </c>
      <c r="B2960" s="100" t="s">
        <v>4552</v>
      </c>
    </row>
    <row r="2961" spans="1:2" ht="13.5">
      <c r="A2961" s="169" t="s">
        <v>3484</v>
      </c>
      <c r="B2961" s="100" t="s">
        <v>4552</v>
      </c>
    </row>
    <row r="2962" spans="1:2" ht="13.5">
      <c r="A2962" s="169" t="s">
        <v>3485</v>
      </c>
      <c r="B2962" s="100" t="s">
        <v>4552</v>
      </c>
    </row>
    <row r="2963" spans="1:2" ht="13.5">
      <c r="A2963" s="169" t="s">
        <v>3486</v>
      </c>
      <c r="B2963" s="100" t="s">
        <v>4552</v>
      </c>
    </row>
    <row r="2964" spans="1:2" ht="13.5">
      <c r="A2964" s="169" t="s">
        <v>3487</v>
      </c>
      <c r="B2964" s="100" t="s">
        <v>4552</v>
      </c>
    </row>
    <row r="2965" spans="1:2" ht="13.5">
      <c r="A2965" s="169" t="s">
        <v>3488</v>
      </c>
      <c r="B2965" s="100" t="s">
        <v>4552</v>
      </c>
    </row>
    <row r="2966" spans="1:2" ht="13.5">
      <c r="A2966" s="169" t="s">
        <v>3489</v>
      </c>
      <c r="B2966" s="100" t="s">
        <v>4552</v>
      </c>
    </row>
    <row r="2967" spans="1:2" ht="13.5">
      <c r="A2967" s="168" t="s">
        <v>3490</v>
      </c>
      <c r="B2967" s="100" t="s">
        <v>4558</v>
      </c>
    </row>
    <row r="2968" spans="1:2" ht="13.5">
      <c r="A2968" s="169" t="s">
        <v>3491</v>
      </c>
      <c r="B2968" s="100" t="s">
        <v>4552</v>
      </c>
    </row>
    <row r="2969" spans="1:2" ht="13.5">
      <c r="A2969" s="169" t="s">
        <v>3492</v>
      </c>
      <c r="B2969" s="100" t="s">
        <v>4552</v>
      </c>
    </row>
    <row r="2970" spans="1:2" ht="13.5">
      <c r="A2970" s="169" t="s">
        <v>3493</v>
      </c>
      <c r="B2970" s="100" t="s">
        <v>4552</v>
      </c>
    </row>
    <row r="2971" spans="1:2" ht="13.5">
      <c r="A2971" s="169" t="s">
        <v>3494</v>
      </c>
      <c r="B2971" s="100" t="s">
        <v>4552</v>
      </c>
    </row>
    <row r="2972" spans="1:2" ht="13.5">
      <c r="A2972" s="169" t="s">
        <v>3495</v>
      </c>
      <c r="B2972" s="100" t="s">
        <v>4552</v>
      </c>
    </row>
    <row r="2973" spans="1:2" ht="13.5">
      <c r="A2973" s="169" t="s">
        <v>3496</v>
      </c>
      <c r="B2973" s="100" t="s">
        <v>4552</v>
      </c>
    </row>
    <row r="2974" spans="1:2" ht="13.5">
      <c r="A2974" s="169" t="s">
        <v>3497</v>
      </c>
      <c r="B2974" s="100" t="s">
        <v>4552</v>
      </c>
    </row>
    <row r="2975" spans="1:2" ht="13.5">
      <c r="A2975" s="169" t="s">
        <v>3498</v>
      </c>
      <c r="B2975" s="100" t="s">
        <v>4552</v>
      </c>
    </row>
    <row r="2976" spans="1:2" ht="13.5">
      <c r="A2976" s="169" t="s">
        <v>3499</v>
      </c>
      <c r="B2976" s="100" t="s">
        <v>4552</v>
      </c>
    </row>
    <row r="2977" spans="1:2" ht="13.5">
      <c r="A2977" s="169" t="s">
        <v>3500</v>
      </c>
      <c r="B2977" s="100" t="s">
        <v>4552</v>
      </c>
    </row>
    <row r="2978" spans="1:2" ht="13.5">
      <c r="A2978" s="169" t="s">
        <v>3501</v>
      </c>
      <c r="B2978" s="100" t="s">
        <v>4552</v>
      </c>
    </row>
    <row r="2979" spans="1:2" ht="13.5">
      <c r="A2979" s="169" t="s">
        <v>3502</v>
      </c>
      <c r="B2979" s="100" t="s">
        <v>4552</v>
      </c>
    </row>
    <row r="2980" spans="1:2" ht="13.5">
      <c r="A2980" s="169" t="s">
        <v>3503</v>
      </c>
      <c r="B2980" s="100" t="s">
        <v>4552</v>
      </c>
    </row>
    <row r="2981" spans="1:2" ht="13.5">
      <c r="A2981" s="169" t="s">
        <v>3504</v>
      </c>
      <c r="B2981" s="100" t="s">
        <v>4552</v>
      </c>
    </row>
    <row r="2982" spans="1:2" ht="13.5">
      <c r="A2982" s="169" t="s">
        <v>3505</v>
      </c>
      <c r="B2982" s="100" t="s">
        <v>4552</v>
      </c>
    </row>
    <row r="2983" spans="1:2" ht="13.5">
      <c r="A2983" s="169" t="s">
        <v>3506</v>
      </c>
      <c r="B2983" s="100" t="s">
        <v>4552</v>
      </c>
    </row>
    <row r="2984" spans="1:2" ht="13.5">
      <c r="A2984" s="169" t="s">
        <v>3507</v>
      </c>
      <c r="B2984" s="100" t="s">
        <v>4552</v>
      </c>
    </row>
    <row r="2985" spans="1:2" ht="13.5">
      <c r="A2985" s="169" t="s">
        <v>3508</v>
      </c>
      <c r="B2985" s="100" t="s">
        <v>4552</v>
      </c>
    </row>
    <row r="2986" spans="1:2" ht="13.5">
      <c r="A2986" s="169" t="s">
        <v>3509</v>
      </c>
      <c r="B2986" s="100" t="s">
        <v>4552</v>
      </c>
    </row>
    <row r="2987" spans="1:2" ht="13.5">
      <c r="A2987" s="169" t="s">
        <v>3510</v>
      </c>
      <c r="B2987" s="100" t="s">
        <v>4552</v>
      </c>
    </row>
    <row r="2988" spans="1:2" ht="13.5">
      <c r="A2988" s="169" t="s">
        <v>3511</v>
      </c>
      <c r="B2988" s="100" t="s">
        <v>4552</v>
      </c>
    </row>
    <row r="2989" spans="1:2" ht="13.5">
      <c r="A2989" s="169" t="s">
        <v>3512</v>
      </c>
      <c r="B2989" s="100" t="s">
        <v>4552</v>
      </c>
    </row>
    <row r="2990" spans="1:2" ht="13.5">
      <c r="A2990" s="169" t="s">
        <v>3513</v>
      </c>
      <c r="B2990" s="100" t="s">
        <v>4552</v>
      </c>
    </row>
    <row r="2991" spans="1:2" ht="13.5">
      <c r="A2991" s="169" t="s">
        <v>3514</v>
      </c>
      <c r="B2991" s="100" t="s">
        <v>4552</v>
      </c>
    </row>
    <row r="2992" spans="1:2" ht="13.5">
      <c r="A2992" s="169" t="s">
        <v>3515</v>
      </c>
      <c r="B2992" s="100" t="s">
        <v>4552</v>
      </c>
    </row>
    <row r="2993" spans="1:2" ht="13.5">
      <c r="A2993" s="169" t="s">
        <v>3516</v>
      </c>
      <c r="B2993" s="100" t="s">
        <v>4552</v>
      </c>
    </row>
    <row r="2994" spans="1:2" ht="13.5">
      <c r="A2994" s="169" t="s">
        <v>3517</v>
      </c>
      <c r="B2994" s="100" t="s">
        <v>4552</v>
      </c>
    </row>
    <row r="2995" spans="1:2" ht="13.5">
      <c r="A2995" s="169" t="s">
        <v>3518</v>
      </c>
      <c r="B2995" s="100" t="s">
        <v>4552</v>
      </c>
    </row>
    <row r="2996" spans="1:2" ht="13.5">
      <c r="A2996" s="169" t="s">
        <v>3519</v>
      </c>
      <c r="B2996" s="100" t="s">
        <v>4552</v>
      </c>
    </row>
    <row r="2997" spans="1:2" ht="13.5">
      <c r="A2997" s="169" t="s">
        <v>3520</v>
      </c>
      <c r="B2997" s="100" t="s">
        <v>4552</v>
      </c>
    </row>
    <row r="2998" spans="1:2" ht="13.5">
      <c r="A2998" s="169" t="s">
        <v>3521</v>
      </c>
      <c r="B2998" s="100" t="s">
        <v>4552</v>
      </c>
    </row>
    <row r="2999" spans="1:2" ht="13.5">
      <c r="A2999" s="169" t="s">
        <v>3522</v>
      </c>
      <c r="B2999" s="100" t="s">
        <v>4552</v>
      </c>
    </row>
    <row r="3000" spans="1:2" ht="13.5">
      <c r="A3000" s="169" t="s">
        <v>3523</v>
      </c>
      <c r="B3000" s="100" t="s">
        <v>4552</v>
      </c>
    </row>
    <row r="3001" spans="1:2" ht="13.5">
      <c r="A3001" s="169" t="s">
        <v>3524</v>
      </c>
      <c r="B3001" s="100" t="s">
        <v>4552</v>
      </c>
    </row>
    <row r="3002" spans="1:2" ht="13.5">
      <c r="A3002" s="169" t="s">
        <v>3525</v>
      </c>
      <c r="B3002" s="100" t="s">
        <v>4552</v>
      </c>
    </row>
    <row r="3003" spans="1:2" ht="13.5">
      <c r="A3003" s="169" t="s">
        <v>3526</v>
      </c>
      <c r="B3003" s="100" t="s">
        <v>4552</v>
      </c>
    </row>
    <row r="3004" spans="1:2" ht="13.5">
      <c r="A3004" s="169" t="s">
        <v>3527</v>
      </c>
      <c r="B3004" s="100" t="s">
        <v>4552</v>
      </c>
    </row>
    <row r="3005" spans="1:2" ht="13.5">
      <c r="A3005" s="169" t="s">
        <v>3528</v>
      </c>
      <c r="B3005" s="100" t="s">
        <v>4552</v>
      </c>
    </row>
    <row r="3006" spans="1:2" ht="13.5">
      <c r="A3006" s="169" t="s">
        <v>3529</v>
      </c>
      <c r="B3006" s="100" t="s">
        <v>4552</v>
      </c>
    </row>
    <row r="3007" spans="1:2" ht="13.5">
      <c r="A3007" s="169" t="s">
        <v>3530</v>
      </c>
      <c r="B3007" s="100" t="s">
        <v>4552</v>
      </c>
    </row>
    <row r="3008" spans="1:2" ht="13.5">
      <c r="A3008" s="169" t="s">
        <v>3531</v>
      </c>
      <c r="B3008" s="100" t="s">
        <v>4552</v>
      </c>
    </row>
    <row r="3009" spans="1:2" ht="13.5">
      <c r="A3009" s="169" t="s">
        <v>3532</v>
      </c>
      <c r="B3009" s="100" t="s">
        <v>4552</v>
      </c>
    </row>
    <row r="3010" spans="1:2" ht="13.5">
      <c r="A3010" s="169" t="s">
        <v>3533</v>
      </c>
      <c r="B3010" s="100" t="s">
        <v>4552</v>
      </c>
    </row>
    <row r="3011" spans="1:2" ht="13.5">
      <c r="A3011" s="169" t="s">
        <v>3534</v>
      </c>
      <c r="B3011" s="100" t="s">
        <v>4552</v>
      </c>
    </row>
    <row r="3012" spans="1:2" ht="13.5">
      <c r="A3012" s="169" t="s">
        <v>3535</v>
      </c>
      <c r="B3012" s="100" t="s">
        <v>4552</v>
      </c>
    </row>
    <row r="3013" spans="1:2" ht="13.5">
      <c r="A3013" s="169" t="s">
        <v>3536</v>
      </c>
      <c r="B3013" s="100" t="s">
        <v>4552</v>
      </c>
    </row>
    <row r="3014" spans="1:2" ht="13.5">
      <c r="A3014" s="169" t="s">
        <v>3537</v>
      </c>
      <c r="B3014" s="100" t="s">
        <v>4552</v>
      </c>
    </row>
    <row r="3015" spans="1:2" ht="13.5">
      <c r="A3015" s="169" t="s">
        <v>3538</v>
      </c>
      <c r="B3015" s="100" t="s">
        <v>4552</v>
      </c>
    </row>
    <row r="3016" spans="1:2" ht="13.5">
      <c r="A3016" s="169" t="s">
        <v>3539</v>
      </c>
      <c r="B3016" s="100" t="s">
        <v>4552</v>
      </c>
    </row>
    <row r="3017" spans="1:2" ht="13.5">
      <c r="A3017" s="169" t="s">
        <v>3540</v>
      </c>
      <c r="B3017" s="100" t="s">
        <v>4552</v>
      </c>
    </row>
    <row r="3018" spans="1:2" ht="13.5">
      <c r="A3018" s="169" t="s">
        <v>3541</v>
      </c>
      <c r="B3018" s="100" t="s">
        <v>4552</v>
      </c>
    </row>
    <row r="3019" spans="1:2" ht="13.5">
      <c r="A3019" s="169" t="s">
        <v>3542</v>
      </c>
      <c r="B3019" s="100" t="s">
        <v>4552</v>
      </c>
    </row>
    <row r="3020" spans="1:2" ht="13.5">
      <c r="A3020" s="169" t="s">
        <v>3543</v>
      </c>
      <c r="B3020" s="100" t="s">
        <v>4552</v>
      </c>
    </row>
    <row r="3021" spans="1:2" ht="13.5">
      <c r="A3021" s="169" t="s">
        <v>3544</v>
      </c>
      <c r="B3021" s="100" t="s">
        <v>4552</v>
      </c>
    </row>
    <row r="3022" spans="1:2" ht="13.5">
      <c r="A3022" s="169" t="s">
        <v>3545</v>
      </c>
      <c r="B3022" s="100" t="s">
        <v>4552</v>
      </c>
    </row>
    <row r="3023" spans="1:2" ht="13.5">
      <c r="A3023" s="169" t="s">
        <v>3546</v>
      </c>
      <c r="B3023" s="100" t="s">
        <v>4552</v>
      </c>
    </row>
    <row r="3024" spans="1:2" ht="13.5">
      <c r="A3024" s="169" t="s">
        <v>3547</v>
      </c>
      <c r="B3024" s="100" t="s">
        <v>4552</v>
      </c>
    </row>
    <row r="3025" spans="1:2" ht="13.5">
      <c r="A3025" s="169" t="s">
        <v>3548</v>
      </c>
      <c r="B3025" s="100" t="s">
        <v>4552</v>
      </c>
    </row>
    <row r="3026" spans="1:2" ht="13.5">
      <c r="A3026" s="169" t="s">
        <v>3549</v>
      </c>
      <c r="B3026" s="100" t="s">
        <v>4552</v>
      </c>
    </row>
    <row r="3027" spans="1:2" ht="13.5">
      <c r="A3027" s="169" t="s">
        <v>3550</v>
      </c>
      <c r="B3027" s="100" t="s">
        <v>4552</v>
      </c>
    </row>
    <row r="3028" spans="1:2" ht="13.5">
      <c r="A3028" s="169" t="s">
        <v>3551</v>
      </c>
      <c r="B3028" s="100" t="s">
        <v>4552</v>
      </c>
    </row>
    <row r="3029" spans="1:2" ht="13.5">
      <c r="A3029" s="169" t="s">
        <v>3552</v>
      </c>
      <c r="B3029" s="100" t="s">
        <v>4552</v>
      </c>
    </row>
    <row r="3030" spans="1:2" ht="13.5">
      <c r="A3030" s="169" t="s">
        <v>3553</v>
      </c>
      <c r="B3030" s="100" t="s">
        <v>4552</v>
      </c>
    </row>
    <row r="3031" spans="1:2" ht="13.5">
      <c r="A3031" s="169" t="s">
        <v>3554</v>
      </c>
      <c r="B3031" s="100" t="s">
        <v>4552</v>
      </c>
    </row>
    <row r="3032" spans="1:2" ht="13.5">
      <c r="A3032" s="169" t="s">
        <v>3555</v>
      </c>
      <c r="B3032" s="100" t="s">
        <v>4552</v>
      </c>
    </row>
    <row r="3033" spans="1:2" ht="13.5">
      <c r="A3033" s="169" t="s">
        <v>3556</v>
      </c>
      <c r="B3033" s="100" t="s">
        <v>4552</v>
      </c>
    </row>
    <row r="3034" spans="1:2" ht="13.5">
      <c r="A3034" s="169" t="s">
        <v>3557</v>
      </c>
      <c r="B3034" s="100" t="s">
        <v>4552</v>
      </c>
    </row>
    <row r="3035" spans="1:2" ht="13.5">
      <c r="A3035" s="169" t="s">
        <v>3558</v>
      </c>
      <c r="B3035" s="100" t="s">
        <v>4552</v>
      </c>
    </row>
    <row r="3036" spans="1:2" ht="13.5">
      <c r="A3036" s="169" t="s">
        <v>3559</v>
      </c>
      <c r="B3036" s="100" t="s">
        <v>4552</v>
      </c>
    </row>
    <row r="3037" spans="1:2" ht="13.5">
      <c r="A3037" s="169" t="s">
        <v>3560</v>
      </c>
      <c r="B3037" s="100" t="s">
        <v>4552</v>
      </c>
    </row>
    <row r="3038" spans="1:2" ht="13.5">
      <c r="A3038" s="169" t="s">
        <v>3561</v>
      </c>
      <c r="B3038" s="100" t="s">
        <v>4552</v>
      </c>
    </row>
    <row r="3039" spans="1:2" ht="13.5">
      <c r="A3039" s="169" t="s">
        <v>3562</v>
      </c>
      <c r="B3039" s="100" t="s">
        <v>4552</v>
      </c>
    </row>
    <row r="3040" spans="1:2" ht="13.5">
      <c r="A3040" s="169" t="s">
        <v>3563</v>
      </c>
      <c r="B3040" s="100" t="s">
        <v>4552</v>
      </c>
    </row>
    <row r="3041" spans="1:2" ht="13.5">
      <c r="A3041" s="169" t="s">
        <v>3564</v>
      </c>
      <c r="B3041" s="100" t="s">
        <v>4552</v>
      </c>
    </row>
    <row r="3042" spans="1:2" ht="13.5">
      <c r="A3042" s="169" t="s">
        <v>3565</v>
      </c>
      <c r="B3042" s="100" t="s">
        <v>4552</v>
      </c>
    </row>
    <row r="3043" spans="1:2" ht="13.5">
      <c r="A3043" s="169" t="s">
        <v>3566</v>
      </c>
      <c r="B3043" s="100" t="s">
        <v>4552</v>
      </c>
    </row>
    <row r="3044" spans="1:2" ht="13.5">
      <c r="A3044" s="169" t="s">
        <v>3567</v>
      </c>
      <c r="B3044" s="100" t="s">
        <v>4552</v>
      </c>
    </row>
    <row r="3045" spans="1:2" ht="13.5">
      <c r="A3045" s="169" t="s">
        <v>3568</v>
      </c>
      <c r="B3045" s="100" t="s">
        <v>4552</v>
      </c>
    </row>
    <row r="3046" spans="1:2" ht="13.5">
      <c r="A3046" s="169" t="s">
        <v>3569</v>
      </c>
      <c r="B3046" s="100" t="s">
        <v>4552</v>
      </c>
    </row>
    <row r="3047" spans="1:2" ht="13.5">
      <c r="A3047" s="169" t="s">
        <v>3570</v>
      </c>
      <c r="B3047" s="100" t="s">
        <v>4552</v>
      </c>
    </row>
    <row r="3048" spans="1:2" ht="13.5">
      <c r="A3048" s="169" t="s">
        <v>3571</v>
      </c>
      <c r="B3048" s="100" t="s">
        <v>4552</v>
      </c>
    </row>
    <row r="3049" spans="1:2" ht="13.5">
      <c r="A3049" s="169" t="s">
        <v>3572</v>
      </c>
      <c r="B3049" s="100" t="s">
        <v>4552</v>
      </c>
    </row>
    <row r="3050" spans="1:2" ht="13.5">
      <c r="A3050" s="169" t="s">
        <v>3573</v>
      </c>
      <c r="B3050" s="100" t="s">
        <v>4552</v>
      </c>
    </row>
    <row r="3051" spans="1:2" ht="13.5">
      <c r="A3051" s="169" t="s">
        <v>3574</v>
      </c>
      <c r="B3051" s="100" t="s">
        <v>4552</v>
      </c>
    </row>
    <row r="3052" spans="1:2" ht="13.5">
      <c r="A3052" s="169" t="s">
        <v>3575</v>
      </c>
      <c r="B3052" s="100" t="s">
        <v>4552</v>
      </c>
    </row>
    <row r="3053" spans="1:2" ht="13.5">
      <c r="A3053" s="169" t="s">
        <v>3576</v>
      </c>
      <c r="B3053" s="100" t="s">
        <v>4552</v>
      </c>
    </row>
    <row r="3054" spans="1:2" ht="13.5">
      <c r="A3054" s="169" t="s">
        <v>3577</v>
      </c>
      <c r="B3054" s="100" t="s">
        <v>4552</v>
      </c>
    </row>
    <row r="3055" spans="1:2" ht="13.5">
      <c r="A3055" s="169" t="s">
        <v>3578</v>
      </c>
      <c r="B3055" s="100" t="s">
        <v>4552</v>
      </c>
    </row>
    <row r="3056" spans="1:2" ht="13.5">
      <c r="A3056" s="169" t="s">
        <v>3579</v>
      </c>
      <c r="B3056" s="100" t="s">
        <v>4552</v>
      </c>
    </row>
    <row r="3057" spans="1:2" ht="13.5">
      <c r="A3057" s="169" t="s">
        <v>3580</v>
      </c>
      <c r="B3057" s="100" t="s">
        <v>4552</v>
      </c>
    </row>
    <row r="3058" spans="1:2" ht="13.5">
      <c r="A3058" s="169" t="s">
        <v>3581</v>
      </c>
      <c r="B3058" s="100" t="s">
        <v>4552</v>
      </c>
    </row>
    <row r="3059" spans="1:2" ht="13.5">
      <c r="A3059" s="169" t="s">
        <v>3582</v>
      </c>
      <c r="B3059" s="100" t="s">
        <v>4552</v>
      </c>
    </row>
    <row r="3060" spans="1:2" ht="13.5">
      <c r="A3060" s="169" t="s">
        <v>3583</v>
      </c>
      <c r="B3060" s="100" t="s">
        <v>4552</v>
      </c>
    </row>
    <row r="3061" spans="1:2" ht="13.5">
      <c r="A3061" s="167" t="s">
        <v>3584</v>
      </c>
      <c r="B3061" s="100" t="s">
        <v>4552</v>
      </c>
    </row>
    <row r="3062" spans="1:2" ht="13.5">
      <c r="A3062" s="170" t="s">
        <v>4615</v>
      </c>
      <c r="B3062" s="100" t="s">
        <v>4568</v>
      </c>
    </row>
    <row r="3063" spans="1:2" ht="13.5">
      <c r="A3063" s="167" t="s">
        <v>3585</v>
      </c>
      <c r="B3063" s="100" t="s">
        <v>4552</v>
      </c>
    </row>
    <row r="3064" spans="1:2" ht="13.5">
      <c r="A3064" s="167" t="s">
        <v>3586</v>
      </c>
      <c r="B3064" s="100" t="s">
        <v>4552</v>
      </c>
    </row>
    <row r="3065" spans="1:2" ht="13.5">
      <c r="A3065" s="167" t="s">
        <v>3587</v>
      </c>
      <c r="B3065" s="100" t="s">
        <v>4552</v>
      </c>
    </row>
    <row r="3066" spans="1:2" ht="13.5">
      <c r="A3066" s="167" t="s">
        <v>3588</v>
      </c>
      <c r="B3066" s="100" t="s">
        <v>4552</v>
      </c>
    </row>
    <row r="3067" spans="1:2" ht="13.5">
      <c r="A3067" s="167" t="s">
        <v>3589</v>
      </c>
      <c r="B3067" s="100" t="s">
        <v>4556</v>
      </c>
    </row>
    <row r="3068" spans="1:2" ht="13.5">
      <c r="A3068" s="167" t="s">
        <v>3590</v>
      </c>
      <c r="B3068" s="100" t="s">
        <v>4552</v>
      </c>
    </row>
    <row r="3069" spans="1:2" ht="13.5">
      <c r="A3069" s="167" t="s">
        <v>3591</v>
      </c>
      <c r="B3069" s="100" t="s">
        <v>4552</v>
      </c>
    </row>
    <row r="3070" spans="1:2" ht="13.5">
      <c r="A3070" s="167" t="s">
        <v>3592</v>
      </c>
      <c r="B3070" s="100" t="s">
        <v>4552</v>
      </c>
    </row>
    <row r="3071" spans="1:2" ht="13.5">
      <c r="A3071" s="167" t="s">
        <v>3593</v>
      </c>
      <c r="B3071" s="100" t="s">
        <v>4552</v>
      </c>
    </row>
    <row r="3072" spans="1:2" ht="13.5">
      <c r="A3072" s="167" t="s">
        <v>3594</v>
      </c>
      <c r="B3072" s="100" t="s">
        <v>4552</v>
      </c>
    </row>
    <row r="3073" spans="1:2" ht="13.5">
      <c r="A3073" s="167" t="s">
        <v>3595</v>
      </c>
      <c r="B3073" s="100" t="s">
        <v>4552</v>
      </c>
    </row>
    <row r="3074" spans="1:2" ht="13.5">
      <c r="A3074" s="167" t="s">
        <v>3596</v>
      </c>
      <c r="B3074" s="100" t="s">
        <v>4552</v>
      </c>
    </row>
    <row r="3075" spans="1:2" ht="13.5">
      <c r="A3075" s="167" t="s">
        <v>3597</v>
      </c>
      <c r="B3075" s="100" t="s">
        <v>4552</v>
      </c>
    </row>
    <row r="3076" spans="1:2" ht="13.5">
      <c r="A3076" s="167" t="s">
        <v>3598</v>
      </c>
      <c r="B3076" s="100" t="s">
        <v>4552</v>
      </c>
    </row>
    <row r="3077" spans="1:2" ht="13.5">
      <c r="A3077" s="167" t="s">
        <v>3599</v>
      </c>
      <c r="B3077" s="100" t="s">
        <v>4552</v>
      </c>
    </row>
    <row r="3078" spans="1:2" ht="13.5">
      <c r="A3078" s="167" t="s">
        <v>3600</v>
      </c>
      <c r="B3078" s="100" t="s">
        <v>4552</v>
      </c>
    </row>
    <row r="3079" spans="1:2" ht="13.5">
      <c r="A3079" s="167" t="s">
        <v>3601</v>
      </c>
      <c r="B3079" s="100" t="s">
        <v>4552</v>
      </c>
    </row>
    <row r="3080" spans="1:2" ht="13.5">
      <c r="A3080" s="167" t="s">
        <v>3602</v>
      </c>
      <c r="B3080" s="100" t="s">
        <v>4552</v>
      </c>
    </row>
    <row r="3081" spans="1:2" ht="13.5">
      <c r="A3081" s="167" t="s">
        <v>3603</v>
      </c>
      <c r="B3081" s="100" t="s">
        <v>4552</v>
      </c>
    </row>
    <row r="3082" spans="1:2" ht="13.5">
      <c r="A3082" s="167" t="s">
        <v>3604</v>
      </c>
      <c r="B3082" s="100" t="s">
        <v>4556</v>
      </c>
    </row>
    <row r="3083" spans="1:2" ht="13.5">
      <c r="A3083" s="167" t="s">
        <v>3605</v>
      </c>
      <c r="B3083" s="100" t="s">
        <v>4556</v>
      </c>
    </row>
    <row r="3084" spans="1:2" ht="13.5">
      <c r="A3084" s="167" t="s">
        <v>3606</v>
      </c>
      <c r="B3084" s="100" t="s">
        <v>4552</v>
      </c>
    </row>
    <row r="3085" spans="1:2" ht="13.5">
      <c r="A3085" s="167" t="s">
        <v>3607</v>
      </c>
      <c r="B3085" s="100" t="s">
        <v>4552</v>
      </c>
    </row>
    <row r="3086" spans="1:2" ht="13.5">
      <c r="A3086" s="167" t="s">
        <v>3608</v>
      </c>
      <c r="B3086" s="100" t="s">
        <v>4552</v>
      </c>
    </row>
    <row r="3087" spans="1:2" ht="13.5">
      <c r="A3087" s="167" t="s">
        <v>3609</v>
      </c>
      <c r="B3087" s="100" t="s">
        <v>4552</v>
      </c>
    </row>
    <row r="3088" spans="1:2" ht="13.5">
      <c r="A3088" s="167" t="s">
        <v>3610</v>
      </c>
      <c r="B3088" s="100" t="s">
        <v>4552</v>
      </c>
    </row>
    <row r="3089" spans="1:2" ht="13.5">
      <c r="A3089" s="167" t="s">
        <v>3611</v>
      </c>
      <c r="B3089" s="100" t="s">
        <v>4552</v>
      </c>
    </row>
    <row r="3090" spans="1:2" ht="13.5">
      <c r="A3090" s="167" t="s">
        <v>3612</v>
      </c>
      <c r="B3090" s="100" t="s">
        <v>4552</v>
      </c>
    </row>
    <row r="3091" spans="1:2" ht="13.5">
      <c r="A3091" s="167" t="s">
        <v>3613</v>
      </c>
      <c r="B3091" s="100" t="s">
        <v>4552</v>
      </c>
    </row>
    <row r="3092" spans="1:2" ht="13.5">
      <c r="A3092" s="167" t="s">
        <v>3614</v>
      </c>
      <c r="B3092" s="100" t="s">
        <v>4552</v>
      </c>
    </row>
    <row r="3093" spans="1:2" ht="13.5">
      <c r="A3093" s="167" t="s">
        <v>3615</v>
      </c>
      <c r="B3093" s="100" t="s">
        <v>4552</v>
      </c>
    </row>
    <row r="3094" spans="1:2" ht="13.5">
      <c r="A3094" s="167" t="s">
        <v>3616</v>
      </c>
      <c r="B3094" s="100" t="s">
        <v>4552</v>
      </c>
    </row>
    <row r="3095" spans="1:2" ht="13.5">
      <c r="A3095" s="167" t="s">
        <v>3617</v>
      </c>
      <c r="B3095" s="100" t="s">
        <v>4552</v>
      </c>
    </row>
    <row r="3096" spans="1:2" ht="13.5">
      <c r="A3096" s="167" t="s">
        <v>3618</v>
      </c>
      <c r="B3096" s="100" t="s">
        <v>4552</v>
      </c>
    </row>
    <row r="3097" spans="1:2" ht="13.5">
      <c r="A3097" s="167" t="s">
        <v>3619</v>
      </c>
      <c r="B3097" s="100" t="s">
        <v>4552</v>
      </c>
    </row>
    <row r="3098" spans="1:2" ht="13.5">
      <c r="A3098" s="167" t="s">
        <v>3620</v>
      </c>
      <c r="B3098" s="100" t="s">
        <v>4552</v>
      </c>
    </row>
    <row r="3099" spans="1:2" ht="13.5">
      <c r="A3099" s="167" t="s">
        <v>3621</v>
      </c>
      <c r="B3099" s="100" t="s">
        <v>4552</v>
      </c>
    </row>
    <row r="3100" spans="1:2" ht="13.5">
      <c r="A3100" s="167" t="s">
        <v>3622</v>
      </c>
      <c r="B3100" s="100" t="s">
        <v>4552</v>
      </c>
    </row>
    <row r="3101" spans="1:2" ht="13.5">
      <c r="A3101" s="167" t="s">
        <v>3623</v>
      </c>
      <c r="B3101" s="100" t="s">
        <v>4552</v>
      </c>
    </row>
    <row r="3102" spans="1:2" ht="13.5">
      <c r="A3102" s="167" t="s">
        <v>3624</v>
      </c>
      <c r="B3102" s="100" t="s">
        <v>4552</v>
      </c>
    </row>
    <row r="3103" spans="1:2" ht="13.5">
      <c r="A3103" s="167" t="s">
        <v>3625</v>
      </c>
      <c r="B3103" s="100" t="s">
        <v>4552</v>
      </c>
    </row>
    <row r="3104" spans="1:2" ht="13.5">
      <c r="A3104" s="167" t="s">
        <v>3626</v>
      </c>
      <c r="B3104" s="100" t="s">
        <v>4552</v>
      </c>
    </row>
    <row r="3105" spans="1:2" ht="13.5">
      <c r="A3105" s="167" t="s">
        <v>3627</v>
      </c>
      <c r="B3105" s="100" t="s">
        <v>4552</v>
      </c>
    </row>
    <row r="3106" spans="1:2" ht="13.5">
      <c r="A3106" s="167" t="s">
        <v>3628</v>
      </c>
      <c r="B3106" s="100" t="s">
        <v>4552</v>
      </c>
    </row>
    <row r="3107" spans="1:2" ht="13.5">
      <c r="A3107" s="167" t="s">
        <v>3629</v>
      </c>
      <c r="B3107" s="100" t="s">
        <v>4552</v>
      </c>
    </row>
    <row r="3108" spans="1:2" ht="13.5">
      <c r="A3108" s="167" t="s">
        <v>3630</v>
      </c>
      <c r="B3108" s="100" t="s">
        <v>4552</v>
      </c>
    </row>
    <row r="3109" spans="1:2" ht="13.5">
      <c r="A3109" s="167" t="s">
        <v>3631</v>
      </c>
      <c r="B3109" s="100" t="s">
        <v>4552</v>
      </c>
    </row>
    <row r="3110" spans="1:2" ht="13.5">
      <c r="A3110" s="167" t="s">
        <v>3632</v>
      </c>
      <c r="B3110" s="100" t="s">
        <v>4552</v>
      </c>
    </row>
    <row r="3111" spans="1:2" ht="13.5">
      <c r="A3111" s="167" t="s">
        <v>3633</v>
      </c>
      <c r="B3111" s="100" t="s">
        <v>4552</v>
      </c>
    </row>
    <row r="3112" spans="1:2" ht="13.5">
      <c r="A3112" s="167" t="s">
        <v>3634</v>
      </c>
      <c r="B3112" s="100" t="s">
        <v>4552</v>
      </c>
    </row>
    <row r="3113" spans="1:2" ht="13.5">
      <c r="A3113" s="167" t="s">
        <v>3635</v>
      </c>
      <c r="B3113" s="100" t="s">
        <v>4556</v>
      </c>
    </row>
    <row r="3114" spans="1:2" ht="13.5">
      <c r="A3114" s="167" t="s">
        <v>3636</v>
      </c>
      <c r="B3114" s="100" t="s">
        <v>4552</v>
      </c>
    </row>
    <row r="3115" spans="1:2" ht="13.5">
      <c r="A3115" s="167" t="s">
        <v>3637</v>
      </c>
      <c r="B3115" s="100" t="s">
        <v>4552</v>
      </c>
    </row>
    <row r="3116" spans="1:2" ht="13.5">
      <c r="A3116" s="167" t="s">
        <v>3638</v>
      </c>
      <c r="B3116" s="100" t="s">
        <v>4556</v>
      </c>
    </row>
    <row r="3117" spans="1:2" ht="13.5">
      <c r="A3117" s="167" t="s">
        <v>3639</v>
      </c>
      <c r="B3117" s="100" t="s">
        <v>4552</v>
      </c>
    </row>
    <row r="3118" spans="1:2" ht="13.5">
      <c r="A3118" s="167" t="s">
        <v>3640</v>
      </c>
      <c r="B3118" s="100" t="s">
        <v>4552</v>
      </c>
    </row>
    <row r="3119" spans="1:2" ht="13.5">
      <c r="A3119" s="167" t="s">
        <v>3641</v>
      </c>
      <c r="B3119" s="100" t="s">
        <v>4552</v>
      </c>
    </row>
    <row r="3120" spans="1:2" ht="13.5">
      <c r="A3120" s="167" t="s">
        <v>3642</v>
      </c>
      <c r="B3120" s="100" t="s">
        <v>4552</v>
      </c>
    </row>
    <row r="3121" spans="1:2" ht="13.5">
      <c r="A3121" s="167" t="s">
        <v>3643</v>
      </c>
      <c r="B3121" s="100" t="s">
        <v>4552</v>
      </c>
    </row>
    <row r="3122" spans="1:2" ht="13.5">
      <c r="A3122" s="167" t="s">
        <v>3644</v>
      </c>
      <c r="B3122" s="100" t="s">
        <v>4552</v>
      </c>
    </row>
    <row r="3123" spans="1:2" ht="13.5">
      <c r="A3123" s="167" t="s">
        <v>3645</v>
      </c>
      <c r="B3123" s="100" t="s">
        <v>4552</v>
      </c>
    </row>
    <row r="3124" spans="1:2" ht="13.5">
      <c r="A3124" s="167" t="s">
        <v>3646</v>
      </c>
      <c r="B3124" s="100" t="s">
        <v>4552</v>
      </c>
    </row>
    <row r="3125" spans="1:2" ht="13.5">
      <c r="A3125" s="167" t="s">
        <v>3647</v>
      </c>
      <c r="B3125" s="100" t="s">
        <v>4552</v>
      </c>
    </row>
    <row r="3126" spans="1:2" ht="13.5">
      <c r="A3126" s="167" t="s">
        <v>3648</v>
      </c>
      <c r="B3126" s="100" t="s">
        <v>4552</v>
      </c>
    </row>
    <row r="3127" spans="1:2" ht="13.5">
      <c r="A3127" s="167" t="s">
        <v>3649</v>
      </c>
      <c r="B3127" s="100" t="s">
        <v>4552</v>
      </c>
    </row>
    <row r="3128" spans="1:2" ht="13.5">
      <c r="A3128" s="167" t="s">
        <v>3650</v>
      </c>
      <c r="B3128" s="100" t="s">
        <v>4552</v>
      </c>
    </row>
    <row r="3129" spans="1:2" ht="13.5">
      <c r="A3129" s="167" t="s">
        <v>3651</v>
      </c>
      <c r="B3129" s="100" t="s">
        <v>4552</v>
      </c>
    </row>
    <row r="3130" spans="1:2" ht="13.5">
      <c r="A3130" s="167" t="s">
        <v>3652</v>
      </c>
      <c r="B3130" s="100" t="s">
        <v>4552</v>
      </c>
    </row>
    <row r="3131" spans="1:2" ht="13.5">
      <c r="A3131" s="167" t="s">
        <v>3653</v>
      </c>
      <c r="B3131" s="100" t="s">
        <v>4552</v>
      </c>
    </row>
    <row r="3132" spans="1:2" ht="13.5">
      <c r="A3132" s="167" t="s">
        <v>3654</v>
      </c>
      <c r="B3132" s="100" t="s">
        <v>4552</v>
      </c>
    </row>
    <row r="3133" spans="1:2" ht="13.5">
      <c r="A3133" s="167" t="s">
        <v>3655</v>
      </c>
      <c r="B3133" s="100" t="s">
        <v>4552</v>
      </c>
    </row>
    <row r="3134" spans="1:2" ht="13.5">
      <c r="A3134" s="167" t="s">
        <v>3656</v>
      </c>
      <c r="B3134" s="100" t="s">
        <v>4552</v>
      </c>
    </row>
    <row r="3135" spans="1:2" ht="13.5">
      <c r="A3135" s="167" t="s">
        <v>3657</v>
      </c>
      <c r="B3135" s="100" t="s">
        <v>4552</v>
      </c>
    </row>
    <row r="3136" spans="1:2" ht="13.5">
      <c r="A3136" s="167" t="s">
        <v>3658</v>
      </c>
      <c r="B3136" s="100" t="s">
        <v>4552</v>
      </c>
    </row>
    <row r="3137" spans="1:2" ht="13.5">
      <c r="A3137" s="167" t="s">
        <v>3659</v>
      </c>
      <c r="B3137" s="100" t="s">
        <v>4552</v>
      </c>
    </row>
    <row r="3138" spans="1:2" ht="13.5">
      <c r="A3138" s="167" t="s">
        <v>3660</v>
      </c>
      <c r="B3138" s="100" t="s">
        <v>4552</v>
      </c>
    </row>
    <row r="3139" spans="1:2" ht="13.5">
      <c r="A3139" s="167" t="s">
        <v>3661</v>
      </c>
      <c r="B3139" s="100" t="s">
        <v>4552</v>
      </c>
    </row>
    <row r="3140" spans="1:2" ht="13.5">
      <c r="A3140" s="167" t="s">
        <v>3662</v>
      </c>
      <c r="B3140" s="100" t="s">
        <v>4552</v>
      </c>
    </row>
    <row r="3141" spans="1:2" ht="13.5">
      <c r="A3141" s="167" t="s">
        <v>3663</v>
      </c>
      <c r="B3141" s="100" t="s">
        <v>4552</v>
      </c>
    </row>
    <row r="3142" spans="1:2" ht="13.5">
      <c r="A3142" s="167" t="s">
        <v>3664</v>
      </c>
      <c r="B3142" s="100" t="s">
        <v>4552</v>
      </c>
    </row>
    <row r="3143" spans="1:2" ht="13.5">
      <c r="A3143" s="167" t="s">
        <v>3665</v>
      </c>
      <c r="B3143" s="100" t="s">
        <v>4552</v>
      </c>
    </row>
    <row r="3144" spans="1:2" ht="13.5">
      <c r="A3144" s="167" t="s">
        <v>3666</v>
      </c>
      <c r="B3144" s="100" t="s">
        <v>4552</v>
      </c>
    </row>
    <row r="3145" spans="1:2" ht="13.5">
      <c r="A3145" s="167" t="s">
        <v>3667</v>
      </c>
      <c r="B3145" s="100" t="s">
        <v>4552</v>
      </c>
    </row>
    <row r="3146" spans="1:2" ht="13.5">
      <c r="A3146" s="167" t="s">
        <v>3668</v>
      </c>
      <c r="B3146" s="100" t="s">
        <v>4552</v>
      </c>
    </row>
    <row r="3147" spans="1:2" ht="13.5">
      <c r="A3147" s="167" t="s">
        <v>3669</v>
      </c>
      <c r="B3147" s="100" t="s">
        <v>4552</v>
      </c>
    </row>
    <row r="3148" spans="1:2" ht="13.5">
      <c r="A3148" s="167" t="s">
        <v>3670</v>
      </c>
      <c r="B3148" s="100" t="s">
        <v>4552</v>
      </c>
    </row>
    <row r="3149" spans="1:2" ht="13.5">
      <c r="A3149" s="167" t="s">
        <v>3671</v>
      </c>
      <c r="B3149" s="100" t="s">
        <v>4552</v>
      </c>
    </row>
    <row r="3150" spans="1:2" ht="13.5">
      <c r="A3150" s="167" t="s">
        <v>3672</v>
      </c>
      <c r="B3150" s="100" t="s">
        <v>4552</v>
      </c>
    </row>
    <row r="3151" spans="1:2" ht="13.5">
      <c r="A3151" s="167" t="s">
        <v>3673</v>
      </c>
      <c r="B3151" s="100" t="s">
        <v>4552</v>
      </c>
    </row>
    <row r="3152" spans="1:2" ht="13.5">
      <c r="A3152" s="167" t="s">
        <v>3674</v>
      </c>
      <c r="B3152" s="100" t="s">
        <v>4552</v>
      </c>
    </row>
    <row r="3153" spans="1:2" ht="13.5">
      <c r="A3153" s="167" t="s">
        <v>3675</v>
      </c>
      <c r="B3153" s="100" t="s">
        <v>4552</v>
      </c>
    </row>
    <row r="3154" spans="1:2" ht="13.5">
      <c r="A3154" s="167" t="s">
        <v>3676</v>
      </c>
      <c r="B3154" s="100" t="s">
        <v>4552</v>
      </c>
    </row>
    <row r="3155" spans="1:2" ht="13.5">
      <c r="A3155" s="167" t="s">
        <v>3677</v>
      </c>
      <c r="B3155" s="100" t="s">
        <v>4552</v>
      </c>
    </row>
    <row r="3156" spans="1:2" ht="13.5">
      <c r="A3156" s="167" t="s">
        <v>3678</v>
      </c>
      <c r="B3156" s="100" t="s">
        <v>4552</v>
      </c>
    </row>
    <row r="3157" spans="1:2" ht="13.5">
      <c r="A3157" s="167" t="s">
        <v>3679</v>
      </c>
      <c r="B3157" s="100" t="s">
        <v>4552</v>
      </c>
    </row>
    <row r="3158" spans="1:2" ht="13.5">
      <c r="A3158" s="167" t="s">
        <v>3680</v>
      </c>
      <c r="B3158" s="100" t="s">
        <v>4552</v>
      </c>
    </row>
    <row r="3159" spans="1:2" ht="13.5">
      <c r="A3159" s="167" t="s">
        <v>3681</v>
      </c>
      <c r="B3159" s="100" t="s">
        <v>4552</v>
      </c>
    </row>
    <row r="3160" spans="1:2" ht="13.5">
      <c r="A3160" s="167" t="s">
        <v>3682</v>
      </c>
      <c r="B3160" s="100" t="s">
        <v>4552</v>
      </c>
    </row>
    <row r="3161" spans="1:2" ht="13.5">
      <c r="A3161" s="167" t="s">
        <v>3683</v>
      </c>
      <c r="B3161" s="100" t="s">
        <v>4552</v>
      </c>
    </row>
    <row r="3162" spans="1:2" ht="13.5">
      <c r="A3162" s="167" t="s">
        <v>3684</v>
      </c>
      <c r="B3162" s="100" t="s">
        <v>4552</v>
      </c>
    </row>
    <row r="3163" spans="1:2" ht="13.5">
      <c r="A3163" s="167" t="s">
        <v>3685</v>
      </c>
      <c r="B3163" s="100" t="s">
        <v>4552</v>
      </c>
    </row>
    <row r="3164" spans="1:2" ht="13.5">
      <c r="A3164" s="167" t="s">
        <v>3686</v>
      </c>
      <c r="B3164" s="100" t="s">
        <v>4552</v>
      </c>
    </row>
    <row r="3165" spans="1:2" ht="13.5">
      <c r="A3165" s="167" t="s">
        <v>3687</v>
      </c>
      <c r="B3165" s="100" t="s">
        <v>4552</v>
      </c>
    </row>
    <row r="3166" spans="1:2" ht="13.5">
      <c r="A3166" s="167" t="s">
        <v>3688</v>
      </c>
      <c r="B3166" s="100" t="s">
        <v>4552</v>
      </c>
    </row>
    <row r="3167" spans="1:2" ht="13.5">
      <c r="A3167" s="167" t="s">
        <v>3689</v>
      </c>
      <c r="B3167" s="100" t="s">
        <v>4552</v>
      </c>
    </row>
    <row r="3168" spans="1:2" ht="13.5">
      <c r="A3168" s="167" t="s">
        <v>3690</v>
      </c>
      <c r="B3168" s="100" t="s">
        <v>4552</v>
      </c>
    </row>
    <row r="3169" spans="1:2" ht="13.5">
      <c r="A3169" s="167" t="s">
        <v>3691</v>
      </c>
      <c r="B3169" s="100" t="s">
        <v>4552</v>
      </c>
    </row>
    <row r="3170" spans="1:2" ht="13.5">
      <c r="A3170" s="167" t="s">
        <v>3692</v>
      </c>
      <c r="B3170" s="100" t="s">
        <v>4552</v>
      </c>
    </row>
    <row r="3171" spans="1:2" ht="13.5">
      <c r="A3171" s="167" t="s">
        <v>3693</v>
      </c>
      <c r="B3171" s="100" t="s">
        <v>4552</v>
      </c>
    </row>
    <row r="3172" spans="1:2" ht="13.5">
      <c r="A3172" s="167" t="s">
        <v>3694</v>
      </c>
      <c r="B3172" s="100" t="s">
        <v>4552</v>
      </c>
    </row>
    <row r="3173" spans="1:2" ht="13.5">
      <c r="A3173" s="167" t="s">
        <v>3695</v>
      </c>
      <c r="B3173" s="100" t="s">
        <v>4552</v>
      </c>
    </row>
    <row r="3174" spans="1:2" ht="13.5">
      <c r="A3174" s="167" t="s">
        <v>3696</v>
      </c>
      <c r="B3174" s="100" t="s">
        <v>4552</v>
      </c>
    </row>
    <row r="3175" spans="1:2" ht="13.5">
      <c r="A3175" s="167" t="s">
        <v>3697</v>
      </c>
      <c r="B3175" s="100" t="s">
        <v>4552</v>
      </c>
    </row>
    <row r="3176" spans="1:2" ht="13.5">
      <c r="A3176" s="167" t="s">
        <v>3698</v>
      </c>
      <c r="B3176" s="100" t="s">
        <v>4552</v>
      </c>
    </row>
    <row r="3177" spans="1:2" ht="13.5">
      <c r="A3177" s="167" t="s">
        <v>3699</v>
      </c>
      <c r="B3177" s="100" t="s">
        <v>4552</v>
      </c>
    </row>
    <row r="3178" spans="1:2" ht="13.5">
      <c r="A3178" s="167" t="s">
        <v>3700</v>
      </c>
      <c r="B3178" s="100" t="s">
        <v>4552</v>
      </c>
    </row>
    <row r="3179" spans="1:2" ht="13.5">
      <c r="A3179" s="167" t="s">
        <v>3701</v>
      </c>
      <c r="B3179" s="100" t="s">
        <v>4552</v>
      </c>
    </row>
    <row r="3180" spans="1:2" ht="13.5">
      <c r="A3180" s="167" t="s">
        <v>3702</v>
      </c>
      <c r="B3180" s="100" t="s">
        <v>4552</v>
      </c>
    </row>
    <row r="3181" spans="1:2" ht="13.5">
      <c r="A3181" s="167" t="s">
        <v>3703</v>
      </c>
      <c r="B3181" s="100" t="s">
        <v>4552</v>
      </c>
    </row>
    <row r="3182" spans="1:2" ht="13.5">
      <c r="A3182" s="167" t="s">
        <v>3704</v>
      </c>
      <c r="B3182" s="100" t="s">
        <v>4552</v>
      </c>
    </row>
    <row r="3183" spans="1:2" ht="13.5">
      <c r="A3183" s="167" t="s">
        <v>3705</v>
      </c>
      <c r="B3183" s="100" t="s">
        <v>4552</v>
      </c>
    </row>
    <row r="3184" spans="1:2" ht="13.5">
      <c r="A3184" s="167" t="s">
        <v>3706</v>
      </c>
      <c r="B3184" s="100" t="s">
        <v>4552</v>
      </c>
    </row>
    <row r="3185" spans="1:2" ht="13.5">
      <c r="A3185" s="167" t="s">
        <v>3707</v>
      </c>
      <c r="B3185" s="100" t="s">
        <v>4552</v>
      </c>
    </row>
    <row r="3186" spans="1:2" ht="13.5">
      <c r="A3186" s="167" t="s">
        <v>3708</v>
      </c>
      <c r="B3186" s="100" t="s">
        <v>4552</v>
      </c>
    </row>
    <row r="3187" spans="1:2" ht="13.5">
      <c r="A3187" s="167" t="s">
        <v>3709</v>
      </c>
      <c r="B3187" s="100" t="s">
        <v>4552</v>
      </c>
    </row>
    <row r="3188" spans="1:2" ht="13.5">
      <c r="A3188" s="167" t="s">
        <v>3710</v>
      </c>
      <c r="B3188" s="100" t="s">
        <v>4556</v>
      </c>
    </row>
    <row r="3189" spans="1:2" ht="13.5">
      <c r="A3189" s="167" t="s">
        <v>3711</v>
      </c>
      <c r="B3189" s="100" t="s">
        <v>4552</v>
      </c>
    </row>
    <row r="3190" spans="1:2" ht="13.5">
      <c r="A3190" s="167" t="s">
        <v>3712</v>
      </c>
      <c r="B3190" s="100" t="s">
        <v>4552</v>
      </c>
    </row>
    <row r="3191" spans="1:2" ht="13.5">
      <c r="A3191" s="167" t="s">
        <v>3713</v>
      </c>
      <c r="B3191" s="100" t="s">
        <v>4552</v>
      </c>
    </row>
    <row r="3192" spans="1:2" ht="13.5">
      <c r="A3192" s="167" t="s">
        <v>3714</v>
      </c>
      <c r="B3192" s="100" t="s">
        <v>4552</v>
      </c>
    </row>
    <row r="3193" spans="1:2" ht="13.5">
      <c r="A3193" s="167" t="s">
        <v>3715</v>
      </c>
      <c r="B3193" s="100" t="s">
        <v>4552</v>
      </c>
    </row>
    <row r="3194" spans="1:2" ht="13.5">
      <c r="A3194" s="167" t="s">
        <v>3716</v>
      </c>
      <c r="B3194" s="100" t="s">
        <v>4552</v>
      </c>
    </row>
    <row r="3195" spans="1:2" ht="13.5">
      <c r="A3195" s="167" t="s">
        <v>3717</v>
      </c>
      <c r="B3195" s="100" t="s">
        <v>4552</v>
      </c>
    </row>
    <row r="3196" spans="1:2" ht="13.5">
      <c r="A3196" s="167" t="s">
        <v>3718</v>
      </c>
      <c r="B3196" s="100" t="s">
        <v>4552</v>
      </c>
    </row>
    <row r="3197" spans="1:2" ht="13.5">
      <c r="A3197" s="167" t="s">
        <v>3719</v>
      </c>
      <c r="B3197" s="100" t="s">
        <v>4552</v>
      </c>
    </row>
    <row r="3198" spans="1:2" ht="13.5">
      <c r="A3198" s="167" t="s">
        <v>3720</v>
      </c>
      <c r="B3198" s="100" t="s">
        <v>4552</v>
      </c>
    </row>
    <row r="3199" spans="1:2" ht="13.5">
      <c r="A3199" s="167" t="s">
        <v>3721</v>
      </c>
      <c r="B3199" s="100" t="s">
        <v>4552</v>
      </c>
    </row>
    <row r="3200" spans="1:2" ht="13.5">
      <c r="A3200" s="167" t="s">
        <v>3722</v>
      </c>
      <c r="B3200" s="100" t="s">
        <v>4552</v>
      </c>
    </row>
    <row r="3201" spans="1:2" ht="13.5">
      <c r="A3201" s="167" t="s">
        <v>3723</v>
      </c>
      <c r="B3201" s="100" t="s">
        <v>4552</v>
      </c>
    </row>
    <row r="3202" spans="1:2" ht="13.5">
      <c r="A3202" s="167" t="s">
        <v>3724</v>
      </c>
      <c r="B3202" s="100" t="s">
        <v>4552</v>
      </c>
    </row>
    <row r="3203" spans="1:2" ht="13.5">
      <c r="A3203" s="167" t="s">
        <v>3725</v>
      </c>
      <c r="B3203" s="100" t="s">
        <v>4552</v>
      </c>
    </row>
    <row r="3204" spans="1:2" ht="13.5">
      <c r="A3204" s="167" t="s">
        <v>3726</v>
      </c>
      <c r="B3204" s="100" t="s">
        <v>4552</v>
      </c>
    </row>
    <row r="3205" spans="1:2" ht="13.5">
      <c r="A3205" s="167" t="s">
        <v>3727</v>
      </c>
      <c r="B3205" s="100" t="s">
        <v>4552</v>
      </c>
    </row>
    <row r="3206" spans="1:2" ht="13.5">
      <c r="A3206" s="167" t="s">
        <v>3728</v>
      </c>
      <c r="B3206" s="100" t="s">
        <v>4552</v>
      </c>
    </row>
    <row r="3207" spans="1:2" ht="13.5">
      <c r="A3207" s="167" t="s">
        <v>3729</v>
      </c>
      <c r="B3207" s="100" t="s">
        <v>4552</v>
      </c>
    </row>
    <row r="3208" spans="1:2" ht="13.5">
      <c r="A3208" s="167" t="s">
        <v>3730</v>
      </c>
      <c r="B3208" s="100" t="s">
        <v>4552</v>
      </c>
    </row>
    <row r="3209" spans="1:2" ht="13.5">
      <c r="A3209" s="167" t="s">
        <v>3731</v>
      </c>
      <c r="B3209" s="100" t="s">
        <v>4552</v>
      </c>
    </row>
    <row r="3210" spans="1:2" ht="13.5">
      <c r="A3210" s="167" t="s">
        <v>3732</v>
      </c>
      <c r="B3210" s="100" t="s">
        <v>4552</v>
      </c>
    </row>
    <row r="3211" spans="1:2" ht="13.5">
      <c r="A3211" s="167" t="s">
        <v>3733</v>
      </c>
      <c r="B3211" s="100" t="s">
        <v>4552</v>
      </c>
    </row>
    <row r="3212" spans="1:2" ht="13.5">
      <c r="A3212" s="167" t="s">
        <v>3734</v>
      </c>
      <c r="B3212" s="100" t="s">
        <v>4552</v>
      </c>
    </row>
    <row r="3213" spans="1:2" ht="13.5">
      <c r="A3213" s="167" t="s">
        <v>3735</v>
      </c>
      <c r="B3213" s="100" t="s">
        <v>4552</v>
      </c>
    </row>
    <row r="3214" spans="1:2" ht="13.5">
      <c r="A3214" s="167" t="s">
        <v>3736</v>
      </c>
      <c r="B3214" s="100" t="s">
        <v>4552</v>
      </c>
    </row>
    <row r="3215" spans="1:2" ht="13.5">
      <c r="A3215" s="167" t="s">
        <v>3737</v>
      </c>
      <c r="B3215" s="100" t="s">
        <v>4552</v>
      </c>
    </row>
    <row r="3216" spans="1:2" ht="13.5">
      <c r="A3216" s="167" t="s">
        <v>3738</v>
      </c>
      <c r="B3216" s="100" t="s">
        <v>4552</v>
      </c>
    </row>
    <row r="3217" spans="1:2" ht="13.5">
      <c r="A3217" s="167" t="s">
        <v>3739</v>
      </c>
      <c r="B3217" s="100" t="s">
        <v>4552</v>
      </c>
    </row>
    <row r="3218" spans="1:2" ht="13.5">
      <c r="A3218" s="167" t="s">
        <v>3740</v>
      </c>
      <c r="B3218" s="100" t="s">
        <v>4552</v>
      </c>
    </row>
    <row r="3219" spans="1:2" ht="13.5">
      <c r="A3219" s="167" t="s">
        <v>3741</v>
      </c>
      <c r="B3219" s="100" t="s">
        <v>4552</v>
      </c>
    </row>
    <row r="3220" spans="1:2" ht="13.5">
      <c r="A3220" s="167" t="s">
        <v>3742</v>
      </c>
      <c r="B3220" s="100" t="s">
        <v>4552</v>
      </c>
    </row>
    <row r="3221" spans="1:2" ht="13.5">
      <c r="A3221" s="167" t="s">
        <v>3743</v>
      </c>
      <c r="B3221" s="100" t="s">
        <v>4552</v>
      </c>
    </row>
    <row r="3222" spans="1:2" ht="13.5">
      <c r="A3222" s="167" t="s">
        <v>3744</v>
      </c>
      <c r="B3222" s="100" t="s">
        <v>4552</v>
      </c>
    </row>
    <row r="3223" spans="1:2" ht="13.5">
      <c r="A3223" s="167" t="s">
        <v>3745</v>
      </c>
      <c r="B3223" s="100" t="s">
        <v>4552</v>
      </c>
    </row>
    <row r="3224" spans="1:2" ht="13.5">
      <c r="A3224" s="167" t="s">
        <v>3746</v>
      </c>
      <c r="B3224" s="100" t="s">
        <v>4552</v>
      </c>
    </row>
    <row r="3225" spans="1:2" ht="13.5">
      <c r="A3225" s="167" t="s">
        <v>3747</v>
      </c>
      <c r="B3225" s="100" t="s">
        <v>4552</v>
      </c>
    </row>
    <row r="3226" spans="1:2" ht="13.5">
      <c r="A3226" s="167" t="s">
        <v>3748</v>
      </c>
      <c r="B3226" s="100" t="s">
        <v>4552</v>
      </c>
    </row>
    <row r="3227" spans="1:2" ht="13.5">
      <c r="A3227" s="167" t="s">
        <v>3749</v>
      </c>
      <c r="B3227" s="100" t="s">
        <v>4552</v>
      </c>
    </row>
    <row r="3228" spans="1:2" ht="13.5">
      <c r="A3228" s="167" t="s">
        <v>3750</v>
      </c>
      <c r="B3228" s="100" t="s">
        <v>4552</v>
      </c>
    </row>
    <row r="3229" spans="1:2" ht="13.5">
      <c r="A3229" s="167" t="s">
        <v>3751</v>
      </c>
      <c r="B3229" s="100" t="s">
        <v>4552</v>
      </c>
    </row>
    <row r="3230" spans="1:2" ht="13.5">
      <c r="A3230" s="167" t="s">
        <v>3752</v>
      </c>
      <c r="B3230" s="100" t="s">
        <v>4552</v>
      </c>
    </row>
    <row r="3231" spans="1:2" ht="13.5">
      <c r="A3231" s="167" t="s">
        <v>3753</v>
      </c>
      <c r="B3231" s="100" t="s">
        <v>4552</v>
      </c>
    </row>
    <row r="3232" spans="1:2" ht="13.5">
      <c r="A3232" s="167" t="s">
        <v>3754</v>
      </c>
      <c r="B3232" s="100" t="s">
        <v>4552</v>
      </c>
    </row>
    <row r="3233" spans="1:2" ht="13.5">
      <c r="A3233" s="167" t="s">
        <v>3755</v>
      </c>
      <c r="B3233" s="100" t="s">
        <v>4552</v>
      </c>
    </row>
    <row r="3234" spans="1:2" ht="13.5">
      <c r="A3234" s="167" t="s">
        <v>3756</v>
      </c>
      <c r="B3234" s="100" t="s">
        <v>4552</v>
      </c>
    </row>
    <row r="3235" spans="1:2" ht="13.5">
      <c r="A3235" s="167" t="s">
        <v>3757</v>
      </c>
      <c r="B3235" s="100" t="s">
        <v>4552</v>
      </c>
    </row>
    <row r="3236" spans="1:2" ht="13.5">
      <c r="A3236" s="167" t="s">
        <v>3758</v>
      </c>
      <c r="B3236" s="100" t="s">
        <v>4552</v>
      </c>
    </row>
    <row r="3237" spans="1:2" ht="13.5">
      <c r="A3237" s="167" t="s">
        <v>3759</v>
      </c>
      <c r="B3237" s="100" t="s">
        <v>4552</v>
      </c>
    </row>
    <row r="3238" spans="1:2" ht="13.5">
      <c r="A3238" s="167" t="s">
        <v>3760</v>
      </c>
      <c r="B3238" s="100" t="s">
        <v>4552</v>
      </c>
    </row>
    <row r="3239" spans="1:2" ht="13.5">
      <c r="A3239" s="167" t="s">
        <v>3761</v>
      </c>
      <c r="B3239" s="100" t="s">
        <v>4552</v>
      </c>
    </row>
    <row r="3240" spans="1:2" ht="13.5">
      <c r="A3240" s="167" t="s">
        <v>3762</v>
      </c>
      <c r="B3240" s="100" t="s">
        <v>4552</v>
      </c>
    </row>
    <row r="3241" spans="1:2" ht="13.5">
      <c r="A3241" s="167" t="s">
        <v>3763</v>
      </c>
      <c r="B3241" s="100" t="s">
        <v>4552</v>
      </c>
    </row>
    <row r="3242" spans="1:2" ht="13.5">
      <c r="A3242" s="167" t="s">
        <v>3764</v>
      </c>
      <c r="B3242" s="100" t="s">
        <v>4552</v>
      </c>
    </row>
    <row r="3243" spans="1:2" ht="13.5">
      <c r="A3243" s="167" t="s">
        <v>3765</v>
      </c>
      <c r="B3243" s="100" t="s">
        <v>4552</v>
      </c>
    </row>
    <row r="3244" spans="1:2" ht="13.5">
      <c r="A3244" s="167" t="s">
        <v>3766</v>
      </c>
      <c r="B3244" s="100" t="s">
        <v>4552</v>
      </c>
    </row>
    <row r="3245" spans="1:2" ht="13.5">
      <c r="A3245" s="167" t="s">
        <v>3767</v>
      </c>
      <c r="B3245" s="100" t="s">
        <v>4552</v>
      </c>
    </row>
    <row r="3246" spans="1:2" ht="13.5">
      <c r="A3246" s="167" t="s">
        <v>3768</v>
      </c>
      <c r="B3246" s="100" t="s">
        <v>4552</v>
      </c>
    </row>
    <row r="3247" spans="1:2" ht="13.5">
      <c r="A3247" s="167" t="s">
        <v>3769</v>
      </c>
      <c r="B3247" s="100" t="s">
        <v>4552</v>
      </c>
    </row>
    <row r="3248" spans="1:2" ht="13.5">
      <c r="A3248" s="167" t="s">
        <v>3770</v>
      </c>
      <c r="B3248" s="100" t="s">
        <v>4552</v>
      </c>
    </row>
    <row r="3249" spans="1:2" ht="13.5">
      <c r="A3249" s="167" t="s">
        <v>3771</v>
      </c>
      <c r="B3249" s="100" t="s">
        <v>4552</v>
      </c>
    </row>
    <row r="3250" spans="1:2" ht="13.5">
      <c r="A3250" s="167" t="s">
        <v>3772</v>
      </c>
      <c r="B3250" s="100" t="s">
        <v>4552</v>
      </c>
    </row>
    <row r="3251" spans="1:2" ht="13.5">
      <c r="A3251" s="167" t="s">
        <v>3773</v>
      </c>
      <c r="B3251" s="100" t="s">
        <v>4552</v>
      </c>
    </row>
    <row r="3252" spans="1:2" ht="13.5">
      <c r="A3252" s="167" t="s">
        <v>3774</v>
      </c>
      <c r="B3252" s="100" t="s">
        <v>4552</v>
      </c>
    </row>
    <row r="3253" spans="1:2" ht="13.5">
      <c r="A3253" s="167" t="s">
        <v>3775</v>
      </c>
      <c r="B3253" s="100" t="s">
        <v>4552</v>
      </c>
    </row>
    <row r="3254" spans="1:2" ht="13.5">
      <c r="A3254" s="167" t="s">
        <v>3776</v>
      </c>
      <c r="B3254" s="100" t="s">
        <v>4552</v>
      </c>
    </row>
    <row r="3255" spans="1:2" ht="13.5">
      <c r="A3255" s="167" t="s">
        <v>3777</v>
      </c>
      <c r="B3255" s="100" t="s">
        <v>4552</v>
      </c>
    </row>
    <row r="3256" spans="1:2" ht="13.5">
      <c r="A3256" s="167" t="s">
        <v>3778</v>
      </c>
      <c r="B3256" s="100" t="s">
        <v>4552</v>
      </c>
    </row>
    <row r="3257" spans="1:2" ht="13.5">
      <c r="A3257" s="167" t="s">
        <v>3779</v>
      </c>
      <c r="B3257" s="100" t="s">
        <v>4552</v>
      </c>
    </row>
    <row r="3258" spans="1:2" ht="13.5">
      <c r="A3258" s="167" t="s">
        <v>3780</v>
      </c>
      <c r="B3258" s="100" t="s">
        <v>4552</v>
      </c>
    </row>
    <row r="3259" spans="1:2" ht="13.5">
      <c r="A3259" s="167" t="s">
        <v>3781</v>
      </c>
      <c r="B3259" s="100" t="s">
        <v>4552</v>
      </c>
    </row>
    <row r="3260" spans="1:2" ht="13.5">
      <c r="A3260" s="167" t="s">
        <v>3782</v>
      </c>
      <c r="B3260" s="100" t="s">
        <v>4552</v>
      </c>
    </row>
    <row r="3261" spans="1:2" ht="13.5">
      <c r="A3261" s="167" t="s">
        <v>3783</v>
      </c>
      <c r="B3261" s="100" t="s">
        <v>4552</v>
      </c>
    </row>
    <row r="3262" spans="1:2" ht="13.5">
      <c r="A3262" s="167" t="s">
        <v>3784</v>
      </c>
      <c r="B3262" s="100" t="s">
        <v>4552</v>
      </c>
    </row>
    <row r="3263" spans="1:2" ht="13.5">
      <c r="A3263" s="167" t="s">
        <v>3785</v>
      </c>
      <c r="B3263" s="100" t="s">
        <v>4552</v>
      </c>
    </row>
    <row r="3264" spans="1:2" ht="13.5">
      <c r="A3264" s="167" t="s">
        <v>3786</v>
      </c>
      <c r="B3264" s="100" t="s">
        <v>4552</v>
      </c>
    </row>
    <row r="3265" spans="1:2" ht="13.5">
      <c r="A3265" s="167" t="s">
        <v>3787</v>
      </c>
      <c r="B3265" s="100" t="s">
        <v>4552</v>
      </c>
    </row>
    <row r="3266" spans="1:2" ht="13.5">
      <c r="A3266" s="167" t="s">
        <v>3788</v>
      </c>
      <c r="B3266" s="100" t="s">
        <v>4552</v>
      </c>
    </row>
    <row r="3267" spans="1:2" ht="13.5">
      <c r="A3267" s="167" t="s">
        <v>3789</v>
      </c>
      <c r="B3267" s="100" t="s">
        <v>4552</v>
      </c>
    </row>
    <row r="3268" spans="1:2" ht="13.5">
      <c r="A3268" s="167" t="s">
        <v>3790</v>
      </c>
      <c r="B3268" s="100" t="s">
        <v>4552</v>
      </c>
    </row>
    <row r="3269" spans="1:2" ht="13.5">
      <c r="A3269" s="167" t="s">
        <v>3791</v>
      </c>
      <c r="B3269" s="100" t="s">
        <v>4552</v>
      </c>
    </row>
    <row r="3270" spans="1:2" ht="13.5">
      <c r="A3270" s="167" t="s">
        <v>3792</v>
      </c>
      <c r="B3270" s="100" t="s">
        <v>4552</v>
      </c>
    </row>
    <row r="3271" spans="1:2" ht="13.5">
      <c r="A3271" s="167" t="s">
        <v>3793</v>
      </c>
      <c r="B3271" s="100" t="s">
        <v>4552</v>
      </c>
    </row>
    <row r="3272" spans="1:2" ht="13.5">
      <c r="A3272" s="167" t="s">
        <v>3794</v>
      </c>
      <c r="B3272" s="100" t="s">
        <v>4552</v>
      </c>
    </row>
    <row r="3273" spans="1:2" ht="13.5">
      <c r="A3273" s="167" t="s">
        <v>3795</v>
      </c>
      <c r="B3273" s="100" t="s">
        <v>4552</v>
      </c>
    </row>
    <row r="3274" spans="1:2" ht="13.5">
      <c r="A3274" s="167" t="s">
        <v>3796</v>
      </c>
      <c r="B3274" s="100" t="s">
        <v>4552</v>
      </c>
    </row>
    <row r="3275" spans="1:2" ht="13.5">
      <c r="A3275" s="167" t="s">
        <v>3797</v>
      </c>
      <c r="B3275" s="100" t="s">
        <v>4552</v>
      </c>
    </row>
    <row r="3276" spans="1:2" ht="13.5">
      <c r="A3276" s="167" t="s">
        <v>3798</v>
      </c>
      <c r="B3276" s="100" t="s">
        <v>4552</v>
      </c>
    </row>
    <row r="3277" spans="1:2" ht="13.5">
      <c r="A3277" s="167" t="s">
        <v>3799</v>
      </c>
      <c r="B3277" s="100" t="s">
        <v>4552</v>
      </c>
    </row>
    <row r="3278" spans="1:2" ht="13.5">
      <c r="A3278" s="167" t="s">
        <v>3800</v>
      </c>
      <c r="B3278" s="100" t="s">
        <v>4552</v>
      </c>
    </row>
    <row r="3279" spans="1:2" ht="13.5">
      <c r="A3279" s="167" t="s">
        <v>3801</v>
      </c>
      <c r="B3279" s="100" t="s">
        <v>4552</v>
      </c>
    </row>
    <row r="3280" spans="1:2" ht="13.5">
      <c r="A3280" s="167" t="s">
        <v>3802</v>
      </c>
      <c r="B3280" s="100" t="s">
        <v>4552</v>
      </c>
    </row>
    <row r="3281" spans="1:2" ht="13.5">
      <c r="A3281" s="167" t="s">
        <v>3803</v>
      </c>
      <c r="B3281" s="100" t="s">
        <v>4552</v>
      </c>
    </row>
    <row r="3282" spans="1:2" ht="13.5">
      <c r="A3282" s="167" t="s">
        <v>3804</v>
      </c>
      <c r="B3282" s="100" t="s">
        <v>4552</v>
      </c>
    </row>
    <row r="3283" spans="1:2" ht="13.5">
      <c r="A3283" s="167" t="s">
        <v>3805</v>
      </c>
      <c r="B3283" s="100" t="s">
        <v>4552</v>
      </c>
    </row>
    <row r="3284" spans="1:2" ht="13.5">
      <c r="A3284" s="167" t="s">
        <v>3806</v>
      </c>
      <c r="B3284" s="100" t="s">
        <v>4552</v>
      </c>
    </row>
    <row r="3285" spans="1:2" ht="13.5">
      <c r="A3285" s="167" t="s">
        <v>3807</v>
      </c>
      <c r="B3285" s="100" t="s">
        <v>4552</v>
      </c>
    </row>
    <row r="3286" spans="1:2" ht="13.5">
      <c r="A3286" s="167" t="s">
        <v>3808</v>
      </c>
      <c r="B3286" s="100" t="s">
        <v>4552</v>
      </c>
    </row>
    <row r="3287" spans="1:2" ht="13.5">
      <c r="A3287" s="167" t="s">
        <v>3809</v>
      </c>
      <c r="B3287" s="100" t="s">
        <v>4552</v>
      </c>
    </row>
    <row r="3288" spans="1:2" ht="13.5">
      <c r="A3288" s="167" t="s">
        <v>3810</v>
      </c>
      <c r="B3288" s="100" t="s">
        <v>4552</v>
      </c>
    </row>
    <row r="3289" spans="1:2" ht="13.5">
      <c r="A3289" s="167" t="s">
        <v>3811</v>
      </c>
      <c r="B3289" s="100" t="s">
        <v>4552</v>
      </c>
    </row>
    <row r="3290" spans="1:2" ht="13.5">
      <c r="A3290" s="167" t="s">
        <v>3812</v>
      </c>
      <c r="B3290" s="100" t="s">
        <v>4552</v>
      </c>
    </row>
    <row r="3291" spans="1:2" ht="13.5">
      <c r="A3291" s="167" t="s">
        <v>3813</v>
      </c>
      <c r="B3291" s="100" t="s">
        <v>4552</v>
      </c>
    </row>
    <row r="3292" spans="1:2" ht="13.5">
      <c r="A3292" s="167" t="s">
        <v>3814</v>
      </c>
      <c r="B3292" s="100" t="s">
        <v>4552</v>
      </c>
    </row>
    <row r="3293" spans="1:2" ht="13.5">
      <c r="A3293" s="167" t="s">
        <v>3815</v>
      </c>
      <c r="B3293" s="100" t="s">
        <v>4552</v>
      </c>
    </row>
    <row r="3294" spans="1:2" ht="13.5">
      <c r="A3294" s="167" t="s">
        <v>3816</v>
      </c>
      <c r="B3294" s="100" t="s">
        <v>4552</v>
      </c>
    </row>
    <row r="3295" spans="1:2" ht="13.5">
      <c r="A3295" s="167" t="s">
        <v>3817</v>
      </c>
      <c r="B3295" s="100" t="s">
        <v>4552</v>
      </c>
    </row>
    <row r="3296" spans="1:2" ht="13.5">
      <c r="A3296" s="167" t="s">
        <v>3818</v>
      </c>
      <c r="B3296" s="100" t="s">
        <v>4552</v>
      </c>
    </row>
    <row r="3297" spans="1:2" ht="13.5">
      <c r="A3297" s="167" t="s">
        <v>3819</v>
      </c>
      <c r="B3297" s="100" t="s">
        <v>4552</v>
      </c>
    </row>
    <row r="3298" spans="1:2" ht="13.5">
      <c r="A3298" s="167" t="s">
        <v>3820</v>
      </c>
      <c r="B3298" s="100" t="s">
        <v>4556</v>
      </c>
    </row>
    <row r="3299" spans="1:2" ht="13.5">
      <c r="A3299" s="167" t="s">
        <v>3821</v>
      </c>
      <c r="B3299" s="100" t="s">
        <v>4556</v>
      </c>
    </row>
    <row r="3300" spans="1:2" ht="13.5">
      <c r="A3300" s="167" t="s">
        <v>3822</v>
      </c>
      <c r="B3300" s="100" t="s">
        <v>4552</v>
      </c>
    </row>
    <row r="3301" spans="1:2" ht="13.5">
      <c r="A3301" s="167" t="s">
        <v>3823</v>
      </c>
      <c r="B3301" s="100" t="s">
        <v>4552</v>
      </c>
    </row>
    <row r="3302" spans="1:2" ht="13.5">
      <c r="A3302" s="167" t="s">
        <v>3824</v>
      </c>
      <c r="B3302" s="100" t="s">
        <v>4552</v>
      </c>
    </row>
    <row r="3303" spans="1:2" ht="13.5">
      <c r="A3303" s="167" t="s">
        <v>3825</v>
      </c>
      <c r="B3303" s="100" t="s">
        <v>4552</v>
      </c>
    </row>
    <row r="3304" spans="1:2" ht="13.5">
      <c r="A3304" s="167" t="s">
        <v>3826</v>
      </c>
      <c r="B3304" s="100" t="s">
        <v>4552</v>
      </c>
    </row>
    <row r="3305" spans="1:2" ht="13.5">
      <c r="A3305" s="167" t="s">
        <v>3827</v>
      </c>
      <c r="B3305" s="100" t="s">
        <v>4552</v>
      </c>
    </row>
    <row r="3306" spans="1:2" ht="13.5">
      <c r="A3306" s="167" t="s">
        <v>3828</v>
      </c>
      <c r="B3306" s="100" t="s">
        <v>4552</v>
      </c>
    </row>
    <row r="3307" spans="1:2" ht="13.5">
      <c r="A3307" s="167" t="s">
        <v>3829</v>
      </c>
      <c r="B3307" s="100" t="s">
        <v>4552</v>
      </c>
    </row>
    <row r="3308" spans="1:2" ht="13.5">
      <c r="A3308" s="167" t="s">
        <v>3830</v>
      </c>
      <c r="B3308" s="100" t="s">
        <v>4552</v>
      </c>
    </row>
    <row r="3309" spans="1:2" ht="13.5">
      <c r="A3309" s="167" t="s">
        <v>3831</v>
      </c>
      <c r="B3309" s="100" t="s">
        <v>4552</v>
      </c>
    </row>
    <row r="3310" spans="1:2" ht="13.5">
      <c r="A3310" s="167" t="s">
        <v>3832</v>
      </c>
      <c r="B3310" s="100" t="s">
        <v>4552</v>
      </c>
    </row>
    <row r="3311" spans="1:2" ht="13.5">
      <c r="A3311" s="167" t="s">
        <v>3833</v>
      </c>
      <c r="B3311" s="100" t="s">
        <v>4552</v>
      </c>
    </row>
    <row r="3312" spans="1:2" ht="13.5">
      <c r="A3312" s="167" t="s">
        <v>3834</v>
      </c>
      <c r="B3312" s="100" t="s">
        <v>4552</v>
      </c>
    </row>
    <row r="3313" spans="1:2" ht="13.5">
      <c r="A3313" s="167" t="s">
        <v>3835</v>
      </c>
      <c r="B3313" s="100" t="s">
        <v>4552</v>
      </c>
    </row>
    <row r="3314" spans="1:2" ht="13.5">
      <c r="A3314" s="167" t="s">
        <v>3836</v>
      </c>
      <c r="B3314" s="100" t="s">
        <v>4552</v>
      </c>
    </row>
    <row r="3315" spans="1:2" ht="13.5">
      <c r="A3315" s="167" t="s">
        <v>3837</v>
      </c>
      <c r="B3315" s="100" t="s">
        <v>4552</v>
      </c>
    </row>
    <row r="3316" spans="1:2" ht="13.5">
      <c r="A3316" s="167" t="s">
        <v>3838</v>
      </c>
      <c r="B3316" s="100" t="s">
        <v>4552</v>
      </c>
    </row>
    <row r="3317" spans="1:2" ht="13.5">
      <c r="A3317" s="167" t="s">
        <v>3839</v>
      </c>
      <c r="B3317" s="100" t="s">
        <v>4616</v>
      </c>
    </row>
    <row r="3318" spans="1:2" ht="13.5">
      <c r="A3318" s="167" t="s">
        <v>3840</v>
      </c>
      <c r="B3318" s="100" t="s">
        <v>4552</v>
      </c>
    </row>
    <row r="3319" spans="1:2" ht="13.5">
      <c r="A3319" s="167" t="s">
        <v>3841</v>
      </c>
      <c r="B3319" s="100" t="s">
        <v>4552</v>
      </c>
    </row>
    <row r="3320" spans="1:2" ht="13.5">
      <c r="A3320" s="167" t="s">
        <v>3842</v>
      </c>
      <c r="B3320" s="100" t="s">
        <v>4552</v>
      </c>
    </row>
    <row r="3321" spans="1:2" ht="13.5">
      <c r="A3321" s="167" t="s">
        <v>3843</v>
      </c>
      <c r="B3321" s="100" t="s">
        <v>4552</v>
      </c>
    </row>
    <row r="3322" spans="1:2" ht="13.5">
      <c r="A3322" s="167" t="s">
        <v>3844</v>
      </c>
      <c r="B3322" s="100" t="s">
        <v>4552</v>
      </c>
    </row>
    <row r="3323" spans="1:2" ht="13.5">
      <c r="A3323" s="167" t="s">
        <v>3845</v>
      </c>
      <c r="B3323" s="100" t="s">
        <v>4552</v>
      </c>
    </row>
    <row r="3324" spans="1:2" ht="13.5">
      <c r="A3324" s="167" t="s">
        <v>3846</v>
      </c>
      <c r="B3324" s="100" t="s">
        <v>4552</v>
      </c>
    </row>
    <row r="3325" spans="1:2" ht="13.5">
      <c r="A3325" s="167" t="s">
        <v>3847</v>
      </c>
      <c r="B3325" s="100" t="s">
        <v>4552</v>
      </c>
    </row>
    <row r="3326" spans="1:2" ht="13.5">
      <c r="A3326" s="167" t="s">
        <v>3848</v>
      </c>
      <c r="B3326" s="100" t="s">
        <v>4552</v>
      </c>
    </row>
    <row r="3327" spans="1:2" ht="13.5">
      <c r="A3327" s="167" t="s">
        <v>3849</v>
      </c>
      <c r="B3327" s="100" t="s">
        <v>4552</v>
      </c>
    </row>
    <row r="3328" spans="1:2" ht="13.5">
      <c r="A3328" s="167" t="s">
        <v>3850</v>
      </c>
      <c r="B3328" s="100" t="s">
        <v>4552</v>
      </c>
    </row>
    <row r="3329" spans="1:2" ht="13.5">
      <c r="A3329" s="167" t="s">
        <v>3851</v>
      </c>
      <c r="B3329" s="100" t="s">
        <v>4552</v>
      </c>
    </row>
    <row r="3330" spans="1:2" ht="13.5">
      <c r="A3330" s="167" t="s">
        <v>3852</v>
      </c>
      <c r="B3330" s="100" t="s">
        <v>4552</v>
      </c>
    </row>
    <row r="3331" spans="1:2" ht="13.5">
      <c r="A3331" s="167" t="s">
        <v>3853</v>
      </c>
      <c r="B3331" s="100" t="s">
        <v>4552</v>
      </c>
    </row>
    <row r="3332" spans="1:2" ht="13.5">
      <c r="A3332" s="167" t="s">
        <v>3854</v>
      </c>
      <c r="B3332" s="100" t="s">
        <v>4552</v>
      </c>
    </row>
    <row r="3333" spans="1:2" ht="13.5">
      <c r="A3333" s="167" t="s">
        <v>3855</v>
      </c>
      <c r="B3333" s="100" t="s">
        <v>4552</v>
      </c>
    </row>
    <row r="3334" spans="1:2" ht="13.5">
      <c r="A3334" s="167" t="s">
        <v>3856</v>
      </c>
      <c r="B3334" s="100" t="s">
        <v>4552</v>
      </c>
    </row>
    <row r="3335" spans="1:2" ht="13.5">
      <c r="A3335" s="167" t="s">
        <v>3857</v>
      </c>
      <c r="B3335" s="100" t="s">
        <v>4552</v>
      </c>
    </row>
    <row r="3336" spans="1:2" ht="13.5">
      <c r="A3336" s="167" t="s">
        <v>3858</v>
      </c>
      <c r="B3336" s="100" t="s">
        <v>4552</v>
      </c>
    </row>
    <row r="3337" spans="1:2" ht="13.5">
      <c r="A3337" s="167" t="s">
        <v>3859</v>
      </c>
      <c r="B3337" s="100" t="s">
        <v>4552</v>
      </c>
    </row>
    <row r="3338" spans="1:2" ht="13.5">
      <c r="A3338" s="167" t="s">
        <v>3860</v>
      </c>
      <c r="B3338" s="100" t="s">
        <v>4552</v>
      </c>
    </row>
    <row r="3339" spans="1:2" ht="13.5">
      <c r="A3339" s="167" t="s">
        <v>3861</v>
      </c>
      <c r="B3339" s="100" t="s">
        <v>4552</v>
      </c>
    </row>
    <row r="3340" spans="1:2" ht="13.5">
      <c r="A3340" s="167" t="s">
        <v>3862</v>
      </c>
      <c r="B3340" s="100" t="s">
        <v>4552</v>
      </c>
    </row>
    <row r="3341" spans="1:2" ht="13.5">
      <c r="A3341" s="167" t="s">
        <v>3863</v>
      </c>
      <c r="B3341" s="100" t="s">
        <v>4552</v>
      </c>
    </row>
    <row r="3342" spans="1:2" ht="13.5">
      <c r="A3342" s="167" t="s">
        <v>3864</v>
      </c>
      <c r="B3342" s="100" t="s">
        <v>4552</v>
      </c>
    </row>
    <row r="3343" spans="1:2" ht="13.5">
      <c r="A3343" s="167" t="s">
        <v>3865</v>
      </c>
      <c r="B3343" s="100" t="s">
        <v>4552</v>
      </c>
    </row>
    <row r="3344" spans="1:2" ht="13.5">
      <c r="A3344" s="167" t="s">
        <v>3866</v>
      </c>
      <c r="B3344" s="100" t="s">
        <v>4552</v>
      </c>
    </row>
    <row r="3345" spans="1:2" ht="13.5">
      <c r="A3345" s="167" t="s">
        <v>3867</v>
      </c>
      <c r="B3345" s="100" t="s">
        <v>4552</v>
      </c>
    </row>
    <row r="3346" spans="1:2" ht="13.5">
      <c r="A3346" s="167" t="s">
        <v>3868</v>
      </c>
      <c r="B3346" s="100" t="s">
        <v>4556</v>
      </c>
    </row>
    <row r="3347" spans="1:2" ht="13.5">
      <c r="A3347" s="167" t="s">
        <v>3869</v>
      </c>
      <c r="B3347" s="100" t="s">
        <v>4552</v>
      </c>
    </row>
    <row r="3348" spans="1:2" ht="13.5">
      <c r="A3348" s="167" t="s">
        <v>3870</v>
      </c>
      <c r="B3348" s="100" t="s">
        <v>4552</v>
      </c>
    </row>
    <row r="3349" spans="1:2" ht="13.5">
      <c r="A3349" s="167" t="s">
        <v>3871</v>
      </c>
      <c r="B3349" s="100" t="s">
        <v>4552</v>
      </c>
    </row>
    <row r="3350" spans="1:2" ht="13.5">
      <c r="A3350" s="167" t="s">
        <v>3872</v>
      </c>
      <c r="B3350" s="100" t="s">
        <v>4552</v>
      </c>
    </row>
    <row r="3351" spans="1:2" ht="13.5">
      <c r="A3351" s="167" t="s">
        <v>3873</v>
      </c>
      <c r="B3351" s="100" t="s">
        <v>4552</v>
      </c>
    </row>
    <row r="3352" spans="1:2" ht="13.5">
      <c r="A3352" s="167" t="s">
        <v>3874</v>
      </c>
      <c r="B3352" s="100" t="s">
        <v>4552</v>
      </c>
    </row>
    <row r="3353" spans="1:2" ht="13.5">
      <c r="A3353" s="167" t="s">
        <v>3875</v>
      </c>
      <c r="B3353" s="100" t="s">
        <v>4552</v>
      </c>
    </row>
    <row r="3354" spans="1:2" ht="13.5">
      <c r="A3354" s="167" t="s">
        <v>3876</v>
      </c>
      <c r="B3354" s="100" t="s">
        <v>4552</v>
      </c>
    </row>
    <row r="3355" spans="1:2" ht="13.5">
      <c r="A3355" s="167" t="s">
        <v>3877</v>
      </c>
      <c r="B3355" s="100" t="s">
        <v>4552</v>
      </c>
    </row>
    <row r="3356" spans="1:2" ht="13.5">
      <c r="A3356" s="167" t="s">
        <v>3878</v>
      </c>
      <c r="B3356" s="100" t="s">
        <v>4552</v>
      </c>
    </row>
    <row r="3357" spans="1:2" ht="13.5">
      <c r="A3357" s="167" t="s">
        <v>3879</v>
      </c>
      <c r="B3357" s="100" t="s">
        <v>4552</v>
      </c>
    </row>
    <row r="3358" spans="1:2" ht="13.5">
      <c r="A3358" s="167" t="s">
        <v>3880</v>
      </c>
      <c r="B3358" s="100" t="s">
        <v>4552</v>
      </c>
    </row>
    <row r="3359" spans="1:2" ht="13.5">
      <c r="A3359" s="167" t="s">
        <v>3881</v>
      </c>
      <c r="B3359" s="100" t="s">
        <v>4552</v>
      </c>
    </row>
    <row r="3360" spans="1:2" ht="13.5">
      <c r="A3360" s="167" t="s">
        <v>3882</v>
      </c>
      <c r="B3360" s="100" t="s">
        <v>4552</v>
      </c>
    </row>
    <row r="3361" spans="1:2" ht="13.5">
      <c r="A3361" s="167" t="s">
        <v>3883</v>
      </c>
      <c r="B3361" s="100" t="s">
        <v>4552</v>
      </c>
    </row>
    <row r="3362" spans="1:2" ht="13.5">
      <c r="A3362" s="167" t="s">
        <v>3884</v>
      </c>
      <c r="B3362" s="100" t="s">
        <v>4552</v>
      </c>
    </row>
    <row r="3363" spans="1:2" ht="13.5">
      <c r="A3363" s="167" t="s">
        <v>3885</v>
      </c>
      <c r="B3363" s="100" t="s">
        <v>4552</v>
      </c>
    </row>
    <row r="3364" spans="1:2" ht="13.5">
      <c r="A3364" s="167" t="s">
        <v>3886</v>
      </c>
      <c r="B3364" s="100" t="s">
        <v>4552</v>
      </c>
    </row>
    <row r="3365" spans="1:2" ht="13.5">
      <c r="A3365" s="167" t="s">
        <v>3887</v>
      </c>
      <c r="B3365" s="100" t="s">
        <v>4552</v>
      </c>
    </row>
    <row r="3366" spans="1:2" ht="13.5">
      <c r="A3366" s="167" t="s">
        <v>3888</v>
      </c>
      <c r="B3366" s="100" t="s">
        <v>4556</v>
      </c>
    </row>
    <row r="3367" spans="1:2" ht="13.5">
      <c r="A3367" s="167" t="s">
        <v>3889</v>
      </c>
      <c r="B3367" s="100" t="s">
        <v>4552</v>
      </c>
    </row>
    <row r="3368" spans="1:2" ht="13.5">
      <c r="A3368" s="167" t="s">
        <v>3890</v>
      </c>
      <c r="B3368" s="100" t="s">
        <v>4552</v>
      </c>
    </row>
    <row r="3369" spans="1:2" ht="13.5">
      <c r="A3369" s="167" t="s">
        <v>3891</v>
      </c>
      <c r="B3369" s="100" t="s">
        <v>4552</v>
      </c>
    </row>
    <row r="3370" spans="1:2" ht="13.5">
      <c r="A3370" s="167" t="s">
        <v>3892</v>
      </c>
      <c r="B3370" s="100" t="s">
        <v>4552</v>
      </c>
    </row>
    <row r="3371" spans="1:2" ht="13.5">
      <c r="A3371" s="167" t="s">
        <v>3893</v>
      </c>
      <c r="B3371" s="100" t="s">
        <v>4552</v>
      </c>
    </row>
    <row r="3372" spans="1:2" ht="13.5">
      <c r="A3372" s="167" t="s">
        <v>3894</v>
      </c>
      <c r="B3372" s="100" t="s">
        <v>4552</v>
      </c>
    </row>
    <row r="3373" spans="1:2" ht="13.5">
      <c r="A3373" s="167" t="s">
        <v>3895</v>
      </c>
      <c r="B3373" s="100" t="s">
        <v>4552</v>
      </c>
    </row>
    <row r="3374" spans="1:2" ht="13.5">
      <c r="A3374" s="167" t="s">
        <v>3896</v>
      </c>
      <c r="B3374" s="100" t="s">
        <v>4552</v>
      </c>
    </row>
    <row r="3375" spans="1:2" ht="13.5">
      <c r="A3375" s="167" t="s">
        <v>3897</v>
      </c>
      <c r="B3375" s="100" t="s">
        <v>4552</v>
      </c>
    </row>
    <row r="3376" spans="1:2" ht="13.5">
      <c r="A3376" s="167" t="s">
        <v>3898</v>
      </c>
      <c r="B3376" s="100" t="s">
        <v>4552</v>
      </c>
    </row>
    <row r="3377" spans="1:2" ht="13.5">
      <c r="A3377" s="167" t="s">
        <v>3899</v>
      </c>
      <c r="B3377" s="100" t="s">
        <v>4552</v>
      </c>
    </row>
    <row r="3378" spans="1:2" ht="13.5">
      <c r="A3378" s="167" t="s">
        <v>3900</v>
      </c>
      <c r="B3378" s="100" t="s">
        <v>4552</v>
      </c>
    </row>
    <row r="3379" spans="1:2" ht="13.5">
      <c r="A3379" s="167" t="s">
        <v>3901</v>
      </c>
      <c r="B3379" s="100" t="s">
        <v>4552</v>
      </c>
    </row>
    <row r="3380" spans="1:2" ht="13.5">
      <c r="A3380" s="167" t="s">
        <v>3902</v>
      </c>
      <c r="B3380" s="100" t="s">
        <v>4552</v>
      </c>
    </row>
    <row r="3381" spans="1:2" ht="13.5">
      <c r="A3381" s="167" t="s">
        <v>3903</v>
      </c>
      <c r="B3381" s="100" t="s">
        <v>4552</v>
      </c>
    </row>
    <row r="3382" spans="1:2" ht="13.5">
      <c r="A3382" s="167" t="s">
        <v>3904</v>
      </c>
      <c r="B3382" s="100" t="s">
        <v>4552</v>
      </c>
    </row>
    <row r="3383" spans="1:2" ht="13.5">
      <c r="A3383" s="167" t="s">
        <v>3905</v>
      </c>
      <c r="B3383" s="100" t="s">
        <v>4552</v>
      </c>
    </row>
    <row r="3384" spans="1:2" ht="13.5">
      <c r="A3384" s="167" t="s">
        <v>3906</v>
      </c>
      <c r="B3384" s="100" t="s">
        <v>4552</v>
      </c>
    </row>
    <row r="3385" spans="1:2" ht="13.5">
      <c r="A3385" s="167" t="s">
        <v>3907</v>
      </c>
      <c r="B3385" s="100" t="s">
        <v>4552</v>
      </c>
    </row>
    <row r="3386" spans="1:2" ht="13.5">
      <c r="A3386" s="167" t="s">
        <v>3908</v>
      </c>
      <c r="B3386" s="100" t="s">
        <v>4552</v>
      </c>
    </row>
    <row r="3387" spans="1:2" ht="13.5">
      <c r="A3387" s="167" t="s">
        <v>3909</v>
      </c>
      <c r="B3387" s="100" t="s">
        <v>4552</v>
      </c>
    </row>
    <row r="3388" spans="1:2" ht="13.5">
      <c r="A3388" s="167" t="s">
        <v>3910</v>
      </c>
      <c r="B3388" s="100" t="s">
        <v>4552</v>
      </c>
    </row>
    <row r="3389" spans="1:2" ht="13.5">
      <c r="A3389" s="167" t="s">
        <v>3911</v>
      </c>
      <c r="B3389" s="100" t="s">
        <v>4552</v>
      </c>
    </row>
    <row r="3390" spans="1:2" ht="13.5">
      <c r="A3390" s="167" t="s">
        <v>3912</v>
      </c>
      <c r="B3390" s="100" t="s">
        <v>4552</v>
      </c>
    </row>
    <row r="3391" spans="1:2" ht="13.5">
      <c r="A3391" s="167" t="s">
        <v>3913</v>
      </c>
      <c r="B3391" s="100" t="s">
        <v>4552</v>
      </c>
    </row>
    <row r="3392" spans="1:2" ht="13.5">
      <c r="A3392" s="167" t="s">
        <v>3914</v>
      </c>
      <c r="B3392" s="100" t="s">
        <v>4552</v>
      </c>
    </row>
    <row r="3393" spans="1:2" ht="13.5">
      <c r="A3393" s="167" t="s">
        <v>3915</v>
      </c>
      <c r="B3393" s="100" t="s">
        <v>4552</v>
      </c>
    </row>
    <row r="3394" spans="1:2" ht="13.5">
      <c r="A3394" s="167" t="s">
        <v>3916</v>
      </c>
      <c r="B3394" s="100" t="s">
        <v>4552</v>
      </c>
    </row>
    <row r="3395" spans="1:2" ht="13.5">
      <c r="A3395" s="167" t="s">
        <v>3917</v>
      </c>
      <c r="B3395" s="100" t="s">
        <v>4552</v>
      </c>
    </row>
    <row r="3396" spans="1:2" ht="13.5">
      <c r="A3396" s="167" t="s">
        <v>3918</v>
      </c>
      <c r="B3396" s="100" t="s">
        <v>4552</v>
      </c>
    </row>
    <row r="3397" spans="1:2" ht="13.5">
      <c r="A3397" s="167" t="s">
        <v>3919</v>
      </c>
      <c r="B3397" s="100" t="s">
        <v>4552</v>
      </c>
    </row>
    <row r="3398" spans="1:2" ht="13.5">
      <c r="A3398" s="167" t="s">
        <v>3920</v>
      </c>
      <c r="B3398" s="100" t="s">
        <v>4552</v>
      </c>
    </row>
    <row r="3399" spans="1:2" ht="13.5">
      <c r="A3399" s="167" t="s">
        <v>3921</v>
      </c>
      <c r="B3399" s="100" t="s">
        <v>4552</v>
      </c>
    </row>
    <row r="3400" spans="1:2" ht="13.5">
      <c r="A3400" s="167" t="s">
        <v>3922</v>
      </c>
      <c r="B3400" s="100" t="s">
        <v>4552</v>
      </c>
    </row>
    <row r="3401" spans="1:2" ht="13.5">
      <c r="A3401" s="167" t="s">
        <v>3923</v>
      </c>
      <c r="B3401" s="100" t="s">
        <v>4552</v>
      </c>
    </row>
    <row r="3402" spans="1:2" ht="13.5">
      <c r="A3402" s="167" t="s">
        <v>3924</v>
      </c>
      <c r="B3402" s="100" t="s">
        <v>4552</v>
      </c>
    </row>
    <row r="3403" spans="1:2" ht="13.5">
      <c r="A3403" s="167" t="s">
        <v>3925</v>
      </c>
      <c r="B3403" s="100" t="s">
        <v>4552</v>
      </c>
    </row>
    <row r="3404" spans="1:2" ht="13.5">
      <c r="A3404" s="167" t="s">
        <v>3926</v>
      </c>
      <c r="B3404" s="100" t="s">
        <v>4552</v>
      </c>
    </row>
    <row r="3405" spans="1:2" ht="13.5">
      <c r="A3405" s="167" t="s">
        <v>3927</v>
      </c>
      <c r="B3405" s="100" t="s">
        <v>4552</v>
      </c>
    </row>
    <row r="3406" spans="1:2" ht="13.5">
      <c r="A3406" s="167" t="s">
        <v>3928</v>
      </c>
      <c r="B3406" s="100" t="s">
        <v>4552</v>
      </c>
    </row>
    <row r="3407" spans="1:2" ht="13.5">
      <c r="A3407" s="167" t="s">
        <v>3929</v>
      </c>
      <c r="B3407" s="100" t="s">
        <v>4552</v>
      </c>
    </row>
    <row r="3408" spans="1:2" ht="13.5">
      <c r="A3408" s="167" t="s">
        <v>3930</v>
      </c>
      <c r="B3408" s="100" t="s">
        <v>4552</v>
      </c>
    </row>
    <row r="3409" spans="1:2" ht="13.5">
      <c r="A3409" s="167" t="s">
        <v>3931</v>
      </c>
      <c r="B3409" s="100" t="s">
        <v>4552</v>
      </c>
    </row>
    <row r="3410" spans="1:2" ht="13.5">
      <c r="A3410" s="167" t="s">
        <v>3932</v>
      </c>
      <c r="B3410" s="100" t="s">
        <v>4552</v>
      </c>
    </row>
    <row r="3411" spans="1:2" ht="13.5">
      <c r="A3411" s="167" t="s">
        <v>3933</v>
      </c>
      <c r="B3411" s="100" t="s">
        <v>4552</v>
      </c>
    </row>
    <row r="3412" spans="1:2" ht="13.5">
      <c r="A3412" s="167" t="s">
        <v>3934</v>
      </c>
      <c r="B3412" s="100" t="s">
        <v>4552</v>
      </c>
    </row>
    <row r="3413" spans="1:2" ht="13.5">
      <c r="A3413" s="167" t="s">
        <v>3935</v>
      </c>
      <c r="B3413" s="100" t="s">
        <v>4552</v>
      </c>
    </row>
    <row r="3414" spans="1:2" ht="13.5">
      <c r="A3414" s="167" t="s">
        <v>3936</v>
      </c>
      <c r="B3414" s="100" t="s">
        <v>4552</v>
      </c>
    </row>
    <row r="3415" spans="1:2" ht="13.5">
      <c r="A3415" s="167" t="s">
        <v>3937</v>
      </c>
      <c r="B3415" s="100" t="s">
        <v>4552</v>
      </c>
    </row>
    <row r="3416" spans="1:2" ht="13.5">
      <c r="A3416" s="167" t="s">
        <v>3938</v>
      </c>
      <c r="B3416" s="100" t="s">
        <v>4552</v>
      </c>
    </row>
    <row r="3417" spans="1:2" ht="13.5">
      <c r="A3417" s="167" t="s">
        <v>3939</v>
      </c>
      <c r="B3417" s="100" t="s">
        <v>4552</v>
      </c>
    </row>
    <row r="3418" spans="1:2" ht="13.5">
      <c r="A3418" s="167" t="s">
        <v>3940</v>
      </c>
      <c r="B3418" s="100" t="s">
        <v>4552</v>
      </c>
    </row>
    <row r="3419" spans="1:2" ht="13.5">
      <c r="A3419" s="167" t="s">
        <v>3941</v>
      </c>
      <c r="B3419" s="100" t="s">
        <v>4552</v>
      </c>
    </row>
    <row r="3420" spans="1:2" ht="13.5">
      <c r="A3420" s="167" t="s">
        <v>3942</v>
      </c>
      <c r="B3420" s="100" t="s">
        <v>4552</v>
      </c>
    </row>
    <row r="3421" spans="1:2" ht="13.5">
      <c r="A3421" s="167" t="s">
        <v>3943</v>
      </c>
      <c r="B3421" s="100" t="s">
        <v>4552</v>
      </c>
    </row>
    <row r="3422" spans="1:2" ht="13.5">
      <c r="A3422" s="167" t="s">
        <v>3944</v>
      </c>
      <c r="B3422" s="100" t="s">
        <v>4552</v>
      </c>
    </row>
    <row r="3423" spans="1:2" ht="13.5">
      <c r="A3423" s="167" t="s">
        <v>3945</v>
      </c>
      <c r="B3423" s="100" t="s">
        <v>4552</v>
      </c>
    </row>
    <row r="3424" spans="1:2" ht="13.5">
      <c r="A3424" s="167" t="s">
        <v>3946</v>
      </c>
      <c r="B3424" s="100" t="s">
        <v>4552</v>
      </c>
    </row>
    <row r="3425" spans="1:2" ht="13.5">
      <c r="A3425" s="167" t="s">
        <v>3947</v>
      </c>
      <c r="B3425" s="100" t="s">
        <v>4552</v>
      </c>
    </row>
    <row r="3426" spans="1:2" ht="13.5">
      <c r="A3426" s="167" t="s">
        <v>3948</v>
      </c>
      <c r="B3426" s="100" t="s">
        <v>4552</v>
      </c>
    </row>
    <row r="3427" spans="1:2" ht="13.5">
      <c r="A3427" s="167" t="s">
        <v>3949</v>
      </c>
      <c r="B3427" s="100" t="s">
        <v>4552</v>
      </c>
    </row>
    <row r="3428" spans="1:2" ht="13.5">
      <c r="A3428" s="167" t="s">
        <v>3950</v>
      </c>
      <c r="B3428" s="100" t="s">
        <v>4552</v>
      </c>
    </row>
    <row r="3429" spans="1:2" ht="13.5">
      <c r="A3429" s="167" t="s">
        <v>3951</v>
      </c>
      <c r="B3429" s="100" t="s">
        <v>4552</v>
      </c>
    </row>
    <row r="3430" spans="1:2" ht="13.5">
      <c r="A3430" s="167" t="s">
        <v>3952</v>
      </c>
      <c r="B3430" s="100" t="s">
        <v>4552</v>
      </c>
    </row>
    <row r="3431" spans="1:2" ht="13.5">
      <c r="A3431" s="167" t="s">
        <v>3953</v>
      </c>
      <c r="B3431" s="100" t="s">
        <v>4552</v>
      </c>
    </row>
    <row r="3432" spans="1:2" ht="13.5">
      <c r="A3432" s="167" t="s">
        <v>3954</v>
      </c>
      <c r="B3432" s="100" t="s">
        <v>4552</v>
      </c>
    </row>
    <row r="3433" spans="1:2" ht="13.5">
      <c r="A3433" s="167" t="s">
        <v>3955</v>
      </c>
      <c r="B3433" s="100" t="s">
        <v>4552</v>
      </c>
    </row>
    <row r="3434" spans="1:2" ht="13.5">
      <c r="A3434" s="167" t="s">
        <v>3956</v>
      </c>
      <c r="B3434" s="100" t="s">
        <v>4552</v>
      </c>
    </row>
    <row r="3435" spans="1:2" ht="13.5">
      <c r="A3435" s="167" t="s">
        <v>3957</v>
      </c>
      <c r="B3435" s="100" t="s">
        <v>4552</v>
      </c>
    </row>
    <row r="3436" spans="1:2" ht="13.5">
      <c r="A3436" s="167" t="s">
        <v>3958</v>
      </c>
      <c r="B3436" s="100" t="s">
        <v>4552</v>
      </c>
    </row>
    <row r="3437" spans="1:2" ht="13.5">
      <c r="A3437" s="167" t="s">
        <v>3959</v>
      </c>
      <c r="B3437" s="100" t="s">
        <v>4552</v>
      </c>
    </row>
    <row r="3438" spans="1:2" ht="13.5">
      <c r="A3438" s="167" t="s">
        <v>3960</v>
      </c>
      <c r="B3438" s="100" t="s">
        <v>4552</v>
      </c>
    </row>
    <row r="3439" spans="1:2" ht="13.5">
      <c r="A3439" s="167" t="s">
        <v>3961</v>
      </c>
      <c r="B3439" s="100" t="s">
        <v>4552</v>
      </c>
    </row>
    <row r="3440" spans="1:2" ht="13.5">
      <c r="A3440" s="167" t="s">
        <v>3962</v>
      </c>
      <c r="B3440" s="100" t="s">
        <v>4552</v>
      </c>
    </row>
    <row r="3441" spans="1:2" ht="13.5">
      <c r="A3441" s="167" t="s">
        <v>3963</v>
      </c>
      <c r="B3441" s="100" t="s">
        <v>4552</v>
      </c>
    </row>
    <row r="3442" spans="1:2" ht="13.5">
      <c r="A3442" s="167" t="s">
        <v>3964</v>
      </c>
      <c r="B3442" s="100" t="s">
        <v>4552</v>
      </c>
    </row>
    <row r="3443" spans="1:2" ht="13.5">
      <c r="A3443" s="167" t="s">
        <v>3965</v>
      </c>
      <c r="B3443" s="100" t="s">
        <v>4552</v>
      </c>
    </row>
    <row r="3444" spans="1:2" ht="13.5">
      <c r="A3444" s="167" t="s">
        <v>3966</v>
      </c>
      <c r="B3444" s="100" t="s">
        <v>4552</v>
      </c>
    </row>
    <row r="3445" spans="1:2" ht="13.5">
      <c r="A3445" s="167" t="s">
        <v>3967</v>
      </c>
      <c r="B3445" s="100" t="s">
        <v>4552</v>
      </c>
    </row>
    <row r="3446" spans="1:2" ht="13.5">
      <c r="A3446" s="167" t="s">
        <v>3968</v>
      </c>
      <c r="B3446" s="100" t="s">
        <v>4556</v>
      </c>
    </row>
    <row r="3447" spans="1:2" ht="13.5">
      <c r="A3447" s="167" t="s">
        <v>3969</v>
      </c>
      <c r="B3447" s="100" t="s">
        <v>4552</v>
      </c>
    </row>
    <row r="3448" spans="1:2" ht="13.5">
      <c r="A3448" s="167" t="s">
        <v>3970</v>
      </c>
      <c r="B3448" s="100" t="s">
        <v>4552</v>
      </c>
    </row>
    <row r="3449" spans="1:2" ht="13.5">
      <c r="A3449" s="167" t="s">
        <v>3971</v>
      </c>
      <c r="B3449" s="100" t="s">
        <v>4552</v>
      </c>
    </row>
    <row r="3450" spans="1:2" ht="13.5">
      <c r="A3450" s="167" t="s">
        <v>3972</v>
      </c>
      <c r="B3450" s="100" t="s">
        <v>4552</v>
      </c>
    </row>
    <row r="3451" spans="1:2" ht="13.5">
      <c r="A3451" s="167" t="s">
        <v>3973</v>
      </c>
      <c r="B3451" s="100" t="s">
        <v>4552</v>
      </c>
    </row>
    <row r="3452" spans="1:2" ht="13.5">
      <c r="A3452" s="170" t="s">
        <v>3974</v>
      </c>
      <c r="B3452" s="100" t="s">
        <v>4558</v>
      </c>
    </row>
    <row r="3453" spans="1:2" ht="13.5">
      <c r="A3453" s="170" t="s">
        <v>3975</v>
      </c>
      <c r="B3453" s="100" t="s">
        <v>4558</v>
      </c>
    </row>
    <row r="3454" spans="1:2" ht="13.5">
      <c r="A3454" s="167" t="s">
        <v>3976</v>
      </c>
      <c r="B3454" s="100" t="s">
        <v>4552</v>
      </c>
    </row>
    <row r="3455" spans="1:2" ht="13.5">
      <c r="A3455" s="167" t="s">
        <v>3977</v>
      </c>
      <c r="B3455" s="100" t="s">
        <v>4552</v>
      </c>
    </row>
    <row r="3456" spans="1:2" ht="13.5">
      <c r="A3456" s="167" t="s">
        <v>3978</v>
      </c>
      <c r="B3456" s="100" t="s">
        <v>4552</v>
      </c>
    </row>
    <row r="3457" spans="1:2" ht="13.5">
      <c r="A3457" s="167" t="s">
        <v>3979</v>
      </c>
      <c r="B3457" s="100" t="s">
        <v>4552</v>
      </c>
    </row>
    <row r="3458" spans="1:2" ht="13.5">
      <c r="A3458" s="167" t="s">
        <v>3980</v>
      </c>
      <c r="B3458" s="100" t="s">
        <v>4552</v>
      </c>
    </row>
    <row r="3459" spans="1:2" ht="13.5">
      <c r="A3459" s="170" t="s">
        <v>3981</v>
      </c>
      <c r="B3459" s="100" t="s">
        <v>4565</v>
      </c>
    </row>
    <row r="3460" spans="1:2" ht="13.5">
      <c r="A3460" s="167" t="s">
        <v>3982</v>
      </c>
      <c r="B3460" s="100" t="s">
        <v>4608</v>
      </c>
    </row>
    <row r="3461" spans="1:2" ht="13.5">
      <c r="A3461" s="167" t="s">
        <v>3983</v>
      </c>
      <c r="B3461" s="100" t="s">
        <v>4608</v>
      </c>
    </row>
    <row r="3462" spans="1:2" ht="13.5">
      <c r="A3462" s="167" t="s">
        <v>3984</v>
      </c>
      <c r="B3462" s="100" t="s">
        <v>4552</v>
      </c>
    </row>
    <row r="3463" spans="1:2" ht="13.5">
      <c r="A3463" s="167" t="s">
        <v>3985</v>
      </c>
      <c r="B3463" s="100" t="s">
        <v>4552</v>
      </c>
    </row>
    <row r="3464" spans="1:2" ht="13.5">
      <c r="A3464" s="167" t="s">
        <v>3986</v>
      </c>
      <c r="B3464" s="100" t="s">
        <v>4552</v>
      </c>
    </row>
    <row r="3465" spans="1:2" ht="13.5">
      <c r="A3465" s="167" t="s">
        <v>3987</v>
      </c>
      <c r="B3465" s="100" t="s">
        <v>4552</v>
      </c>
    </row>
    <row r="3466" spans="1:2" ht="13.5">
      <c r="A3466" s="167" t="s">
        <v>3988</v>
      </c>
      <c r="B3466" s="100" t="s">
        <v>4552</v>
      </c>
    </row>
    <row r="3467" spans="1:2" ht="13.5">
      <c r="A3467" s="167" t="s">
        <v>3989</v>
      </c>
      <c r="B3467" s="100" t="s">
        <v>4552</v>
      </c>
    </row>
    <row r="3468" spans="1:2" ht="13.5">
      <c r="A3468" s="167" t="s">
        <v>3990</v>
      </c>
      <c r="B3468" s="100" t="s">
        <v>4552</v>
      </c>
    </row>
    <row r="3469" spans="1:2" ht="13.5">
      <c r="A3469" s="167" t="s">
        <v>3991</v>
      </c>
      <c r="B3469" s="100" t="s">
        <v>4552</v>
      </c>
    </row>
    <row r="3470" spans="1:2" ht="13.5">
      <c r="A3470" s="167" t="s">
        <v>3992</v>
      </c>
      <c r="B3470" s="100" t="s">
        <v>4552</v>
      </c>
    </row>
    <row r="3471" spans="1:2" ht="13.5">
      <c r="A3471" s="167" t="s">
        <v>3993</v>
      </c>
      <c r="B3471" s="100" t="s">
        <v>4552</v>
      </c>
    </row>
    <row r="3472" spans="1:2" ht="13.5">
      <c r="A3472" s="167" t="s">
        <v>3994</v>
      </c>
      <c r="B3472" s="100" t="s">
        <v>4552</v>
      </c>
    </row>
    <row r="3473" spans="1:2" ht="13.5">
      <c r="A3473" s="167" t="s">
        <v>3995</v>
      </c>
      <c r="B3473" s="100" t="s">
        <v>4552</v>
      </c>
    </row>
    <row r="3474" spans="1:2" ht="13.5">
      <c r="A3474" s="167" t="s">
        <v>3996</v>
      </c>
      <c r="B3474" s="100" t="s">
        <v>4552</v>
      </c>
    </row>
    <row r="3475" spans="1:2" ht="13.5">
      <c r="A3475" s="167" t="s">
        <v>3997</v>
      </c>
      <c r="B3475" s="100" t="s">
        <v>4552</v>
      </c>
    </row>
    <row r="3476" spans="1:2" ht="13.5">
      <c r="A3476" s="167" t="s">
        <v>3998</v>
      </c>
      <c r="B3476" s="100" t="s">
        <v>4552</v>
      </c>
    </row>
    <row r="3477" spans="1:2" ht="13.5">
      <c r="A3477" s="167" t="s">
        <v>3999</v>
      </c>
      <c r="B3477" s="100" t="s">
        <v>4552</v>
      </c>
    </row>
    <row r="3478" spans="1:2" ht="13.5">
      <c r="A3478" s="167" t="s">
        <v>4000</v>
      </c>
      <c r="B3478" s="100" t="s">
        <v>4552</v>
      </c>
    </row>
    <row r="3479" spans="1:2" ht="13.5">
      <c r="A3479" s="167" t="s">
        <v>4001</v>
      </c>
      <c r="B3479" s="100" t="s">
        <v>4552</v>
      </c>
    </row>
    <row r="3480" spans="1:2" ht="13.5">
      <c r="A3480" s="167" t="s">
        <v>4002</v>
      </c>
      <c r="B3480" s="100" t="s">
        <v>4552</v>
      </c>
    </row>
    <row r="3481" spans="1:2" ht="13.5">
      <c r="A3481" s="167" t="s">
        <v>4003</v>
      </c>
      <c r="B3481" s="100" t="s">
        <v>4552</v>
      </c>
    </row>
    <row r="3482" spans="1:2" ht="13.5">
      <c r="A3482" s="167" t="s">
        <v>4004</v>
      </c>
      <c r="B3482" s="100" t="s">
        <v>4552</v>
      </c>
    </row>
    <row r="3483" spans="1:2" ht="13.5">
      <c r="A3483" s="167" t="s">
        <v>4005</v>
      </c>
      <c r="B3483" s="100" t="s">
        <v>4552</v>
      </c>
    </row>
    <row r="3484" spans="1:2" ht="13.5">
      <c r="A3484" s="167" t="s">
        <v>4006</v>
      </c>
      <c r="B3484" s="100" t="s">
        <v>4552</v>
      </c>
    </row>
    <row r="3485" spans="1:2" ht="13.5">
      <c r="A3485" s="167" t="s">
        <v>4007</v>
      </c>
      <c r="B3485" s="100" t="s">
        <v>4552</v>
      </c>
    </row>
    <row r="3486" spans="1:2" ht="13.5">
      <c r="A3486" s="167" t="s">
        <v>4008</v>
      </c>
      <c r="B3486" s="100" t="s">
        <v>4552</v>
      </c>
    </row>
    <row r="3487" spans="1:2" ht="13.5">
      <c r="A3487" s="167" t="s">
        <v>4009</v>
      </c>
      <c r="B3487" s="100" t="s">
        <v>4552</v>
      </c>
    </row>
    <row r="3488" spans="1:2" ht="13.5">
      <c r="A3488" s="167" t="s">
        <v>4010</v>
      </c>
      <c r="B3488" s="100" t="s">
        <v>4552</v>
      </c>
    </row>
    <row r="3489" spans="1:2" ht="13.5">
      <c r="A3489" s="167" t="s">
        <v>4011</v>
      </c>
      <c r="B3489" s="100" t="s">
        <v>4552</v>
      </c>
    </row>
    <row r="3490" spans="1:2" ht="13.5">
      <c r="A3490" s="167" t="s">
        <v>4012</v>
      </c>
      <c r="B3490" s="100" t="s">
        <v>4552</v>
      </c>
    </row>
    <row r="3491" spans="1:2" ht="13.5">
      <c r="A3491" s="167" t="s">
        <v>4013</v>
      </c>
      <c r="B3491" s="100" t="s">
        <v>4552</v>
      </c>
    </row>
    <row r="3492" spans="1:2" ht="13.5">
      <c r="A3492" s="167" t="s">
        <v>4014</v>
      </c>
      <c r="B3492" s="100" t="s">
        <v>4552</v>
      </c>
    </row>
    <row r="3493" spans="1:2" ht="13.5">
      <c r="A3493" s="167" t="s">
        <v>4015</v>
      </c>
      <c r="B3493" s="100" t="s">
        <v>4552</v>
      </c>
    </row>
    <row r="3494" spans="1:2" ht="13.5">
      <c r="A3494" s="167" t="s">
        <v>4016</v>
      </c>
      <c r="B3494" s="100" t="s">
        <v>4552</v>
      </c>
    </row>
    <row r="3495" spans="1:2" ht="13.5">
      <c r="A3495" s="167" t="s">
        <v>4017</v>
      </c>
      <c r="B3495" s="100" t="s">
        <v>4552</v>
      </c>
    </row>
    <row r="3496" spans="1:2" ht="13.5">
      <c r="A3496" s="167" t="s">
        <v>4018</v>
      </c>
      <c r="B3496" s="100" t="s">
        <v>4552</v>
      </c>
    </row>
    <row r="3497" spans="1:2" ht="13.5">
      <c r="A3497" s="167" t="s">
        <v>4019</v>
      </c>
      <c r="B3497" s="100" t="s">
        <v>4552</v>
      </c>
    </row>
    <row r="3498" spans="1:2" ht="13.5">
      <c r="A3498" s="167" t="s">
        <v>4020</v>
      </c>
      <c r="B3498" s="100" t="s">
        <v>4552</v>
      </c>
    </row>
    <row r="3499" spans="1:2" ht="13.5">
      <c r="A3499" s="167" t="s">
        <v>4021</v>
      </c>
      <c r="B3499" s="100" t="s">
        <v>4552</v>
      </c>
    </row>
    <row r="3500" spans="1:2" ht="13.5">
      <c r="A3500" s="167" t="s">
        <v>4022</v>
      </c>
      <c r="B3500" s="100" t="s">
        <v>4552</v>
      </c>
    </row>
    <row r="3501" spans="1:2" ht="13.5">
      <c r="A3501" s="167" t="s">
        <v>4023</v>
      </c>
      <c r="B3501" s="100" t="s">
        <v>4552</v>
      </c>
    </row>
    <row r="3502" spans="1:2" ht="13.5">
      <c r="A3502" s="167" t="s">
        <v>4024</v>
      </c>
      <c r="B3502" s="100" t="s">
        <v>4556</v>
      </c>
    </row>
    <row r="3503" spans="1:2" ht="13.5">
      <c r="A3503" s="167" t="s">
        <v>4025</v>
      </c>
      <c r="B3503" s="100" t="s">
        <v>4552</v>
      </c>
    </row>
    <row r="3504" spans="1:2" ht="13.5">
      <c r="A3504" s="167" t="s">
        <v>4026</v>
      </c>
      <c r="B3504" s="100" t="s">
        <v>4552</v>
      </c>
    </row>
    <row r="3505" spans="1:2" ht="13.5">
      <c r="A3505" s="167" t="s">
        <v>4027</v>
      </c>
      <c r="B3505" s="100" t="s">
        <v>4552</v>
      </c>
    </row>
    <row r="3506" spans="1:2" ht="13.5">
      <c r="A3506" s="167" t="s">
        <v>4028</v>
      </c>
      <c r="B3506" s="100" t="s">
        <v>4608</v>
      </c>
    </row>
    <row r="3507" spans="1:2" ht="13.5">
      <c r="A3507" s="167" t="s">
        <v>4029</v>
      </c>
      <c r="B3507" s="100" t="s">
        <v>4552</v>
      </c>
    </row>
    <row r="3508" spans="1:2" ht="13.5">
      <c r="A3508" s="167" t="s">
        <v>4030</v>
      </c>
      <c r="B3508" s="100" t="s">
        <v>4552</v>
      </c>
    </row>
    <row r="3509" spans="1:2" ht="13.5">
      <c r="A3509" s="167" t="s">
        <v>4031</v>
      </c>
      <c r="B3509" s="100" t="s">
        <v>4552</v>
      </c>
    </row>
    <row r="3510" spans="1:2" ht="13.5">
      <c r="A3510" s="167" t="s">
        <v>4032</v>
      </c>
      <c r="B3510" s="100" t="s">
        <v>4552</v>
      </c>
    </row>
    <row r="3511" spans="1:2" ht="13.5">
      <c r="A3511" s="167" t="s">
        <v>4033</v>
      </c>
      <c r="B3511" s="100" t="s">
        <v>4608</v>
      </c>
    </row>
    <row r="3512" spans="1:2" ht="13.5">
      <c r="A3512" s="167" t="s">
        <v>4034</v>
      </c>
      <c r="B3512" s="100" t="s">
        <v>4552</v>
      </c>
    </row>
    <row r="3513" spans="1:2" ht="13.5">
      <c r="A3513" s="167" t="s">
        <v>4035</v>
      </c>
      <c r="B3513" s="100" t="s">
        <v>4552</v>
      </c>
    </row>
    <row r="3514" spans="1:2" ht="13.5">
      <c r="A3514" s="167" t="s">
        <v>4036</v>
      </c>
      <c r="B3514" s="100" t="s">
        <v>4552</v>
      </c>
    </row>
    <row r="3515" spans="1:2" ht="13.5">
      <c r="A3515" s="167" t="s">
        <v>4037</v>
      </c>
      <c r="B3515" s="100" t="s">
        <v>4552</v>
      </c>
    </row>
    <row r="3516" spans="1:2" ht="13.5">
      <c r="A3516" s="167" t="s">
        <v>4038</v>
      </c>
      <c r="B3516" s="100" t="s">
        <v>4552</v>
      </c>
    </row>
    <row r="3517" spans="1:2" ht="13.5">
      <c r="A3517" s="167" t="s">
        <v>4039</v>
      </c>
      <c r="B3517" s="100" t="s">
        <v>4552</v>
      </c>
    </row>
    <row r="3518" spans="1:2" ht="13.5">
      <c r="A3518" s="170" t="s">
        <v>4040</v>
      </c>
      <c r="B3518" s="100" t="s">
        <v>4558</v>
      </c>
    </row>
    <row r="3519" spans="1:2" ht="13.5">
      <c r="A3519" s="167" t="s">
        <v>4041</v>
      </c>
      <c r="B3519" s="100" t="s">
        <v>4556</v>
      </c>
    </row>
    <row r="3520" spans="1:2" ht="13.5">
      <c r="A3520" s="167" t="s">
        <v>4042</v>
      </c>
      <c r="B3520" s="100" t="s">
        <v>4552</v>
      </c>
    </row>
    <row r="3521" spans="1:2" ht="13.5">
      <c r="A3521" s="167" t="s">
        <v>4043</v>
      </c>
      <c r="B3521" s="100" t="s">
        <v>4552</v>
      </c>
    </row>
    <row r="3522" spans="1:2" ht="13.5">
      <c r="A3522" s="167" t="s">
        <v>4044</v>
      </c>
      <c r="B3522" s="100" t="s">
        <v>4552</v>
      </c>
    </row>
    <row r="3523" spans="1:2" ht="13.5">
      <c r="A3523" s="167" t="s">
        <v>4045</v>
      </c>
      <c r="B3523" s="100" t="s">
        <v>4552</v>
      </c>
    </row>
    <row r="3524" spans="1:2" ht="13.5">
      <c r="A3524" s="170" t="s">
        <v>4046</v>
      </c>
      <c r="B3524" s="100" t="s">
        <v>4565</v>
      </c>
    </row>
    <row r="3525" spans="1:2" ht="13.5">
      <c r="A3525" s="170" t="s">
        <v>4047</v>
      </c>
      <c r="B3525" s="100" t="s">
        <v>4560</v>
      </c>
    </row>
    <row r="3526" spans="1:2" ht="13.5">
      <c r="A3526" s="167" t="s">
        <v>4048</v>
      </c>
      <c r="B3526" s="100" t="s">
        <v>4552</v>
      </c>
    </row>
    <row r="3527" spans="1:2" ht="13.5">
      <c r="A3527" s="167" t="s">
        <v>4049</v>
      </c>
      <c r="B3527" s="100" t="s">
        <v>4556</v>
      </c>
    </row>
    <row r="3528" spans="1:2" ht="13.5">
      <c r="A3528" s="167" t="s">
        <v>4050</v>
      </c>
      <c r="B3528" s="100" t="s">
        <v>4552</v>
      </c>
    </row>
    <row r="3529" spans="1:2" ht="13.5">
      <c r="A3529" s="170" t="s">
        <v>4051</v>
      </c>
      <c r="B3529" s="100" t="s">
        <v>4558</v>
      </c>
    </row>
    <row r="3530" spans="1:2" ht="13.5">
      <c r="A3530" s="167" t="s">
        <v>4052</v>
      </c>
      <c r="B3530" s="100" t="s">
        <v>4552</v>
      </c>
    </row>
    <row r="3531" spans="1:2" ht="13.5">
      <c r="A3531" s="167" t="s">
        <v>4053</v>
      </c>
      <c r="B3531" s="100" t="s">
        <v>4552</v>
      </c>
    </row>
    <row r="3532" spans="1:2" ht="13.5">
      <c r="A3532" s="167" t="s">
        <v>4054</v>
      </c>
      <c r="B3532" s="100" t="s">
        <v>4552</v>
      </c>
    </row>
    <row r="3533" spans="1:2" ht="13.5">
      <c r="A3533" s="167" t="s">
        <v>4055</v>
      </c>
      <c r="B3533" s="100" t="s">
        <v>4552</v>
      </c>
    </row>
    <row r="3534" spans="1:2" ht="13.5">
      <c r="A3534" s="167" t="s">
        <v>4056</v>
      </c>
      <c r="B3534" s="100" t="s">
        <v>4552</v>
      </c>
    </row>
    <row r="3535" spans="1:2" ht="13.5">
      <c r="A3535" s="167" t="s">
        <v>4057</v>
      </c>
      <c r="B3535" s="100" t="s">
        <v>4552</v>
      </c>
    </row>
    <row r="3536" spans="1:2" ht="13.5">
      <c r="A3536" s="167" t="s">
        <v>4058</v>
      </c>
      <c r="B3536" s="100" t="s">
        <v>4552</v>
      </c>
    </row>
    <row r="3537" spans="1:2" ht="13.5">
      <c r="A3537" s="167" t="s">
        <v>4059</v>
      </c>
      <c r="B3537" s="100" t="s">
        <v>4552</v>
      </c>
    </row>
    <row r="3538" spans="1:2" ht="13.5">
      <c r="A3538" s="167" t="s">
        <v>4060</v>
      </c>
      <c r="B3538" s="100" t="s">
        <v>4556</v>
      </c>
    </row>
    <row r="3539" spans="1:2" ht="13.5">
      <c r="A3539" s="167" t="s">
        <v>4061</v>
      </c>
      <c r="B3539" s="100" t="s">
        <v>4552</v>
      </c>
    </row>
    <row r="3540" spans="1:2" ht="13.5">
      <c r="A3540" s="167" t="s">
        <v>4062</v>
      </c>
      <c r="B3540" s="100" t="s">
        <v>4552</v>
      </c>
    </row>
    <row r="3541" spans="1:2" ht="13.5">
      <c r="A3541" s="167" t="s">
        <v>4063</v>
      </c>
      <c r="B3541" s="100" t="s">
        <v>4552</v>
      </c>
    </row>
    <row r="3542" spans="1:2" ht="13.5">
      <c r="A3542" s="167" t="s">
        <v>4064</v>
      </c>
      <c r="B3542" s="100" t="s">
        <v>4552</v>
      </c>
    </row>
    <row r="3543" spans="1:2" ht="13.5">
      <c r="A3543" s="167" t="s">
        <v>4065</v>
      </c>
      <c r="B3543" s="100" t="s">
        <v>4552</v>
      </c>
    </row>
    <row r="3544" spans="1:2" ht="13.5">
      <c r="A3544" s="167" t="s">
        <v>4066</v>
      </c>
      <c r="B3544" s="100" t="s">
        <v>4552</v>
      </c>
    </row>
    <row r="3545" spans="1:2" ht="13.5">
      <c r="A3545" s="167" t="s">
        <v>4067</v>
      </c>
      <c r="B3545" s="100" t="s">
        <v>4552</v>
      </c>
    </row>
    <row r="3546" spans="1:2" ht="13.5">
      <c r="A3546" s="167" t="s">
        <v>4068</v>
      </c>
      <c r="B3546" s="100" t="s">
        <v>4552</v>
      </c>
    </row>
    <row r="3547" spans="1:2" ht="13.5">
      <c r="A3547" s="167" t="s">
        <v>4069</v>
      </c>
      <c r="B3547" s="100" t="s">
        <v>4552</v>
      </c>
    </row>
    <row r="3548" spans="1:2" ht="13.5">
      <c r="A3548" s="167" t="s">
        <v>4070</v>
      </c>
      <c r="B3548" s="100" t="s">
        <v>4552</v>
      </c>
    </row>
    <row r="3549" spans="1:2" ht="13.5">
      <c r="A3549" s="167" t="s">
        <v>4071</v>
      </c>
      <c r="B3549" s="100" t="s">
        <v>4552</v>
      </c>
    </row>
    <row r="3550" spans="1:2" ht="13.5">
      <c r="A3550" s="167" t="s">
        <v>4072</v>
      </c>
      <c r="B3550" s="100" t="s">
        <v>4552</v>
      </c>
    </row>
    <row r="3551" spans="1:2" ht="13.5">
      <c r="A3551" s="167" t="s">
        <v>4073</v>
      </c>
      <c r="B3551" s="100" t="s">
        <v>4552</v>
      </c>
    </row>
    <row r="3552" spans="1:2" ht="13.5">
      <c r="A3552" s="167" t="s">
        <v>4074</v>
      </c>
      <c r="B3552" s="100" t="s">
        <v>4556</v>
      </c>
    </row>
    <row r="3553" spans="1:2" ht="13.5">
      <c r="A3553" s="167" t="s">
        <v>4075</v>
      </c>
      <c r="B3553" s="100" t="s">
        <v>4556</v>
      </c>
    </row>
    <row r="3554" spans="1:2" ht="13.5">
      <c r="A3554" s="167" t="s">
        <v>4076</v>
      </c>
      <c r="B3554" s="100" t="s">
        <v>4552</v>
      </c>
    </row>
    <row r="3555" spans="1:2" ht="13.5">
      <c r="A3555" s="167" t="s">
        <v>4077</v>
      </c>
      <c r="B3555" s="100" t="s">
        <v>4552</v>
      </c>
    </row>
    <row r="3556" spans="1:2" ht="13.5">
      <c r="A3556" s="167" t="s">
        <v>4078</v>
      </c>
      <c r="B3556" s="100" t="s">
        <v>4552</v>
      </c>
    </row>
    <row r="3557" spans="1:2" ht="13.5">
      <c r="A3557" s="167" t="s">
        <v>4079</v>
      </c>
      <c r="B3557" s="100" t="s">
        <v>4552</v>
      </c>
    </row>
    <row r="3558" spans="1:2" ht="13.5">
      <c r="A3558" s="167" t="s">
        <v>4080</v>
      </c>
      <c r="B3558" s="100" t="s">
        <v>4552</v>
      </c>
    </row>
    <row r="3559" spans="1:2" ht="13.5">
      <c r="A3559" s="167" t="s">
        <v>4081</v>
      </c>
      <c r="B3559" s="100" t="s">
        <v>4552</v>
      </c>
    </row>
    <row r="3560" spans="1:2" ht="13.5">
      <c r="A3560" s="167" t="s">
        <v>4082</v>
      </c>
      <c r="B3560" s="100" t="s">
        <v>4552</v>
      </c>
    </row>
    <row r="3561" spans="1:2" ht="13.5">
      <c r="A3561" s="167" t="s">
        <v>4083</v>
      </c>
      <c r="B3561" s="100" t="s">
        <v>4556</v>
      </c>
    </row>
    <row r="3562" spans="1:2" ht="13.5">
      <c r="A3562" s="167" t="s">
        <v>4084</v>
      </c>
      <c r="B3562" s="100" t="s">
        <v>4552</v>
      </c>
    </row>
    <row r="3563" spans="1:2" ht="13.5">
      <c r="A3563" s="167" t="s">
        <v>4085</v>
      </c>
      <c r="B3563" s="100" t="s">
        <v>4552</v>
      </c>
    </row>
    <row r="3564" spans="1:2" ht="13.5">
      <c r="A3564" s="167" t="s">
        <v>4086</v>
      </c>
      <c r="B3564" s="100" t="s">
        <v>4552</v>
      </c>
    </row>
    <row r="3565" spans="1:2" ht="13.5">
      <c r="A3565" s="167" t="s">
        <v>4087</v>
      </c>
      <c r="B3565" s="100" t="s">
        <v>4552</v>
      </c>
    </row>
    <row r="3566" spans="1:2" ht="13.5">
      <c r="A3566" s="167" t="s">
        <v>4088</v>
      </c>
      <c r="B3566" s="100" t="s">
        <v>4552</v>
      </c>
    </row>
    <row r="3567" spans="1:2" ht="13.5">
      <c r="A3567" s="167" t="s">
        <v>4089</v>
      </c>
      <c r="B3567" s="100" t="s">
        <v>4552</v>
      </c>
    </row>
    <row r="3568" spans="1:2" ht="13.5">
      <c r="A3568" s="167" t="s">
        <v>4090</v>
      </c>
      <c r="B3568" s="100" t="s">
        <v>4552</v>
      </c>
    </row>
    <row r="3569" spans="1:2" ht="13.5">
      <c r="A3569" s="170" t="s">
        <v>4091</v>
      </c>
      <c r="B3569" s="100" t="s">
        <v>4561</v>
      </c>
    </row>
    <row r="3570" spans="1:2" ht="13.5">
      <c r="A3570" s="167" t="s">
        <v>4092</v>
      </c>
      <c r="B3570" s="100" t="s">
        <v>4556</v>
      </c>
    </row>
    <row r="3571" spans="1:2" ht="13.5">
      <c r="A3571" s="167" t="s">
        <v>4093</v>
      </c>
      <c r="B3571" s="100" t="s">
        <v>4556</v>
      </c>
    </row>
    <row r="3572" spans="1:2" ht="13.5">
      <c r="A3572" s="167" t="s">
        <v>4094</v>
      </c>
      <c r="B3572" s="100" t="s">
        <v>4552</v>
      </c>
    </row>
    <row r="3573" spans="1:2" ht="13.5">
      <c r="A3573" s="167" t="s">
        <v>4095</v>
      </c>
      <c r="B3573" s="100" t="s">
        <v>4552</v>
      </c>
    </row>
    <row r="3574" spans="1:2" ht="13.5">
      <c r="A3574" s="167" t="s">
        <v>4096</v>
      </c>
      <c r="B3574" s="100" t="s">
        <v>4552</v>
      </c>
    </row>
    <row r="3575" spans="1:2" ht="13.5">
      <c r="A3575" s="167" t="s">
        <v>4097</v>
      </c>
      <c r="B3575" s="100" t="s">
        <v>4552</v>
      </c>
    </row>
    <row r="3576" spans="1:2" ht="13.5">
      <c r="A3576" s="170" t="s">
        <v>4098</v>
      </c>
      <c r="B3576" s="100" t="s">
        <v>4617</v>
      </c>
    </row>
    <row r="3577" spans="1:2" ht="13.5">
      <c r="A3577" s="170" t="s">
        <v>4099</v>
      </c>
      <c r="B3577" s="100" t="s">
        <v>4558</v>
      </c>
    </row>
    <row r="3578" spans="1:2" ht="13.5">
      <c r="A3578" s="170" t="s">
        <v>4100</v>
      </c>
      <c r="B3578" s="100" t="s">
        <v>4557</v>
      </c>
    </row>
    <row r="3579" spans="1:2" ht="13.5">
      <c r="A3579" s="170" t="s">
        <v>4101</v>
      </c>
      <c r="B3579" s="100" t="s">
        <v>4557</v>
      </c>
    </row>
    <row r="3580" spans="1:2" ht="13.5">
      <c r="A3580" s="170" t="s">
        <v>4102</v>
      </c>
      <c r="B3580" s="100" t="s">
        <v>4557</v>
      </c>
    </row>
    <row r="3581" spans="1:2" ht="13.5">
      <c r="A3581" s="170" t="s">
        <v>4103</v>
      </c>
      <c r="B3581" s="100" t="s">
        <v>4557</v>
      </c>
    </row>
    <row r="3582" spans="1:2" ht="13.5">
      <c r="A3582" s="167" t="s">
        <v>4104</v>
      </c>
      <c r="B3582" s="100" t="s">
        <v>4552</v>
      </c>
    </row>
    <row r="3583" spans="1:2" ht="13.5">
      <c r="A3583" s="170" t="s">
        <v>4105</v>
      </c>
      <c r="B3583" s="100" t="s">
        <v>4558</v>
      </c>
    </row>
    <row r="3584" spans="1:2" ht="13.5">
      <c r="A3584" s="167" t="s">
        <v>4106</v>
      </c>
      <c r="B3584" s="100" t="s">
        <v>4552</v>
      </c>
    </row>
    <row r="3585" spans="1:2" ht="13.5">
      <c r="A3585" s="167" t="s">
        <v>4107</v>
      </c>
      <c r="B3585" s="100" t="s">
        <v>4552</v>
      </c>
    </row>
    <row r="3586" spans="1:2" ht="13.5">
      <c r="A3586" s="167" t="s">
        <v>4108</v>
      </c>
      <c r="B3586" s="100" t="s">
        <v>4564</v>
      </c>
    </row>
    <row r="3587" spans="1:2" ht="13.5">
      <c r="A3587" s="167" t="s">
        <v>4109</v>
      </c>
      <c r="B3587" s="100" t="s">
        <v>4556</v>
      </c>
    </row>
    <row r="3588" spans="1:2" ht="13.5">
      <c r="A3588" s="167" t="s">
        <v>4110</v>
      </c>
      <c r="B3588" s="100" t="s">
        <v>4618</v>
      </c>
    </row>
    <row r="3589" spans="1:2" ht="13.5">
      <c r="A3589" s="167" t="s">
        <v>4111</v>
      </c>
      <c r="B3589" s="100" t="s">
        <v>4552</v>
      </c>
    </row>
    <row r="3590" spans="1:2" ht="13.5">
      <c r="A3590" s="167" t="s">
        <v>4112</v>
      </c>
      <c r="B3590" s="100" t="s">
        <v>4619</v>
      </c>
    </row>
    <row r="3591" spans="1:2" ht="13.5">
      <c r="A3591" s="170" t="s">
        <v>4113</v>
      </c>
      <c r="B3591" s="100" t="s">
        <v>4620</v>
      </c>
    </row>
    <row r="3592" spans="1:2" ht="13.5">
      <c r="A3592" s="167" t="s">
        <v>4114</v>
      </c>
      <c r="B3592" s="100" t="s">
        <v>4621</v>
      </c>
    </row>
    <row r="3593" spans="1:2" ht="13.5">
      <c r="A3593" s="167" t="s">
        <v>4115</v>
      </c>
      <c r="B3593" s="100" t="s">
        <v>4622</v>
      </c>
    </row>
    <row r="3594" spans="1:2" ht="13.5">
      <c r="A3594" s="167" t="s">
        <v>4116</v>
      </c>
      <c r="B3594" s="100" t="s">
        <v>4553</v>
      </c>
    </row>
    <row r="3595" spans="1:2" ht="13.5">
      <c r="A3595" s="167" t="s">
        <v>4117</v>
      </c>
      <c r="B3595" s="100" t="s">
        <v>4556</v>
      </c>
    </row>
    <row r="3596" spans="1:2" ht="13.5">
      <c r="A3596" s="167" t="s">
        <v>4118</v>
      </c>
      <c r="B3596" s="100" t="s">
        <v>4556</v>
      </c>
    </row>
    <row r="3597" spans="1:2" ht="13.5">
      <c r="A3597" s="167" t="s">
        <v>4119</v>
      </c>
      <c r="B3597" s="100" t="s">
        <v>4552</v>
      </c>
    </row>
    <row r="3598" spans="1:2" ht="13.5">
      <c r="A3598" s="167" t="s">
        <v>4120</v>
      </c>
      <c r="B3598" s="100" t="s">
        <v>4623</v>
      </c>
    </row>
    <row r="3599" spans="1:2" ht="13.5">
      <c r="A3599" s="167" t="s">
        <v>4121</v>
      </c>
      <c r="B3599" s="100" t="s">
        <v>4624</v>
      </c>
    </row>
    <row r="3600" spans="1:2" ht="13.5">
      <c r="A3600" s="170" t="s">
        <v>4122</v>
      </c>
      <c r="B3600" s="100" t="s">
        <v>4558</v>
      </c>
    </row>
    <row r="3601" spans="1:2" ht="13.5">
      <c r="A3601" s="167" t="s">
        <v>4123</v>
      </c>
      <c r="B3601" s="100" t="s">
        <v>4625</v>
      </c>
    </row>
    <row r="3602" spans="1:2" ht="13.5">
      <c r="A3602" s="167" t="s">
        <v>4124</v>
      </c>
      <c r="B3602" s="100" t="s">
        <v>4556</v>
      </c>
    </row>
    <row r="3603" spans="1:2" ht="13.5">
      <c r="A3603" s="167" t="s">
        <v>4125</v>
      </c>
      <c r="B3603" s="100" t="s">
        <v>4626</v>
      </c>
    </row>
    <row r="3604" spans="1:2" ht="13.5">
      <c r="A3604" s="170" t="s">
        <v>4126</v>
      </c>
      <c r="B3604" s="100" t="s">
        <v>4557</v>
      </c>
    </row>
    <row r="3605" spans="1:2" ht="13.5">
      <c r="A3605" s="167" t="s">
        <v>4127</v>
      </c>
      <c r="B3605" s="100" t="s">
        <v>4627</v>
      </c>
    </row>
    <row r="3606" spans="1:2" ht="13.5">
      <c r="A3606" s="167" t="s">
        <v>4128</v>
      </c>
      <c r="B3606" s="100" t="s">
        <v>4552</v>
      </c>
    </row>
    <row r="3607" spans="1:2" ht="13.5">
      <c r="A3607" s="167" t="s">
        <v>4129</v>
      </c>
      <c r="B3607" s="100" t="s">
        <v>4628</v>
      </c>
    </row>
    <row r="3608" spans="1:2" ht="13.5">
      <c r="A3608" s="167" t="s">
        <v>4130</v>
      </c>
      <c r="B3608" s="100" t="s">
        <v>4552</v>
      </c>
    </row>
    <row r="3609" spans="1:2" ht="13.5">
      <c r="A3609" s="170" t="s">
        <v>4131</v>
      </c>
      <c r="B3609" s="100" t="s">
        <v>4629</v>
      </c>
    </row>
    <row r="3610" spans="1:2" ht="13.5">
      <c r="A3610" s="167" t="s">
        <v>4132</v>
      </c>
      <c r="B3610" s="100" t="s">
        <v>4552</v>
      </c>
    </row>
    <row r="3611" spans="1:2" ht="13.5">
      <c r="A3611" s="167" t="s">
        <v>4133</v>
      </c>
      <c r="B3611" s="100" t="s">
        <v>4552</v>
      </c>
    </row>
    <row r="3612" spans="1:2" ht="13.5">
      <c r="A3612" s="167" t="s">
        <v>4134</v>
      </c>
      <c r="B3612" s="100" t="s">
        <v>4556</v>
      </c>
    </row>
    <row r="3613" spans="1:2" ht="13.5">
      <c r="A3613" s="167" t="s">
        <v>4135</v>
      </c>
      <c r="B3613" s="100" t="s">
        <v>4552</v>
      </c>
    </row>
    <row r="3614" spans="1:2" ht="13.5">
      <c r="A3614" s="167" t="s">
        <v>4136</v>
      </c>
      <c r="B3614" s="100" t="s">
        <v>4552</v>
      </c>
    </row>
    <row r="3615" spans="1:2" ht="13.5">
      <c r="A3615" s="170" t="s">
        <v>4137</v>
      </c>
      <c r="B3615" s="100" t="s">
        <v>4630</v>
      </c>
    </row>
    <row r="3616" spans="1:2" ht="13.5">
      <c r="A3616" s="170" t="s">
        <v>4138</v>
      </c>
      <c r="B3616" s="100" t="s">
        <v>79</v>
      </c>
    </row>
    <row r="3617" spans="1:2" ht="13.5">
      <c r="A3617" s="170" t="s">
        <v>4139</v>
      </c>
      <c r="B3617" s="100" t="s">
        <v>4557</v>
      </c>
    </row>
    <row r="3618" spans="1:2" ht="13.5">
      <c r="A3618" s="170" t="s">
        <v>4140</v>
      </c>
      <c r="B3618" s="100" t="s">
        <v>4557</v>
      </c>
    </row>
    <row r="3619" spans="1:2" ht="13.5">
      <c r="A3619" s="170" t="s">
        <v>4141</v>
      </c>
      <c r="B3619" s="100" t="s">
        <v>4603</v>
      </c>
    </row>
    <row r="3620" spans="1:2" ht="13.5">
      <c r="A3620" s="170" t="s">
        <v>4142</v>
      </c>
      <c r="B3620" s="100" t="s">
        <v>4631</v>
      </c>
    </row>
    <row r="3621" spans="1:2" ht="13.5">
      <c r="A3621" s="170" t="s">
        <v>4632</v>
      </c>
      <c r="B3621" s="100" t="s">
        <v>115</v>
      </c>
    </row>
    <row r="3622" spans="1:2" ht="13.5">
      <c r="A3622" s="170" t="s">
        <v>4143</v>
      </c>
      <c r="B3622" s="100" t="s">
        <v>4557</v>
      </c>
    </row>
    <row r="3623" spans="1:2" ht="13.5">
      <c r="A3623" s="170" t="s">
        <v>4144</v>
      </c>
      <c r="B3623" s="100" t="s">
        <v>4603</v>
      </c>
    </row>
    <row r="3624" spans="1:2" ht="13.5">
      <c r="A3624" s="170" t="s">
        <v>4145</v>
      </c>
      <c r="B3624" s="100" t="s">
        <v>4557</v>
      </c>
    </row>
    <row r="3625" spans="1:2" ht="13.5">
      <c r="A3625" s="170" t="s">
        <v>4146</v>
      </c>
      <c r="B3625" s="100" t="s">
        <v>4557</v>
      </c>
    </row>
    <row r="3626" spans="1:2" ht="13.5">
      <c r="A3626" s="170" t="s">
        <v>4147</v>
      </c>
      <c r="B3626" s="100" t="s">
        <v>4557</v>
      </c>
    </row>
    <row r="3627" spans="1:2" ht="13.5">
      <c r="A3627" s="170" t="s">
        <v>4148</v>
      </c>
      <c r="B3627" s="100" t="s">
        <v>4633</v>
      </c>
    </row>
    <row r="3628" spans="1:2" ht="13.5">
      <c r="A3628" s="170" t="s">
        <v>4149</v>
      </c>
      <c r="B3628" s="100" t="s">
        <v>4587</v>
      </c>
    </row>
    <row r="3629" spans="1:2" ht="13.5">
      <c r="A3629" s="170" t="s">
        <v>4150</v>
      </c>
      <c r="B3629" s="100" t="s">
        <v>79</v>
      </c>
    </row>
    <row r="3630" spans="1:2" ht="13.5">
      <c r="A3630" s="167" t="s">
        <v>4151</v>
      </c>
      <c r="B3630" s="100" t="s">
        <v>4634</v>
      </c>
    </row>
    <row r="3631" spans="1:2" ht="13.5">
      <c r="A3631" s="170" t="s">
        <v>4152</v>
      </c>
      <c r="B3631" s="100" t="s">
        <v>4635</v>
      </c>
    </row>
    <row r="3632" spans="1:2" ht="13.5">
      <c r="A3632" s="167" t="s">
        <v>4153</v>
      </c>
      <c r="B3632" s="100" t="s">
        <v>4634</v>
      </c>
    </row>
    <row r="3633" spans="1:2" ht="13.5">
      <c r="A3633" s="170" t="s">
        <v>4154</v>
      </c>
      <c r="B3633" s="100" t="s">
        <v>4636</v>
      </c>
    </row>
    <row r="3634" spans="1:2" ht="13.5">
      <c r="A3634" s="170" t="s">
        <v>4155</v>
      </c>
      <c r="B3634" s="100" t="s">
        <v>4636</v>
      </c>
    </row>
    <row r="3635" spans="1:2" ht="13.5">
      <c r="A3635" s="170" t="s">
        <v>4156</v>
      </c>
      <c r="B3635" s="100" t="s">
        <v>4637</v>
      </c>
    </row>
    <row r="3636" spans="1:2" ht="13.5">
      <c r="A3636" s="170" t="s">
        <v>4157</v>
      </c>
      <c r="B3636" s="100" t="s">
        <v>4557</v>
      </c>
    </row>
    <row r="3637" spans="1:2" ht="13.5">
      <c r="A3637" s="170" t="s">
        <v>4158</v>
      </c>
      <c r="B3637" s="100" t="s">
        <v>4638</v>
      </c>
    </row>
    <row r="3638" spans="1:2" ht="13.5">
      <c r="A3638" s="170" t="s">
        <v>4639</v>
      </c>
      <c r="B3638" s="100" t="s">
        <v>4640</v>
      </c>
    </row>
    <row r="3639" spans="1:2" ht="13.5">
      <c r="A3639" s="170" t="s">
        <v>4159</v>
      </c>
      <c r="B3639" s="100" t="s">
        <v>4561</v>
      </c>
    </row>
    <row r="3640" spans="1:2" ht="13.5">
      <c r="A3640" s="170" t="s">
        <v>4160</v>
      </c>
      <c r="B3640" s="100" t="s">
        <v>79</v>
      </c>
    </row>
    <row r="3641" spans="1:2" ht="13.5">
      <c r="A3641" s="170" t="s">
        <v>4161</v>
      </c>
      <c r="B3641" s="100" t="s">
        <v>79</v>
      </c>
    </row>
    <row r="3642" spans="1:2" ht="13.5">
      <c r="A3642" s="170" t="s">
        <v>4162</v>
      </c>
      <c r="B3642" s="100" t="s">
        <v>79</v>
      </c>
    </row>
    <row r="3643" spans="1:2" ht="13.5">
      <c r="A3643" s="170" t="s">
        <v>4163</v>
      </c>
      <c r="B3643" s="100" t="s">
        <v>79</v>
      </c>
    </row>
    <row r="3644" spans="1:2" ht="13.5">
      <c r="A3644" s="170" t="s">
        <v>4164</v>
      </c>
      <c r="B3644" s="100" t="s">
        <v>79</v>
      </c>
    </row>
    <row r="3645" spans="1:2" ht="13.5">
      <c r="A3645" s="170" t="s">
        <v>4165</v>
      </c>
      <c r="B3645" s="100" t="s">
        <v>4641</v>
      </c>
    </row>
    <row r="3646" spans="1:2" ht="13.5">
      <c r="A3646" s="170" t="s">
        <v>4166</v>
      </c>
      <c r="B3646" s="100" t="s">
        <v>4642</v>
      </c>
    </row>
    <row r="3647" spans="1:2" ht="13.5">
      <c r="A3647" s="170" t="s">
        <v>4167</v>
      </c>
      <c r="B3647" s="100" t="s">
        <v>79</v>
      </c>
    </row>
    <row r="3648" spans="1:2" ht="13.5">
      <c r="A3648" s="170" t="s">
        <v>4168</v>
      </c>
      <c r="B3648" s="100" t="s">
        <v>79</v>
      </c>
    </row>
    <row r="3649" spans="1:2" ht="13.5">
      <c r="A3649" s="170" t="s">
        <v>4169</v>
      </c>
      <c r="B3649" s="100" t="s">
        <v>4557</v>
      </c>
    </row>
    <row r="3650" spans="1:2" ht="13.5">
      <c r="A3650" s="170" t="s">
        <v>4170</v>
      </c>
      <c r="B3650" s="100" t="s">
        <v>4643</v>
      </c>
    </row>
    <row r="3651" spans="1:2" ht="13.5">
      <c r="A3651" s="170" t="s">
        <v>4171</v>
      </c>
      <c r="B3651" s="100" t="s">
        <v>4555</v>
      </c>
    </row>
    <row r="3652" spans="1:2" ht="13.5">
      <c r="A3652" s="170" t="s">
        <v>4172</v>
      </c>
      <c r="B3652" s="100" t="s">
        <v>4555</v>
      </c>
    </row>
    <row r="3653" spans="1:2" ht="13.5">
      <c r="A3653" s="170" t="s">
        <v>4173</v>
      </c>
      <c r="B3653" s="100" t="s">
        <v>4557</v>
      </c>
    </row>
    <row r="3654" spans="1:2" ht="13.5">
      <c r="A3654" s="170" t="s">
        <v>4174</v>
      </c>
      <c r="B3654" s="100" t="s">
        <v>4603</v>
      </c>
    </row>
    <row r="3655" spans="1:2" ht="13.5">
      <c r="A3655" s="170" t="s">
        <v>4644</v>
      </c>
      <c r="B3655" s="100" t="s">
        <v>79</v>
      </c>
    </row>
    <row r="3656" spans="1:2" ht="13.5">
      <c r="A3656" s="170" t="s">
        <v>4175</v>
      </c>
      <c r="B3656" s="100" t="s">
        <v>79</v>
      </c>
    </row>
    <row r="3657" spans="1:2" ht="13.5">
      <c r="A3657" s="170" t="s">
        <v>4176</v>
      </c>
      <c r="B3657" s="100" t="s">
        <v>4557</v>
      </c>
    </row>
    <row r="3658" spans="1:2" ht="13.5">
      <c r="A3658" s="167" t="s">
        <v>4177</v>
      </c>
      <c r="B3658" s="100" t="s">
        <v>4634</v>
      </c>
    </row>
    <row r="3659" spans="1:2" ht="13.5">
      <c r="A3659" s="170" t="s">
        <v>4178</v>
      </c>
      <c r="B3659" s="100" t="s">
        <v>4603</v>
      </c>
    </row>
    <row r="3660" spans="1:2" ht="13.5">
      <c r="A3660" s="170" t="s">
        <v>4179</v>
      </c>
      <c r="B3660" s="100" t="s">
        <v>79</v>
      </c>
    </row>
    <row r="3661" spans="1:2" ht="13.5">
      <c r="A3661" s="170" t="s">
        <v>4645</v>
      </c>
      <c r="B3661" s="100" t="s">
        <v>4646</v>
      </c>
    </row>
    <row r="3662" spans="1:2" ht="13.5">
      <c r="A3662" s="170" t="s">
        <v>4180</v>
      </c>
      <c r="B3662" s="100" t="s">
        <v>4641</v>
      </c>
    </row>
    <row r="3663" spans="1:2" ht="13.5">
      <c r="A3663" s="170" t="s">
        <v>4181</v>
      </c>
      <c r="B3663" s="100" t="s">
        <v>4633</v>
      </c>
    </row>
    <row r="3664" spans="1:2" ht="13.5">
      <c r="A3664" s="170" t="s">
        <v>4182</v>
      </c>
      <c r="B3664" s="100" t="s">
        <v>79</v>
      </c>
    </row>
    <row r="3665" spans="1:2" ht="13.5">
      <c r="A3665" s="170" t="s">
        <v>4183</v>
      </c>
      <c r="B3665" s="100" t="s">
        <v>79</v>
      </c>
    </row>
    <row r="3666" spans="1:2" ht="13.5">
      <c r="A3666" s="170" t="s">
        <v>4184</v>
      </c>
      <c r="B3666" s="100" t="s">
        <v>79</v>
      </c>
    </row>
    <row r="3667" spans="1:2" ht="13.5">
      <c r="A3667" s="170" t="s">
        <v>4647</v>
      </c>
      <c r="B3667" s="100" t="s">
        <v>115</v>
      </c>
    </row>
    <row r="3668" spans="1:2" ht="13.5">
      <c r="A3668" s="170" t="s">
        <v>4648</v>
      </c>
      <c r="B3668" s="100" t="s">
        <v>115</v>
      </c>
    </row>
    <row r="3669" spans="1:2" ht="13.5">
      <c r="A3669" s="170" t="s">
        <v>4649</v>
      </c>
      <c r="B3669" s="100" t="s">
        <v>115</v>
      </c>
    </row>
    <row r="3670" spans="1:2" ht="13.5">
      <c r="A3670" s="170" t="s">
        <v>4185</v>
      </c>
      <c r="B3670" s="100" t="s">
        <v>4561</v>
      </c>
    </row>
    <row r="3671" spans="1:2" ht="13.5">
      <c r="A3671" s="170" t="s">
        <v>4186</v>
      </c>
      <c r="B3671" s="100" t="s">
        <v>4643</v>
      </c>
    </row>
    <row r="3672" spans="1:2" ht="13.5">
      <c r="A3672" s="167" t="s">
        <v>4187</v>
      </c>
      <c r="B3672" s="100" t="s">
        <v>4634</v>
      </c>
    </row>
    <row r="3673" spans="1:2" ht="13.5">
      <c r="A3673" s="170" t="s">
        <v>4188</v>
      </c>
      <c r="B3673" s="100" t="s">
        <v>4557</v>
      </c>
    </row>
    <row r="3674" spans="1:2" ht="13.5">
      <c r="A3674" s="167" t="s">
        <v>4189</v>
      </c>
      <c r="B3674" s="100" t="s">
        <v>4554</v>
      </c>
    </row>
    <row r="3675" spans="1:2" ht="13.5">
      <c r="A3675" s="170" t="s">
        <v>4190</v>
      </c>
      <c r="B3675" s="100" t="s">
        <v>4650</v>
      </c>
    </row>
    <row r="3676" spans="1:2" ht="13.5">
      <c r="A3676" s="170" t="s">
        <v>4191</v>
      </c>
      <c r="B3676" s="100" t="s">
        <v>4603</v>
      </c>
    </row>
    <row r="3677" spans="1:2" ht="13.5">
      <c r="A3677" s="170" t="s">
        <v>4192</v>
      </c>
      <c r="B3677" s="100" t="s">
        <v>4561</v>
      </c>
    </row>
    <row r="3678" spans="1:2" ht="13.5">
      <c r="A3678" s="170" t="s">
        <v>4193</v>
      </c>
      <c r="B3678" s="100" t="s">
        <v>4557</v>
      </c>
    </row>
    <row r="3679" spans="1:2" ht="13.5">
      <c r="A3679" s="170" t="s">
        <v>4194</v>
      </c>
      <c r="B3679" s="100" t="s">
        <v>4557</v>
      </c>
    </row>
    <row r="3680" spans="1:2" ht="13.5">
      <c r="A3680" s="170" t="s">
        <v>4195</v>
      </c>
      <c r="B3680" s="100" t="s">
        <v>4557</v>
      </c>
    </row>
    <row r="3681" spans="1:2" ht="13.5">
      <c r="A3681" s="170" t="s">
        <v>4196</v>
      </c>
      <c r="B3681" s="100" t="s">
        <v>4557</v>
      </c>
    </row>
    <row r="3682" spans="1:2" ht="13.5">
      <c r="A3682" s="170" t="s">
        <v>4197</v>
      </c>
      <c r="B3682" s="100" t="s">
        <v>79</v>
      </c>
    </row>
    <row r="3683" spans="1:2" ht="13.5">
      <c r="A3683" s="170" t="s">
        <v>4198</v>
      </c>
      <c r="B3683" s="100" t="s">
        <v>79</v>
      </c>
    </row>
    <row r="3684" spans="1:2" ht="13.5">
      <c r="A3684" s="170" t="s">
        <v>4199</v>
      </c>
      <c r="B3684" s="100" t="s">
        <v>4633</v>
      </c>
    </row>
    <row r="3685" spans="1:2" ht="13.5">
      <c r="A3685" s="170" t="s">
        <v>4200</v>
      </c>
      <c r="B3685" s="100" t="s">
        <v>4633</v>
      </c>
    </row>
    <row r="3686" spans="1:2" ht="13.5">
      <c r="A3686" s="170" t="s">
        <v>4201</v>
      </c>
      <c r="B3686" s="100" t="s">
        <v>4637</v>
      </c>
    </row>
    <row r="3687" spans="1:2" ht="13.5">
      <c r="A3687" s="170" t="s">
        <v>4202</v>
      </c>
      <c r="B3687" s="100" t="s">
        <v>4637</v>
      </c>
    </row>
    <row r="3688" spans="1:2" ht="13.5">
      <c r="A3688" s="170" t="s">
        <v>4651</v>
      </c>
      <c r="B3688" s="100" t="s">
        <v>4636</v>
      </c>
    </row>
    <row r="3689" spans="1:2" ht="13.5">
      <c r="A3689" s="170" t="s">
        <v>4203</v>
      </c>
      <c r="B3689" s="100" t="s">
        <v>4652</v>
      </c>
    </row>
    <row r="3690" spans="1:2" ht="13.5">
      <c r="A3690" s="170" t="s">
        <v>4204</v>
      </c>
      <c r="B3690" s="100" t="s">
        <v>4637</v>
      </c>
    </row>
    <row r="3691" spans="1:2" ht="13.5">
      <c r="A3691" s="170" t="s">
        <v>4205</v>
      </c>
      <c r="B3691" s="100" t="s">
        <v>4557</v>
      </c>
    </row>
    <row r="3692" spans="1:2" ht="13.5">
      <c r="A3692" s="170" t="s">
        <v>4206</v>
      </c>
      <c r="B3692" s="100" t="s">
        <v>4603</v>
      </c>
    </row>
    <row r="3693" spans="1:2" ht="13.5">
      <c r="A3693" s="170" t="s">
        <v>4653</v>
      </c>
      <c r="B3693" s="100" t="s">
        <v>4636</v>
      </c>
    </row>
    <row r="3694" spans="1:2" ht="13.5">
      <c r="A3694" s="170" t="s">
        <v>4207</v>
      </c>
      <c r="B3694" s="100" t="s">
        <v>4641</v>
      </c>
    </row>
    <row r="3695" spans="1:2" ht="13.5">
      <c r="A3695" s="170" t="s">
        <v>4208</v>
      </c>
      <c r="B3695" s="100" t="s">
        <v>4654</v>
      </c>
    </row>
    <row r="3696" spans="1:2" ht="13.5">
      <c r="A3696" s="170" t="s">
        <v>4209</v>
      </c>
      <c r="B3696" s="100" t="s">
        <v>4654</v>
      </c>
    </row>
    <row r="3697" spans="1:2" ht="13.5">
      <c r="A3697" s="170" t="s">
        <v>4210</v>
      </c>
      <c r="B3697" s="100" t="s">
        <v>4633</v>
      </c>
    </row>
    <row r="3698" spans="1:2" ht="13.5">
      <c r="A3698" s="170" t="s">
        <v>4655</v>
      </c>
      <c r="B3698" s="100" t="s">
        <v>4633</v>
      </c>
    </row>
    <row r="3699" spans="1:2" ht="13.5">
      <c r="A3699" s="170" t="s">
        <v>4211</v>
      </c>
      <c r="B3699" s="100" t="s">
        <v>4637</v>
      </c>
    </row>
    <row r="3700" spans="1:2" ht="13.5">
      <c r="A3700" s="170" t="s">
        <v>4212</v>
      </c>
      <c r="B3700" s="100" t="s">
        <v>4557</v>
      </c>
    </row>
    <row r="3701" spans="1:2" ht="13.5">
      <c r="A3701" s="170" t="s">
        <v>4656</v>
      </c>
      <c r="B3701" s="100" t="s">
        <v>115</v>
      </c>
    </row>
    <row r="3702" spans="1:2" ht="13.5">
      <c r="A3702" s="170" t="s">
        <v>4657</v>
      </c>
      <c r="B3702" s="100" t="s">
        <v>4636</v>
      </c>
    </row>
    <row r="3703" spans="1:2" ht="13.5">
      <c r="A3703" s="170" t="s">
        <v>4658</v>
      </c>
      <c r="B3703" s="100" t="s">
        <v>4636</v>
      </c>
    </row>
    <row r="3704" spans="1:2" ht="13.5">
      <c r="A3704" s="170" t="s">
        <v>4213</v>
      </c>
      <c r="B3704" s="100" t="s">
        <v>4633</v>
      </c>
    </row>
    <row r="3705" spans="1:2" ht="13.5">
      <c r="A3705" s="170" t="s">
        <v>4659</v>
      </c>
      <c r="B3705" s="100" t="s">
        <v>38</v>
      </c>
    </row>
    <row r="3706" spans="1:2" ht="13.5">
      <c r="A3706" s="170" t="s">
        <v>4214</v>
      </c>
      <c r="B3706" s="100" t="s">
        <v>527</v>
      </c>
    </row>
    <row r="3707" spans="1:2" ht="13.5">
      <c r="A3707" s="167" t="s">
        <v>4215</v>
      </c>
      <c r="B3707" s="100" t="s">
        <v>4552</v>
      </c>
    </row>
    <row r="3708" spans="1:2" ht="13.5">
      <c r="A3708" s="167" t="s">
        <v>4216</v>
      </c>
      <c r="B3708" s="100" t="s">
        <v>4552</v>
      </c>
    </row>
    <row r="3709" spans="1:2" ht="13.5">
      <c r="A3709" s="167" t="s">
        <v>4217</v>
      </c>
      <c r="B3709" s="100" t="s">
        <v>4552</v>
      </c>
    </row>
    <row r="3710" spans="1:2" ht="13.5">
      <c r="A3710" s="167" t="s">
        <v>4218</v>
      </c>
      <c r="B3710" s="100" t="s">
        <v>4552</v>
      </c>
    </row>
    <row r="3711" spans="1:2" ht="13.5">
      <c r="A3711" s="167" t="s">
        <v>4219</v>
      </c>
      <c r="B3711" s="100" t="s">
        <v>4552</v>
      </c>
    </row>
    <row r="3712" spans="1:2" ht="13.5">
      <c r="A3712" s="167" t="s">
        <v>4220</v>
      </c>
      <c r="B3712" s="100" t="s">
        <v>4552</v>
      </c>
    </row>
    <row r="3713" spans="1:2" ht="13.5">
      <c r="A3713" s="167" t="s">
        <v>4221</v>
      </c>
      <c r="B3713" s="100" t="s">
        <v>4552</v>
      </c>
    </row>
    <row r="3714" spans="1:2" ht="13.5">
      <c r="A3714" s="167" t="s">
        <v>4222</v>
      </c>
      <c r="B3714" s="100" t="s">
        <v>4552</v>
      </c>
    </row>
    <row r="3715" spans="1:2" ht="13.5">
      <c r="A3715" s="167" t="s">
        <v>4223</v>
      </c>
      <c r="B3715" s="100" t="s">
        <v>4552</v>
      </c>
    </row>
    <row r="3716" spans="1:2" ht="13.5">
      <c r="A3716" s="167" t="s">
        <v>4224</v>
      </c>
      <c r="B3716" s="100" t="s">
        <v>4552</v>
      </c>
    </row>
    <row r="3717" spans="1:2" ht="13.5">
      <c r="A3717" s="167" t="s">
        <v>4225</v>
      </c>
      <c r="B3717" s="100" t="s">
        <v>4552</v>
      </c>
    </row>
    <row r="3718" spans="1:2" ht="13.5">
      <c r="A3718" s="167" t="s">
        <v>4226</v>
      </c>
      <c r="B3718" s="100" t="s">
        <v>4552</v>
      </c>
    </row>
    <row r="3719" spans="1:2" ht="13.5">
      <c r="A3719" s="167" t="s">
        <v>4227</v>
      </c>
      <c r="B3719" s="100" t="s">
        <v>4552</v>
      </c>
    </row>
    <row r="3720" spans="1:2" ht="13.5">
      <c r="A3720" s="167" t="s">
        <v>4228</v>
      </c>
      <c r="B3720" s="100" t="s">
        <v>4552</v>
      </c>
    </row>
    <row r="3721" spans="1:2" ht="13.5">
      <c r="A3721" s="167" t="s">
        <v>4229</v>
      </c>
      <c r="B3721" s="100" t="s">
        <v>4552</v>
      </c>
    </row>
    <row r="3722" spans="1:2" ht="13.5">
      <c r="A3722" s="167" t="s">
        <v>4230</v>
      </c>
      <c r="B3722" s="100" t="s">
        <v>4552</v>
      </c>
    </row>
    <row r="3723" spans="1:2" ht="13.5">
      <c r="A3723" s="167" t="s">
        <v>4231</v>
      </c>
      <c r="B3723" s="100" t="s">
        <v>4552</v>
      </c>
    </row>
    <row r="3724" spans="1:2" ht="13.5">
      <c r="A3724" s="167" t="s">
        <v>4232</v>
      </c>
      <c r="B3724" s="100" t="s">
        <v>4552</v>
      </c>
    </row>
    <row r="3725" spans="1:2" ht="13.5">
      <c r="A3725" s="167" t="s">
        <v>4233</v>
      </c>
      <c r="B3725" s="100" t="s">
        <v>4552</v>
      </c>
    </row>
    <row r="3726" spans="1:2" ht="13.5">
      <c r="A3726" s="167" t="s">
        <v>4234</v>
      </c>
      <c r="B3726" s="100" t="s">
        <v>4552</v>
      </c>
    </row>
    <row r="3727" spans="1:2" ht="13.5">
      <c r="A3727" s="167" t="s">
        <v>4235</v>
      </c>
      <c r="B3727" s="100" t="s">
        <v>4552</v>
      </c>
    </row>
    <row r="3728" spans="1:2" ht="13.5">
      <c r="A3728" s="167" t="s">
        <v>4236</v>
      </c>
      <c r="B3728" s="100" t="s">
        <v>4552</v>
      </c>
    </row>
    <row r="3729" spans="1:2" ht="13.5">
      <c r="A3729" s="167" t="s">
        <v>4237</v>
      </c>
      <c r="B3729" s="100" t="s">
        <v>4552</v>
      </c>
    </row>
    <row r="3730" spans="1:2" ht="13.5">
      <c r="A3730" s="167" t="s">
        <v>4238</v>
      </c>
      <c r="B3730" s="100" t="s">
        <v>4552</v>
      </c>
    </row>
    <row r="3731" spans="1:2" ht="13.5">
      <c r="A3731" s="167" t="s">
        <v>4239</v>
      </c>
      <c r="B3731" s="100" t="s">
        <v>4552</v>
      </c>
    </row>
    <row r="3732" spans="1:2" ht="13.5">
      <c r="A3732" s="167" t="s">
        <v>4240</v>
      </c>
      <c r="B3732" s="100" t="s">
        <v>4552</v>
      </c>
    </row>
    <row r="3733" spans="1:2" ht="13.5">
      <c r="A3733" s="167" t="s">
        <v>4241</v>
      </c>
      <c r="B3733" s="100" t="s">
        <v>4552</v>
      </c>
    </row>
    <row r="3734" spans="1:2" ht="13.5">
      <c r="A3734" s="167" t="s">
        <v>4242</v>
      </c>
      <c r="B3734" s="100" t="s">
        <v>4552</v>
      </c>
    </row>
    <row r="3735" spans="1:2" ht="13.5">
      <c r="A3735" s="167" t="s">
        <v>4243</v>
      </c>
      <c r="B3735" s="100" t="s">
        <v>4552</v>
      </c>
    </row>
    <row r="3736" spans="1:2" ht="13.5">
      <c r="A3736" s="167" t="s">
        <v>4244</v>
      </c>
      <c r="B3736" s="100" t="s">
        <v>4552</v>
      </c>
    </row>
    <row r="3737" spans="1:2" ht="13.5">
      <c r="A3737" s="167" t="s">
        <v>4245</v>
      </c>
      <c r="B3737" s="100" t="s">
        <v>4552</v>
      </c>
    </row>
    <row r="3738" spans="1:2" ht="13.5">
      <c r="A3738" s="167" t="s">
        <v>4246</v>
      </c>
      <c r="B3738" s="100" t="s">
        <v>4552</v>
      </c>
    </row>
    <row r="3739" spans="1:2" ht="13.5">
      <c r="A3739" s="167" t="s">
        <v>4247</v>
      </c>
      <c r="B3739" s="100" t="s">
        <v>4552</v>
      </c>
    </row>
    <row r="3740" spans="1:2" ht="13.5">
      <c r="A3740" s="167" t="s">
        <v>4248</v>
      </c>
      <c r="B3740" s="100" t="s">
        <v>4552</v>
      </c>
    </row>
    <row r="3741" spans="1:2" ht="13.5">
      <c r="A3741" s="167" t="s">
        <v>4249</v>
      </c>
      <c r="B3741" s="100" t="s">
        <v>4552</v>
      </c>
    </row>
    <row r="3742" spans="1:2" ht="13.5">
      <c r="A3742" s="167" t="s">
        <v>4250</v>
      </c>
      <c r="B3742" s="100" t="s">
        <v>4552</v>
      </c>
    </row>
    <row r="3743" spans="1:2" ht="13.5">
      <c r="A3743" s="167" t="s">
        <v>4251</v>
      </c>
      <c r="B3743" s="100" t="s">
        <v>4552</v>
      </c>
    </row>
    <row r="3744" spans="1:2" ht="13.5">
      <c r="A3744" s="170" t="s">
        <v>4252</v>
      </c>
      <c r="B3744" s="100" t="s">
        <v>4660</v>
      </c>
    </row>
    <row r="3745" spans="1:2" ht="13.5">
      <c r="A3745" s="170" t="s">
        <v>4253</v>
      </c>
      <c r="B3745" s="100" t="s">
        <v>79</v>
      </c>
    </row>
    <row r="3746" spans="1:2" ht="13.5">
      <c r="A3746" s="170" t="s">
        <v>4254</v>
      </c>
      <c r="B3746" s="100" t="s">
        <v>4650</v>
      </c>
    </row>
    <row r="3747" spans="1:2" ht="13.5">
      <c r="A3747" s="167" t="s">
        <v>4255</v>
      </c>
      <c r="B3747" s="100" t="s">
        <v>4552</v>
      </c>
    </row>
    <row r="3748" spans="1:2" ht="13.5">
      <c r="A3748" s="170" t="s">
        <v>4256</v>
      </c>
      <c r="B3748" s="100" t="s">
        <v>4650</v>
      </c>
    </row>
    <row r="3749" spans="1:2" ht="13.5">
      <c r="A3749" s="167" t="s">
        <v>4257</v>
      </c>
      <c r="B3749" s="100" t="s">
        <v>4554</v>
      </c>
    </row>
    <row r="3750" spans="1:2" ht="13.5">
      <c r="A3750" s="170" t="s">
        <v>4258</v>
      </c>
      <c r="B3750" s="100" t="s">
        <v>96</v>
      </c>
    </row>
    <row r="3751" spans="1:2" ht="13.5">
      <c r="A3751" s="167" t="s">
        <v>4259</v>
      </c>
      <c r="B3751" s="100" t="s">
        <v>4627</v>
      </c>
    </row>
    <row r="3752" spans="1:2" ht="13.5">
      <c r="A3752" s="167" t="s">
        <v>4260</v>
      </c>
      <c r="B3752" s="100" t="s">
        <v>4552</v>
      </c>
    </row>
    <row r="3753" spans="1:2" ht="13.5">
      <c r="A3753" s="170" t="s">
        <v>4261</v>
      </c>
      <c r="B3753" s="100" t="s">
        <v>96</v>
      </c>
    </row>
    <row r="3754" spans="1:2" ht="13.5">
      <c r="A3754" s="167" t="s">
        <v>4262</v>
      </c>
      <c r="B3754" s="100" t="s">
        <v>4634</v>
      </c>
    </row>
    <row r="3755" spans="1:2" ht="13.5">
      <c r="A3755" s="167" t="s">
        <v>4263</v>
      </c>
      <c r="B3755" s="100" t="s">
        <v>4634</v>
      </c>
    </row>
    <row r="3756" spans="1:2" ht="13.5">
      <c r="A3756" s="170" t="s">
        <v>4264</v>
      </c>
      <c r="B3756" s="100" t="s">
        <v>96</v>
      </c>
    </row>
    <row r="3757" spans="1:2" ht="13.5">
      <c r="A3757" s="167" t="s">
        <v>4265</v>
      </c>
      <c r="B3757" s="100" t="s">
        <v>4552</v>
      </c>
    </row>
    <row r="3758" spans="1:2" ht="13.5">
      <c r="A3758" s="170" t="s">
        <v>4266</v>
      </c>
      <c r="B3758" s="100" t="s">
        <v>4643</v>
      </c>
    </row>
    <row r="3759" spans="1:2" ht="13.5">
      <c r="A3759" s="170" t="s">
        <v>4661</v>
      </c>
      <c r="B3759" s="100" t="s">
        <v>79</v>
      </c>
    </row>
    <row r="3760" spans="1:2" ht="13.5">
      <c r="A3760" s="170" t="s">
        <v>4267</v>
      </c>
      <c r="B3760" s="100" t="s">
        <v>79</v>
      </c>
    </row>
    <row r="3761" spans="1:2" ht="13.5">
      <c r="A3761" s="170" t="s">
        <v>4268</v>
      </c>
      <c r="B3761" s="100" t="s">
        <v>79</v>
      </c>
    </row>
    <row r="3762" spans="1:2" ht="13.5">
      <c r="A3762" s="170" t="s">
        <v>4269</v>
      </c>
      <c r="B3762" s="100" t="s">
        <v>79</v>
      </c>
    </row>
    <row r="3763" spans="1:2" ht="13.5">
      <c r="A3763" s="170" t="s">
        <v>4270</v>
      </c>
      <c r="B3763" s="100" t="s">
        <v>96</v>
      </c>
    </row>
    <row r="3764" spans="1:2" ht="13.5">
      <c r="A3764" s="167" t="s">
        <v>4271</v>
      </c>
      <c r="B3764" s="100" t="s">
        <v>4634</v>
      </c>
    </row>
    <row r="3765" spans="1:2" ht="13.5">
      <c r="A3765" s="170" t="s">
        <v>4272</v>
      </c>
      <c r="B3765" s="100" t="s">
        <v>4650</v>
      </c>
    </row>
    <row r="3766" spans="1:2" ht="13.5">
      <c r="A3766" s="170" t="s">
        <v>4273</v>
      </c>
      <c r="B3766" s="100" t="s">
        <v>4637</v>
      </c>
    </row>
    <row r="3767" spans="1:2" ht="13.5">
      <c r="A3767" s="170" t="s">
        <v>4274</v>
      </c>
      <c r="B3767" s="100" t="s">
        <v>4662</v>
      </c>
    </row>
    <row r="3768" spans="1:2" ht="13.5">
      <c r="A3768" s="170" t="s">
        <v>4275</v>
      </c>
      <c r="B3768" s="100" t="s">
        <v>4555</v>
      </c>
    </row>
    <row r="3769" spans="1:2" ht="13.5">
      <c r="A3769" s="170" t="s">
        <v>4276</v>
      </c>
      <c r="B3769" s="100" t="s">
        <v>4555</v>
      </c>
    </row>
    <row r="3770" spans="1:2" ht="13.5">
      <c r="A3770" s="170" t="s">
        <v>4277</v>
      </c>
      <c r="B3770" s="100" t="s">
        <v>79</v>
      </c>
    </row>
    <row r="3771" spans="1:2" ht="13.5">
      <c r="A3771" s="167" t="s">
        <v>4278</v>
      </c>
      <c r="B3771" s="100" t="s">
        <v>4552</v>
      </c>
    </row>
    <row r="3772" spans="1:2" ht="13.5">
      <c r="A3772" s="170" t="s">
        <v>4279</v>
      </c>
      <c r="B3772" s="100" t="s">
        <v>4555</v>
      </c>
    </row>
    <row r="3773" spans="1:2" ht="13.5">
      <c r="A3773" s="170" t="s">
        <v>4663</v>
      </c>
      <c r="B3773" s="100" t="s">
        <v>4664</v>
      </c>
    </row>
    <row r="3774" spans="1:2" ht="13.5">
      <c r="A3774" s="170" t="s">
        <v>4280</v>
      </c>
      <c r="B3774" s="100" t="s">
        <v>4652</v>
      </c>
    </row>
    <row r="3775" spans="1:2" ht="13.5">
      <c r="A3775" s="170" t="s">
        <v>4281</v>
      </c>
      <c r="B3775" s="100" t="s">
        <v>4636</v>
      </c>
    </row>
    <row r="3776" spans="1:2" ht="13.5">
      <c r="A3776" s="170" t="s">
        <v>4665</v>
      </c>
      <c r="B3776" s="100" t="s">
        <v>4636</v>
      </c>
    </row>
    <row r="3777" spans="1:2" ht="13.5">
      <c r="A3777" s="170" t="s">
        <v>4282</v>
      </c>
      <c r="B3777" s="100" t="s">
        <v>4641</v>
      </c>
    </row>
    <row r="3778" spans="1:2" ht="13.5">
      <c r="A3778" s="170" t="s">
        <v>4283</v>
      </c>
      <c r="B3778" s="100" t="s">
        <v>4654</v>
      </c>
    </row>
    <row r="3779" spans="1:2" ht="13.5">
      <c r="A3779" s="170" t="s">
        <v>4284</v>
      </c>
      <c r="B3779" s="100" t="s">
        <v>4633</v>
      </c>
    </row>
    <row r="3780" spans="1:2" ht="13.5">
      <c r="A3780" s="170" t="s">
        <v>4285</v>
      </c>
      <c r="B3780" s="100" t="s">
        <v>4666</v>
      </c>
    </row>
    <row r="3781" spans="1:2" ht="13.5">
      <c r="A3781" s="170" t="s">
        <v>4286</v>
      </c>
      <c r="B3781" s="100" t="s">
        <v>4652</v>
      </c>
    </row>
    <row r="3782" spans="1:2" ht="13.5">
      <c r="A3782" s="170" t="s">
        <v>4287</v>
      </c>
      <c r="B3782" s="100" t="s">
        <v>4638</v>
      </c>
    </row>
    <row r="3783" spans="1:2" ht="13.5">
      <c r="A3783" s="170" t="s">
        <v>4667</v>
      </c>
      <c r="B3783" s="100" t="s">
        <v>79</v>
      </c>
    </row>
    <row r="3784" spans="1:2" ht="13.5">
      <c r="A3784" s="170" t="s">
        <v>4288</v>
      </c>
      <c r="B3784" s="100" t="s">
        <v>79</v>
      </c>
    </row>
    <row r="3785" spans="1:2" ht="13.5">
      <c r="A3785" s="167" t="s">
        <v>4289</v>
      </c>
      <c r="B3785" s="100" t="s">
        <v>4634</v>
      </c>
    </row>
    <row r="3786" spans="1:2" ht="13.5">
      <c r="A3786" s="167" t="s">
        <v>4290</v>
      </c>
      <c r="B3786" s="100" t="s">
        <v>4668</v>
      </c>
    </row>
    <row r="3787" spans="1:2" ht="13.5">
      <c r="A3787" s="170" t="s">
        <v>4291</v>
      </c>
      <c r="B3787" s="100" t="s">
        <v>79</v>
      </c>
    </row>
    <row r="3788" spans="1:2" ht="13.5">
      <c r="A3788" s="170" t="s">
        <v>4292</v>
      </c>
      <c r="B3788" s="100" t="s">
        <v>79</v>
      </c>
    </row>
    <row r="3789" spans="1:2" ht="13.5">
      <c r="A3789" s="170" t="s">
        <v>4293</v>
      </c>
      <c r="B3789" s="100" t="s">
        <v>4557</v>
      </c>
    </row>
    <row r="3790" spans="1:2" ht="13.5">
      <c r="A3790" s="170" t="s">
        <v>4294</v>
      </c>
      <c r="B3790" s="100" t="s">
        <v>4561</v>
      </c>
    </row>
    <row r="3791" spans="1:2" ht="13.5">
      <c r="A3791" s="170" t="s">
        <v>4295</v>
      </c>
      <c r="B3791" s="100" t="s">
        <v>79</v>
      </c>
    </row>
    <row r="3792" spans="1:2" ht="13.5">
      <c r="A3792" s="170" t="s">
        <v>4296</v>
      </c>
      <c r="B3792" s="100" t="s">
        <v>79</v>
      </c>
    </row>
    <row r="3793" spans="1:2" ht="13.5">
      <c r="A3793" s="170" t="s">
        <v>4297</v>
      </c>
      <c r="B3793" s="100" t="s">
        <v>79</v>
      </c>
    </row>
    <row r="3794" spans="1:2" ht="13.5">
      <c r="A3794" s="170" t="s">
        <v>4298</v>
      </c>
      <c r="B3794" s="100" t="s">
        <v>79</v>
      </c>
    </row>
    <row r="3795" spans="1:2" ht="13.5">
      <c r="A3795" s="167" t="s">
        <v>4299</v>
      </c>
      <c r="B3795" s="100" t="s">
        <v>4669</v>
      </c>
    </row>
    <row r="3796" spans="1:2" ht="13.5">
      <c r="A3796" s="170" t="s">
        <v>4300</v>
      </c>
      <c r="B3796" s="100" t="s">
        <v>4557</v>
      </c>
    </row>
    <row r="3797" spans="1:2" ht="13.5">
      <c r="A3797" s="170" t="s">
        <v>4301</v>
      </c>
      <c r="B3797" s="100" t="s">
        <v>79</v>
      </c>
    </row>
    <row r="3798" spans="1:2" ht="13.5">
      <c r="A3798" s="170" t="s">
        <v>4302</v>
      </c>
      <c r="B3798" s="100" t="s">
        <v>4642</v>
      </c>
    </row>
    <row r="3799" spans="1:2" ht="13.5">
      <c r="A3799" s="170" t="s">
        <v>4303</v>
      </c>
      <c r="B3799" s="100" t="s">
        <v>4630</v>
      </c>
    </row>
    <row r="3800" spans="1:2" ht="13.5">
      <c r="A3800" s="170" t="s">
        <v>4304</v>
      </c>
      <c r="B3800" s="100" t="s">
        <v>4557</v>
      </c>
    </row>
    <row r="3801" spans="1:2" ht="13.5">
      <c r="A3801" s="170" t="s">
        <v>4305</v>
      </c>
      <c r="B3801" s="100" t="s">
        <v>4557</v>
      </c>
    </row>
    <row r="3802" spans="1:2" ht="13.5">
      <c r="A3802" s="170" t="s">
        <v>4306</v>
      </c>
      <c r="B3802" s="100" t="s">
        <v>4603</v>
      </c>
    </row>
    <row r="3803" spans="1:2" ht="13.5">
      <c r="A3803" s="170" t="s">
        <v>4307</v>
      </c>
      <c r="B3803" s="100" t="s">
        <v>4557</v>
      </c>
    </row>
    <row r="3804" spans="1:2" ht="13.5">
      <c r="A3804" s="170" t="s">
        <v>4308</v>
      </c>
      <c r="B3804" s="100" t="s">
        <v>4557</v>
      </c>
    </row>
    <row r="3805" spans="1:2" ht="13.5">
      <c r="A3805" s="170" t="s">
        <v>4309</v>
      </c>
      <c r="B3805" s="100" t="s">
        <v>4637</v>
      </c>
    </row>
    <row r="3806" spans="1:2" ht="13.5">
      <c r="A3806" s="170" t="s">
        <v>4310</v>
      </c>
      <c r="B3806" s="100" t="s">
        <v>79</v>
      </c>
    </row>
    <row r="3807" spans="1:2" ht="13.5">
      <c r="A3807" s="170" t="s">
        <v>4311</v>
      </c>
      <c r="B3807" s="100" t="s">
        <v>79</v>
      </c>
    </row>
    <row r="3808" spans="1:2" ht="13.5">
      <c r="A3808" s="170" t="s">
        <v>4312</v>
      </c>
      <c r="B3808" s="100" t="s">
        <v>79</v>
      </c>
    </row>
    <row r="3809" spans="1:2" ht="13.5">
      <c r="A3809" s="170" t="s">
        <v>4313</v>
      </c>
      <c r="B3809" s="100" t="s">
        <v>79</v>
      </c>
    </row>
    <row r="3810" spans="1:2" ht="13.5">
      <c r="A3810" s="170" t="s">
        <v>4314</v>
      </c>
      <c r="B3810" s="100" t="s">
        <v>79</v>
      </c>
    </row>
    <row r="3811" spans="1:2" ht="13.5">
      <c r="A3811" s="170" t="s">
        <v>4670</v>
      </c>
      <c r="B3811" s="100" t="s">
        <v>4646</v>
      </c>
    </row>
    <row r="3812" spans="1:2" ht="13.5">
      <c r="A3812" s="170" t="s">
        <v>4315</v>
      </c>
      <c r="B3812" s="100" t="s">
        <v>4641</v>
      </c>
    </row>
    <row r="3813" spans="1:2" ht="13.5">
      <c r="A3813" s="170" t="s">
        <v>4316</v>
      </c>
      <c r="B3813" s="100" t="s">
        <v>4641</v>
      </c>
    </row>
    <row r="3814" spans="1:2" ht="13.5">
      <c r="A3814" s="170" t="s">
        <v>4317</v>
      </c>
      <c r="B3814" s="100" t="s">
        <v>4641</v>
      </c>
    </row>
    <row r="3815" spans="1:2" ht="13.5">
      <c r="A3815" s="170" t="s">
        <v>4318</v>
      </c>
      <c r="B3815" s="100" t="s">
        <v>4641</v>
      </c>
    </row>
    <row r="3816" spans="1:2" ht="13.5">
      <c r="A3816" s="170" t="s">
        <v>4319</v>
      </c>
      <c r="B3816" s="100" t="s">
        <v>4654</v>
      </c>
    </row>
    <row r="3817" spans="1:2" ht="13.5">
      <c r="A3817" s="170" t="s">
        <v>4320</v>
      </c>
      <c r="B3817" s="100" t="s">
        <v>4654</v>
      </c>
    </row>
    <row r="3818" spans="1:2" ht="13.5">
      <c r="A3818" s="170" t="s">
        <v>4321</v>
      </c>
      <c r="B3818" s="100" t="s">
        <v>4557</v>
      </c>
    </row>
    <row r="3819" spans="1:2" ht="13.5">
      <c r="A3819" s="170" t="s">
        <v>4322</v>
      </c>
      <c r="B3819" s="100" t="s">
        <v>4557</v>
      </c>
    </row>
    <row r="3820" spans="1:2" ht="13.5">
      <c r="A3820" s="170" t="s">
        <v>4323</v>
      </c>
      <c r="B3820" s="100" t="s">
        <v>4557</v>
      </c>
    </row>
    <row r="3821" spans="1:2" ht="13.5">
      <c r="A3821" s="170" t="s">
        <v>4324</v>
      </c>
      <c r="B3821" s="100" t="s">
        <v>4557</v>
      </c>
    </row>
    <row r="3822" spans="1:2" ht="13.5">
      <c r="A3822" s="170" t="s">
        <v>4325</v>
      </c>
      <c r="B3822" s="100" t="s">
        <v>4557</v>
      </c>
    </row>
    <row r="3823" spans="1:2" ht="13.5">
      <c r="A3823" s="170" t="s">
        <v>4326</v>
      </c>
      <c r="B3823" s="100" t="s">
        <v>4557</v>
      </c>
    </row>
    <row r="3824" spans="1:2" ht="13.5">
      <c r="A3824" s="170" t="s">
        <v>4327</v>
      </c>
      <c r="B3824" s="100" t="s">
        <v>4633</v>
      </c>
    </row>
    <row r="3825" spans="1:2" ht="13.5">
      <c r="A3825" s="170" t="s">
        <v>4328</v>
      </c>
      <c r="B3825" s="100" t="s">
        <v>4633</v>
      </c>
    </row>
    <row r="3826" spans="1:2" ht="13.5">
      <c r="A3826" s="170" t="s">
        <v>4329</v>
      </c>
      <c r="B3826" s="100" t="s">
        <v>4636</v>
      </c>
    </row>
    <row r="3827" spans="1:2" ht="13.5">
      <c r="A3827" s="170" t="s">
        <v>4330</v>
      </c>
      <c r="B3827" s="100" t="s">
        <v>4633</v>
      </c>
    </row>
    <row r="3828" spans="1:2" ht="13.5">
      <c r="A3828" s="170" t="s">
        <v>4331</v>
      </c>
      <c r="B3828" s="100" t="s">
        <v>4633</v>
      </c>
    </row>
    <row r="3829" spans="1:2" ht="13.5">
      <c r="A3829" s="167" t="s">
        <v>4332</v>
      </c>
      <c r="B3829" s="100" t="s">
        <v>4634</v>
      </c>
    </row>
    <row r="3830" spans="1:2" ht="13.5">
      <c r="A3830" s="170" t="s">
        <v>4333</v>
      </c>
      <c r="B3830" s="100" t="s">
        <v>79</v>
      </c>
    </row>
    <row r="3831" spans="1:2" ht="13.5">
      <c r="A3831" s="170" t="s">
        <v>4334</v>
      </c>
      <c r="B3831" s="100" t="s">
        <v>4557</v>
      </c>
    </row>
    <row r="3832" spans="1:2" ht="13.5">
      <c r="A3832" s="170" t="s">
        <v>4335</v>
      </c>
      <c r="B3832" s="100" t="s">
        <v>4557</v>
      </c>
    </row>
    <row r="3833" spans="1:2" ht="13.5">
      <c r="A3833" s="170" t="s">
        <v>4671</v>
      </c>
      <c r="B3833" s="100" t="s">
        <v>115</v>
      </c>
    </row>
    <row r="3834" spans="1:2" ht="13.5">
      <c r="A3834" s="170" t="s">
        <v>4336</v>
      </c>
      <c r="B3834" s="100" t="s">
        <v>147</v>
      </c>
    </row>
    <row r="3835" spans="1:2" ht="13.5">
      <c r="A3835" s="170" t="s">
        <v>4337</v>
      </c>
      <c r="B3835" s="100" t="s">
        <v>79</v>
      </c>
    </row>
    <row r="3836" spans="1:2" ht="13.5">
      <c r="A3836" s="170" t="s">
        <v>4338</v>
      </c>
      <c r="B3836" s="100" t="s">
        <v>4672</v>
      </c>
    </row>
    <row r="3837" spans="1:2" ht="13.5">
      <c r="A3837" s="167" t="s">
        <v>4339</v>
      </c>
      <c r="B3837" s="100" t="s">
        <v>4552</v>
      </c>
    </row>
    <row r="3838" spans="1:2" ht="13.5">
      <c r="A3838" s="167" t="s">
        <v>4340</v>
      </c>
      <c r="B3838" s="100" t="s">
        <v>4564</v>
      </c>
    </row>
    <row r="3839" spans="1:2" ht="13.5">
      <c r="A3839" s="167" t="s">
        <v>4341</v>
      </c>
      <c r="B3839" s="100" t="s">
        <v>4559</v>
      </c>
    </row>
    <row r="3840" spans="1:2" ht="13.5">
      <c r="A3840" s="167" t="s">
        <v>4342</v>
      </c>
      <c r="B3840" s="100" t="s">
        <v>4552</v>
      </c>
    </row>
    <row r="3841" spans="1:2" ht="13.5">
      <c r="A3841" s="167" t="s">
        <v>4343</v>
      </c>
      <c r="B3841" s="100" t="s">
        <v>4552</v>
      </c>
    </row>
    <row r="3842" spans="1:2" ht="13.5">
      <c r="A3842" s="167" t="s">
        <v>4344</v>
      </c>
      <c r="B3842" s="100" t="s">
        <v>4552</v>
      </c>
    </row>
    <row r="3843" spans="1:2" ht="13.5">
      <c r="A3843" s="167" t="s">
        <v>4345</v>
      </c>
      <c r="B3843" s="100" t="s">
        <v>4556</v>
      </c>
    </row>
    <row r="3844" spans="1:2" ht="13.5">
      <c r="A3844" s="167" t="s">
        <v>4346</v>
      </c>
      <c r="B3844" s="100" t="s">
        <v>4673</v>
      </c>
    </row>
    <row r="3845" spans="1:2" ht="13.5">
      <c r="A3845" s="167" t="s">
        <v>4347</v>
      </c>
      <c r="B3845" s="100" t="s">
        <v>4674</v>
      </c>
    </row>
    <row r="3846" spans="1:2" ht="13.5">
      <c r="A3846" s="167" t="s">
        <v>4348</v>
      </c>
      <c r="B3846" s="100" t="s">
        <v>4675</v>
      </c>
    </row>
    <row r="3847" spans="1:2" ht="13.5">
      <c r="A3847" s="170" t="s">
        <v>4349</v>
      </c>
      <c r="B3847" s="100" t="s">
        <v>4676</v>
      </c>
    </row>
    <row r="3848" spans="1:2" ht="13.5">
      <c r="A3848" s="170" t="s">
        <v>4350</v>
      </c>
      <c r="B3848" s="100" t="s">
        <v>40</v>
      </c>
    </row>
    <row r="3849" spans="1:2" ht="13.5">
      <c r="A3849" s="170" t="s">
        <v>4351</v>
      </c>
      <c r="B3849" s="100" t="s">
        <v>4570</v>
      </c>
    </row>
    <row r="3850" spans="1:2" ht="13.5">
      <c r="A3850" s="170" t="s">
        <v>4677</v>
      </c>
      <c r="B3850" s="100" t="s">
        <v>4678</v>
      </c>
    </row>
    <row r="3851" spans="1:2" ht="13.5">
      <c r="A3851" s="170" t="s">
        <v>4679</v>
      </c>
      <c r="B3851" s="100" t="s">
        <v>4565</v>
      </c>
    </row>
    <row r="3852" spans="1:2" ht="13.5">
      <c r="A3852" s="170" t="s">
        <v>4680</v>
      </c>
      <c r="B3852" s="100" t="s">
        <v>4558</v>
      </c>
    </row>
    <row r="3853" spans="1:2" ht="13.5">
      <c r="A3853" s="167" t="s">
        <v>4352</v>
      </c>
      <c r="B3853" s="100" t="s">
        <v>4552</v>
      </c>
    </row>
    <row r="3854" spans="1:2" ht="13.5">
      <c r="A3854" s="170" t="s">
        <v>4681</v>
      </c>
      <c r="B3854" s="100" t="s">
        <v>4558</v>
      </c>
    </row>
    <row r="3855" spans="1:2" ht="13.5">
      <c r="A3855" s="167" t="s">
        <v>4353</v>
      </c>
      <c r="B3855" s="100" t="s">
        <v>4552</v>
      </c>
    </row>
    <row r="3856" spans="1:2" ht="13.5">
      <c r="A3856" s="170" t="s">
        <v>4682</v>
      </c>
      <c r="B3856" s="100" t="s">
        <v>4558</v>
      </c>
    </row>
    <row r="3857" spans="1:2" ht="13.5">
      <c r="A3857" s="170" t="s">
        <v>4683</v>
      </c>
      <c r="B3857" s="100" t="s">
        <v>4558</v>
      </c>
    </row>
    <row r="3858" spans="1:2" ht="13.5">
      <c r="A3858" s="170" t="s">
        <v>4684</v>
      </c>
      <c r="B3858" s="100" t="s">
        <v>4558</v>
      </c>
    </row>
    <row r="3859" spans="1:2" ht="13.5">
      <c r="A3859" s="167" t="s">
        <v>4354</v>
      </c>
      <c r="B3859" s="100" t="s">
        <v>4685</v>
      </c>
    </row>
    <row r="3860" spans="1:2" ht="13.5">
      <c r="A3860" s="170" t="s">
        <v>4355</v>
      </c>
      <c r="B3860" s="100" t="s">
        <v>4558</v>
      </c>
    </row>
    <row r="3861" spans="1:2" ht="13.5">
      <c r="A3861" s="167" t="s">
        <v>4356</v>
      </c>
      <c r="B3861" s="100" t="s">
        <v>4552</v>
      </c>
    </row>
    <row r="3862" spans="1:2" ht="13.5">
      <c r="A3862" s="170" t="s">
        <v>4357</v>
      </c>
      <c r="B3862" s="100" t="s">
        <v>4678</v>
      </c>
    </row>
    <row r="3863" spans="1:2" ht="13.5">
      <c r="A3863" s="170" t="s">
        <v>4358</v>
      </c>
      <c r="B3863" s="100" t="s">
        <v>4686</v>
      </c>
    </row>
    <row r="3864" spans="1:2" ht="13.5">
      <c r="A3864" s="167" t="s">
        <v>4359</v>
      </c>
      <c r="B3864" s="100" t="s">
        <v>4687</v>
      </c>
    </row>
    <row r="3865" spans="1:2" ht="13.5">
      <c r="A3865" s="167" t="s">
        <v>4360</v>
      </c>
      <c r="B3865" s="100" t="s">
        <v>4688</v>
      </c>
    </row>
    <row r="3866" spans="1:2" ht="13.5">
      <c r="A3866" s="170" t="s">
        <v>4361</v>
      </c>
      <c r="B3866" s="100" t="s">
        <v>4689</v>
      </c>
    </row>
    <row r="3867" spans="1:2" ht="13.5">
      <c r="A3867" s="167" t="s">
        <v>4362</v>
      </c>
      <c r="B3867" s="100" t="s">
        <v>4690</v>
      </c>
    </row>
    <row r="3868" spans="1:2" ht="13.5">
      <c r="A3868" s="167" t="s">
        <v>4363</v>
      </c>
      <c r="B3868" s="100" t="s">
        <v>4691</v>
      </c>
    </row>
    <row r="3869" spans="1:2" ht="13.5">
      <c r="A3869" s="167" t="s">
        <v>4364</v>
      </c>
      <c r="B3869" s="100" t="s">
        <v>4692</v>
      </c>
    </row>
    <row r="3870" spans="1:2" ht="13.5">
      <c r="A3870" s="167" t="s">
        <v>4365</v>
      </c>
      <c r="B3870" s="100" t="s">
        <v>4693</v>
      </c>
    </row>
    <row r="3871" spans="1:2" ht="13.5">
      <c r="A3871" s="167" t="s">
        <v>4366</v>
      </c>
      <c r="B3871" s="100" t="s">
        <v>4694</v>
      </c>
    </row>
    <row r="3872" spans="1:2" ht="13.5">
      <c r="A3872" s="167" t="s">
        <v>4367</v>
      </c>
      <c r="B3872" s="100" t="s">
        <v>4695</v>
      </c>
    </row>
    <row r="3873" spans="1:2" ht="13.5">
      <c r="A3873" s="167" t="s">
        <v>4368</v>
      </c>
      <c r="B3873" s="100" t="s">
        <v>4696</v>
      </c>
    </row>
    <row r="3874" spans="1:2" ht="13.5">
      <c r="A3874" s="170" t="s">
        <v>4369</v>
      </c>
      <c r="B3874" s="100" t="s">
        <v>4697</v>
      </c>
    </row>
    <row r="3875" spans="1:2" ht="13.5">
      <c r="A3875" s="170" t="s">
        <v>4370</v>
      </c>
      <c r="B3875" s="100" t="s">
        <v>4558</v>
      </c>
    </row>
    <row r="3876" spans="1:2" ht="13.5">
      <c r="A3876" s="170" t="s">
        <v>4371</v>
      </c>
      <c r="B3876" s="100" t="s">
        <v>4698</v>
      </c>
    </row>
    <row r="3877" spans="1:2" ht="13.5">
      <c r="A3877" s="167" t="s">
        <v>4372</v>
      </c>
      <c r="B3877" s="100" t="s">
        <v>4554</v>
      </c>
    </row>
    <row r="3878" spans="1:2" ht="13.5">
      <c r="A3878" s="170" t="s">
        <v>4373</v>
      </c>
      <c r="B3878" s="100" t="s">
        <v>4582</v>
      </c>
    </row>
    <row r="3879" spans="1:2" ht="13.5">
      <c r="A3879" s="170" t="s">
        <v>4374</v>
      </c>
      <c r="B3879" s="100" t="s">
        <v>4699</v>
      </c>
    </row>
    <row r="3880" spans="1:2" ht="13.5">
      <c r="A3880" s="170" t="s">
        <v>4375</v>
      </c>
      <c r="B3880" s="100" t="s">
        <v>4700</v>
      </c>
    </row>
    <row r="3881" spans="1:2" ht="13.5">
      <c r="A3881" s="170" t="s">
        <v>4376</v>
      </c>
      <c r="B3881" s="100" t="s">
        <v>4558</v>
      </c>
    </row>
    <row r="3882" spans="1:2" ht="13.5">
      <c r="A3882" s="167" t="s">
        <v>4377</v>
      </c>
      <c r="B3882" s="100" t="s">
        <v>4552</v>
      </c>
    </row>
    <row r="3883" spans="1:2" ht="13.5">
      <c r="A3883" s="167" t="s">
        <v>4378</v>
      </c>
      <c r="B3883" s="100" t="s">
        <v>4552</v>
      </c>
    </row>
    <row r="3884" spans="1:2" ht="13.5">
      <c r="A3884" s="170" t="s">
        <v>4379</v>
      </c>
      <c r="B3884" s="100" t="s">
        <v>4701</v>
      </c>
    </row>
    <row r="3885" spans="1:2" ht="13.5">
      <c r="A3885" s="170" t="s">
        <v>4380</v>
      </c>
      <c r="B3885" s="100" t="s">
        <v>4555</v>
      </c>
    </row>
    <row r="3886" spans="1:2" ht="13.5">
      <c r="A3886" s="167" t="s">
        <v>4381</v>
      </c>
      <c r="B3886" s="100" t="s">
        <v>4702</v>
      </c>
    </row>
    <row r="3887" spans="1:2" ht="13.5">
      <c r="A3887" s="167" t="s">
        <v>4382</v>
      </c>
      <c r="B3887" s="100" t="s">
        <v>4552</v>
      </c>
    </row>
    <row r="3888" spans="1:2" ht="13.5">
      <c r="A3888" s="170" t="s">
        <v>4383</v>
      </c>
      <c r="B3888" s="100" t="s">
        <v>4703</v>
      </c>
    </row>
    <row r="3889" spans="1:2" ht="13.5">
      <c r="A3889" s="167" t="s">
        <v>4384</v>
      </c>
      <c r="B3889" s="100" t="s">
        <v>4704</v>
      </c>
    </row>
    <row r="3890" spans="1:2" ht="13.5">
      <c r="A3890" s="170" t="s">
        <v>4385</v>
      </c>
      <c r="B3890" s="100" t="s">
        <v>4558</v>
      </c>
    </row>
    <row r="3891" spans="1:2" ht="13.5">
      <c r="A3891" s="167" t="s">
        <v>4386</v>
      </c>
      <c r="B3891" s="100" t="s">
        <v>4705</v>
      </c>
    </row>
    <row r="3892" spans="1:2" ht="13.5">
      <c r="A3892" s="170" t="s">
        <v>4387</v>
      </c>
      <c r="B3892" s="100" t="s">
        <v>4706</v>
      </c>
    </row>
    <row r="3893" spans="1:2" ht="13.5">
      <c r="A3893" s="167" t="s">
        <v>4388</v>
      </c>
      <c r="B3893" s="100" t="s">
        <v>4707</v>
      </c>
    </row>
    <row r="3894" spans="1:2" ht="13.5">
      <c r="A3894" s="167" t="s">
        <v>4389</v>
      </c>
      <c r="B3894" s="100" t="s">
        <v>4708</v>
      </c>
    </row>
    <row r="3895" spans="1:2" ht="13.5">
      <c r="A3895" s="167" t="s">
        <v>4390</v>
      </c>
      <c r="B3895" s="100" t="s">
        <v>4556</v>
      </c>
    </row>
    <row r="3896" spans="1:2" ht="13.5">
      <c r="A3896" s="167" t="s">
        <v>4391</v>
      </c>
      <c r="B3896" s="100" t="s">
        <v>4556</v>
      </c>
    </row>
    <row r="3897" spans="1:2" ht="13.5">
      <c r="A3897" s="167" t="s">
        <v>4392</v>
      </c>
      <c r="B3897" s="100" t="s">
        <v>4709</v>
      </c>
    </row>
    <row r="3898" spans="1:2" ht="13.5">
      <c r="A3898" s="167" t="s">
        <v>4393</v>
      </c>
      <c r="B3898" s="100" t="s">
        <v>4552</v>
      </c>
    </row>
    <row r="3899" spans="1:2" ht="13.5">
      <c r="A3899" s="167" t="s">
        <v>4394</v>
      </c>
      <c r="B3899" s="100" t="s">
        <v>4552</v>
      </c>
    </row>
    <row r="3900" spans="1:2" ht="13.5">
      <c r="A3900" s="167" t="s">
        <v>4395</v>
      </c>
      <c r="B3900" s="100" t="s">
        <v>4556</v>
      </c>
    </row>
    <row r="3901" spans="1:2" ht="13.5">
      <c r="A3901" s="170" t="s">
        <v>4396</v>
      </c>
      <c r="B3901" s="100" t="s">
        <v>4555</v>
      </c>
    </row>
    <row r="3902" spans="1:2" ht="13.5">
      <c r="A3902" s="167" t="s">
        <v>4397</v>
      </c>
      <c r="B3902" s="100" t="s">
        <v>4710</v>
      </c>
    </row>
    <row r="3903" spans="1:2" ht="13.5">
      <c r="A3903" s="167" t="s">
        <v>4398</v>
      </c>
      <c r="B3903" s="100" t="s">
        <v>4711</v>
      </c>
    </row>
    <row r="3904" spans="1:2" ht="13.5">
      <c r="A3904" s="170" t="s">
        <v>4712</v>
      </c>
      <c r="B3904" s="100" t="s">
        <v>4713</v>
      </c>
    </row>
    <row r="3905" spans="1:2" ht="13.5">
      <c r="A3905" s="167" t="s">
        <v>4399</v>
      </c>
      <c r="B3905" s="100" t="s">
        <v>4714</v>
      </c>
    </row>
    <row r="3906" spans="1:2" ht="13.5">
      <c r="A3906" s="170" t="s">
        <v>4400</v>
      </c>
      <c r="B3906" s="100" t="s">
        <v>4715</v>
      </c>
    </row>
    <row r="3907" spans="1:2" ht="13.5">
      <c r="A3907" s="170" t="s">
        <v>4401</v>
      </c>
      <c r="B3907" s="100" t="s">
        <v>4716</v>
      </c>
    </row>
    <row r="3908" spans="1:2" ht="13.5">
      <c r="A3908" s="170" t="s">
        <v>4717</v>
      </c>
      <c r="B3908" s="100" t="s">
        <v>4718</v>
      </c>
    </row>
    <row r="3909" spans="1:2" ht="13.5">
      <c r="A3909" s="170" t="s">
        <v>4402</v>
      </c>
      <c r="B3909" s="100" t="s">
        <v>4719</v>
      </c>
    </row>
    <row r="3910" spans="1:2" ht="13.5">
      <c r="A3910" s="167" t="s">
        <v>4403</v>
      </c>
      <c r="B3910" s="100" t="s">
        <v>4720</v>
      </c>
    </row>
    <row r="3911" spans="1:2" ht="13.5">
      <c r="A3911" s="167" t="s">
        <v>4404</v>
      </c>
      <c r="B3911" s="100" t="s">
        <v>4721</v>
      </c>
    </row>
    <row r="3912" spans="1:2" ht="13.5">
      <c r="A3912" s="170" t="s">
        <v>4405</v>
      </c>
      <c r="B3912" s="100" t="s">
        <v>4570</v>
      </c>
    </row>
    <row r="3913" spans="1:2" ht="13.5">
      <c r="A3913" s="167" t="s">
        <v>4406</v>
      </c>
      <c r="B3913" s="100" t="s">
        <v>4674</v>
      </c>
    </row>
    <row r="3914" spans="1:2" ht="13.5">
      <c r="A3914" s="167" t="s">
        <v>4407</v>
      </c>
      <c r="B3914" s="100" t="s">
        <v>4722</v>
      </c>
    </row>
    <row r="3915" spans="1:2" ht="13.5">
      <c r="A3915" s="170" t="s">
        <v>4408</v>
      </c>
      <c r="B3915" s="100" t="s">
        <v>4570</v>
      </c>
    </row>
    <row r="3916" spans="1:2" ht="13.5">
      <c r="A3916" s="170" t="s">
        <v>4409</v>
      </c>
      <c r="B3916" s="100" t="s">
        <v>4570</v>
      </c>
    </row>
    <row r="3917" spans="1:2" ht="13.5">
      <c r="A3917" s="170" t="s">
        <v>4723</v>
      </c>
      <c r="B3917" s="100" t="s">
        <v>4678</v>
      </c>
    </row>
    <row r="3918" spans="1:2" ht="13.5">
      <c r="A3918" s="167" t="s">
        <v>4410</v>
      </c>
      <c r="B3918" s="100" t="s">
        <v>4552</v>
      </c>
    </row>
    <row r="3919" spans="1:2" ht="13.5">
      <c r="A3919" s="167" t="s">
        <v>4411</v>
      </c>
      <c r="B3919" s="100" t="s">
        <v>4552</v>
      </c>
    </row>
    <row r="3920" spans="1:2" ht="13.5">
      <c r="A3920" s="167" t="s">
        <v>4412</v>
      </c>
      <c r="B3920" s="100" t="s">
        <v>4552</v>
      </c>
    </row>
    <row r="3921" spans="1:2" ht="13.5">
      <c r="A3921" s="167" t="s">
        <v>4413</v>
      </c>
      <c r="B3921" s="100" t="s">
        <v>4552</v>
      </c>
    </row>
    <row r="3922" spans="1:2" ht="13.5">
      <c r="A3922" s="167" t="s">
        <v>4414</v>
      </c>
      <c r="B3922" s="100" t="s">
        <v>4552</v>
      </c>
    </row>
    <row r="3923" spans="1:2" ht="13.5">
      <c r="A3923" s="167" t="s">
        <v>4415</v>
      </c>
      <c r="B3923" s="100" t="s">
        <v>4552</v>
      </c>
    </row>
    <row r="3924" spans="1:2" ht="13.5">
      <c r="A3924" s="167" t="s">
        <v>4416</v>
      </c>
      <c r="B3924" s="100" t="s">
        <v>4552</v>
      </c>
    </row>
    <row r="3925" spans="1:2" ht="13.5">
      <c r="A3925" s="167" t="s">
        <v>4417</v>
      </c>
      <c r="B3925" s="100" t="s">
        <v>4552</v>
      </c>
    </row>
    <row r="3926" spans="1:2" ht="13.5">
      <c r="A3926" s="167" t="s">
        <v>4418</v>
      </c>
      <c r="B3926" s="100" t="s">
        <v>4552</v>
      </c>
    </row>
    <row r="3927" spans="1:2" ht="13.5">
      <c r="A3927" s="167" t="s">
        <v>4419</v>
      </c>
      <c r="B3927" s="100" t="s">
        <v>4552</v>
      </c>
    </row>
    <row r="3928" spans="1:2" ht="13.5">
      <c r="A3928" s="167" t="s">
        <v>4420</v>
      </c>
      <c r="B3928" s="100" t="s">
        <v>4552</v>
      </c>
    </row>
    <row r="3929" spans="1:2" ht="13.5">
      <c r="A3929" s="170" t="s">
        <v>4421</v>
      </c>
      <c r="B3929" s="100" t="s">
        <v>4557</v>
      </c>
    </row>
    <row r="3930" spans="1:2" ht="13.5">
      <c r="A3930" s="170" t="s">
        <v>4422</v>
      </c>
      <c r="B3930" s="100" t="s">
        <v>4603</v>
      </c>
    </row>
    <row r="3931" spans="1:2" ht="13.5">
      <c r="A3931" s="170" t="s">
        <v>4423</v>
      </c>
      <c r="B3931" s="100" t="s">
        <v>4724</v>
      </c>
    </row>
    <row r="3932" spans="1:2" ht="13.5">
      <c r="A3932" s="170" t="s">
        <v>4424</v>
      </c>
      <c r="B3932" s="100" t="s">
        <v>4724</v>
      </c>
    </row>
    <row r="3933" spans="1:2" ht="13.5">
      <c r="A3933" s="170" t="s">
        <v>4425</v>
      </c>
      <c r="B3933" s="100" t="s">
        <v>4725</v>
      </c>
    </row>
    <row r="3934" spans="1:2" ht="13.5">
      <c r="A3934" s="167" t="s">
        <v>4426</v>
      </c>
      <c r="B3934" s="100" t="s">
        <v>4634</v>
      </c>
    </row>
    <row r="3935" spans="1:2" ht="13.5">
      <c r="A3935" s="167" t="s">
        <v>4427</v>
      </c>
      <c r="B3935" s="100" t="s">
        <v>4726</v>
      </c>
    </row>
    <row r="3936" spans="1:2" ht="13.5">
      <c r="A3936" s="167" t="s">
        <v>4428</v>
      </c>
      <c r="B3936" s="100" t="s">
        <v>4552</v>
      </c>
    </row>
    <row r="3937" spans="1:2" ht="13.5">
      <c r="A3937" s="167" t="s">
        <v>4429</v>
      </c>
      <c r="B3937" s="100" t="s">
        <v>4552</v>
      </c>
    </row>
    <row r="3938" spans="1:2" ht="13.5">
      <c r="A3938" s="167" t="s">
        <v>4430</v>
      </c>
      <c r="B3938" s="100" t="s">
        <v>4552</v>
      </c>
    </row>
    <row r="3939" spans="1:2" ht="13.5">
      <c r="A3939" s="170" t="s">
        <v>4431</v>
      </c>
      <c r="B3939" s="100" t="s">
        <v>96</v>
      </c>
    </row>
    <row r="3940" spans="1:2" ht="13.5">
      <c r="A3940" s="170" t="s">
        <v>4432</v>
      </c>
      <c r="B3940" s="100" t="s">
        <v>79</v>
      </c>
    </row>
    <row r="3941" spans="1:2" ht="13.5">
      <c r="A3941" s="170" t="s">
        <v>4433</v>
      </c>
      <c r="B3941" s="100" t="s">
        <v>4555</v>
      </c>
    </row>
    <row r="3942" spans="1:2" ht="13.5">
      <c r="A3942" s="170" t="s">
        <v>4434</v>
      </c>
      <c r="B3942" s="100" t="s">
        <v>4727</v>
      </c>
    </row>
    <row r="3943" spans="1:2" ht="13.5">
      <c r="A3943" s="170" t="s">
        <v>4435</v>
      </c>
      <c r="B3943" s="100" t="s">
        <v>4557</v>
      </c>
    </row>
    <row r="3944" spans="1:2" ht="13.5">
      <c r="A3944" s="170" t="s">
        <v>4436</v>
      </c>
      <c r="B3944" s="100" t="s">
        <v>4728</v>
      </c>
    </row>
    <row r="3945" spans="1:2" ht="13.5">
      <c r="A3945" s="167" t="s">
        <v>4437</v>
      </c>
      <c r="B3945" s="100" t="s">
        <v>4552</v>
      </c>
    </row>
    <row r="3946" spans="1:2" ht="13.5">
      <c r="A3946" s="167" t="s">
        <v>4438</v>
      </c>
      <c r="B3946" s="100" t="s">
        <v>4552</v>
      </c>
    </row>
    <row r="3947" spans="1:2" ht="13.5">
      <c r="A3947" s="167" t="s">
        <v>4439</v>
      </c>
      <c r="B3947" s="100" t="s">
        <v>4634</v>
      </c>
    </row>
    <row r="3948" spans="1:2" ht="13.5">
      <c r="A3948" s="167" t="s">
        <v>4440</v>
      </c>
      <c r="B3948" s="100" t="s">
        <v>4634</v>
      </c>
    </row>
    <row r="3949" spans="1:2" ht="13.5">
      <c r="A3949" s="167" t="s">
        <v>4441</v>
      </c>
      <c r="B3949" s="100" t="s">
        <v>4634</v>
      </c>
    </row>
    <row r="3950" spans="1:2" ht="13.5">
      <c r="A3950" s="170" t="s">
        <v>4442</v>
      </c>
      <c r="B3950" s="100" t="s">
        <v>4729</v>
      </c>
    </row>
    <row r="3951" spans="1:2" ht="13.5">
      <c r="A3951" s="167" t="s">
        <v>4443</v>
      </c>
      <c r="B3951" s="100" t="s">
        <v>4552</v>
      </c>
    </row>
    <row r="3952" spans="1:2" ht="13.5">
      <c r="A3952" s="167" t="s">
        <v>4444</v>
      </c>
      <c r="B3952" s="100" t="s">
        <v>4552</v>
      </c>
    </row>
    <row r="3953" spans="1:2" ht="13.5">
      <c r="A3953" s="170" t="s">
        <v>4445</v>
      </c>
      <c r="B3953" s="100" t="s">
        <v>4730</v>
      </c>
    </row>
    <row r="3954" spans="1:2" ht="13.5">
      <c r="A3954" s="167" t="s">
        <v>4446</v>
      </c>
      <c r="B3954" s="100" t="s">
        <v>4726</v>
      </c>
    </row>
    <row r="3955" spans="1:2" ht="13.5">
      <c r="A3955" s="170" t="s">
        <v>4447</v>
      </c>
      <c r="B3955" s="100" t="s">
        <v>4555</v>
      </c>
    </row>
    <row r="3956" spans="1:2" ht="13.5">
      <c r="A3956" s="170" t="s">
        <v>4448</v>
      </c>
      <c r="B3956" s="100" t="s">
        <v>4731</v>
      </c>
    </row>
    <row r="3957" spans="1:2" ht="13.5">
      <c r="A3957" s="170" t="s">
        <v>4449</v>
      </c>
      <c r="B3957" s="100" t="s">
        <v>96</v>
      </c>
    </row>
    <row r="3958" spans="1:2" ht="13.5">
      <c r="A3958" s="170" t="s">
        <v>4450</v>
      </c>
      <c r="B3958" s="100" t="s">
        <v>4732</v>
      </c>
    </row>
    <row r="3959" spans="1:2" ht="13.5">
      <c r="A3959" s="170" t="s">
        <v>4451</v>
      </c>
      <c r="B3959" s="100" t="s">
        <v>4650</v>
      </c>
    </row>
    <row r="3960" spans="1:2" ht="13.5">
      <c r="A3960" s="170" t="s">
        <v>4452</v>
      </c>
      <c r="B3960" s="100" t="s">
        <v>4557</v>
      </c>
    </row>
    <row r="3961" spans="1:2" ht="13.5">
      <c r="A3961" s="167" t="s">
        <v>4453</v>
      </c>
      <c r="B3961" s="100" t="s">
        <v>4553</v>
      </c>
    </row>
    <row r="3962" spans="1:2" ht="13.5">
      <c r="A3962" s="170" t="s">
        <v>4454</v>
      </c>
      <c r="B3962" s="100" t="s">
        <v>4733</v>
      </c>
    </row>
    <row r="3963" spans="1:2" ht="13.5">
      <c r="A3963" s="167" t="s">
        <v>4455</v>
      </c>
      <c r="B3963" s="100" t="s">
        <v>4734</v>
      </c>
    </row>
    <row r="3964" spans="1:2" ht="13.5">
      <c r="A3964" s="167" t="s">
        <v>4456</v>
      </c>
      <c r="B3964" s="100" t="s">
        <v>4634</v>
      </c>
    </row>
    <row r="3965" spans="1:2" ht="13.5">
      <c r="A3965" s="170" t="s">
        <v>4735</v>
      </c>
      <c r="B3965" s="100" t="s">
        <v>79</v>
      </c>
    </row>
    <row r="3966" spans="1:2" ht="13.5">
      <c r="A3966" s="170" t="s">
        <v>4457</v>
      </c>
      <c r="B3966" s="100" t="s">
        <v>4736</v>
      </c>
    </row>
    <row r="3967" spans="1:2" ht="13.5">
      <c r="A3967" s="167" t="s">
        <v>4458</v>
      </c>
      <c r="B3967" s="100" t="s">
        <v>4554</v>
      </c>
    </row>
    <row r="3968" spans="1:2" ht="13.5">
      <c r="A3968" s="167" t="s">
        <v>4459</v>
      </c>
      <c r="B3968" s="100" t="s">
        <v>4554</v>
      </c>
    </row>
    <row r="3969" spans="1:2" ht="13.5">
      <c r="A3969" s="170" t="s">
        <v>4460</v>
      </c>
      <c r="B3969" s="100" t="s">
        <v>4555</v>
      </c>
    </row>
    <row r="3970" spans="1:2" ht="13.5">
      <c r="A3970" s="170" t="s">
        <v>4461</v>
      </c>
      <c r="B3970" s="100" t="s">
        <v>4737</v>
      </c>
    </row>
    <row r="3971" spans="1:2" ht="13.5">
      <c r="A3971" s="170" t="s">
        <v>4462</v>
      </c>
      <c r="B3971" s="100" t="s">
        <v>4738</v>
      </c>
    </row>
    <row r="3972" spans="1:2" ht="13.5">
      <c r="A3972" s="170" t="s">
        <v>4739</v>
      </c>
      <c r="B3972" s="100" t="s">
        <v>40</v>
      </c>
    </row>
    <row r="3973" spans="1:2" ht="13.5">
      <c r="A3973" s="170" t="s">
        <v>4463</v>
      </c>
      <c r="B3973" s="100" t="s">
        <v>4557</v>
      </c>
    </row>
    <row r="3974" spans="1:2" ht="13.5">
      <c r="A3974" s="170" t="s">
        <v>4464</v>
      </c>
      <c r="B3974" s="100" t="s">
        <v>4732</v>
      </c>
    </row>
    <row r="3975" spans="1:2" ht="13.5">
      <c r="A3975" s="170" t="s">
        <v>4465</v>
      </c>
      <c r="B3975" s="100" t="s">
        <v>4740</v>
      </c>
    </row>
    <row r="3976" spans="1:2" ht="13.5">
      <c r="A3976" s="170" t="s">
        <v>4466</v>
      </c>
      <c r="B3976" s="100" t="s">
        <v>4731</v>
      </c>
    </row>
    <row r="3977" spans="1:2" ht="13.5">
      <c r="A3977" s="170" t="s">
        <v>4467</v>
      </c>
      <c r="B3977" s="100" t="s">
        <v>4557</v>
      </c>
    </row>
    <row r="3978" spans="1:2" ht="13.5">
      <c r="A3978" s="170" t="s">
        <v>4468</v>
      </c>
      <c r="B3978" s="100" t="s">
        <v>4557</v>
      </c>
    </row>
    <row r="3979" spans="1:2" ht="13.5">
      <c r="A3979" s="167" t="s">
        <v>4469</v>
      </c>
      <c r="B3979" s="100" t="s">
        <v>4634</v>
      </c>
    </row>
    <row r="3980" spans="1:2" ht="13.5">
      <c r="A3980" s="167" t="s">
        <v>4470</v>
      </c>
      <c r="B3980" s="100" t="s">
        <v>4741</v>
      </c>
    </row>
    <row r="3981" spans="1:2" ht="13.5">
      <c r="A3981" s="167" t="s">
        <v>4471</v>
      </c>
      <c r="B3981" s="100" t="s">
        <v>4742</v>
      </c>
    </row>
    <row r="3982" spans="1:2" ht="13.5">
      <c r="A3982" s="167" t="s">
        <v>4472</v>
      </c>
      <c r="B3982" s="100" t="s">
        <v>4741</v>
      </c>
    </row>
    <row r="3983" spans="1:2" ht="13.5">
      <c r="A3983" s="167" t="s">
        <v>4473</v>
      </c>
      <c r="B3983" s="100" t="s">
        <v>4743</v>
      </c>
    </row>
    <row r="3984" spans="1:2" ht="13.5">
      <c r="A3984" s="167" t="s">
        <v>4474</v>
      </c>
      <c r="B3984" s="100" t="s">
        <v>4744</v>
      </c>
    </row>
    <row r="3985" spans="1:2" ht="13.5">
      <c r="A3985" s="170" t="s">
        <v>4475</v>
      </c>
      <c r="B3985" s="100" t="s">
        <v>79</v>
      </c>
    </row>
    <row r="3986" spans="1:2" ht="13.5">
      <c r="A3986" s="167" t="s">
        <v>4476</v>
      </c>
      <c r="B3986" s="100" t="s">
        <v>4552</v>
      </c>
    </row>
    <row r="3987" spans="1:2" ht="13.5">
      <c r="A3987" s="167" t="s">
        <v>4477</v>
      </c>
      <c r="B3987" s="100" t="s">
        <v>4552</v>
      </c>
    </row>
    <row r="3988" spans="1:2" ht="13.5">
      <c r="A3988" s="167" t="s">
        <v>4478</v>
      </c>
      <c r="B3988" s="100" t="s">
        <v>4552</v>
      </c>
    </row>
    <row r="3989" spans="1:2" ht="13.5">
      <c r="A3989" s="167" t="s">
        <v>4479</v>
      </c>
      <c r="B3989" s="100" t="s">
        <v>4745</v>
      </c>
    </row>
    <row r="3990" spans="1:2" ht="13.5">
      <c r="A3990" s="167" t="s">
        <v>4480</v>
      </c>
      <c r="B3990" s="100" t="s">
        <v>4746</v>
      </c>
    </row>
    <row r="3991" spans="1:2" ht="13.5">
      <c r="A3991" s="170" t="s">
        <v>4481</v>
      </c>
      <c r="B3991" s="100" t="s">
        <v>4747</v>
      </c>
    </row>
    <row r="3992" spans="1:2" ht="13.5">
      <c r="A3992" s="167" t="s">
        <v>4482</v>
      </c>
      <c r="B3992" s="100" t="s">
        <v>4748</v>
      </c>
    </row>
    <row r="3993" spans="1:2" ht="13.5">
      <c r="A3993" s="167" t="s">
        <v>4483</v>
      </c>
      <c r="B3993" s="100" t="s">
        <v>4556</v>
      </c>
    </row>
    <row r="3994" spans="1:2" ht="13.5">
      <c r="A3994" s="167" t="s">
        <v>4484</v>
      </c>
      <c r="B3994" s="100" t="s">
        <v>4749</v>
      </c>
    </row>
    <row r="3995" spans="1:2" ht="13.5">
      <c r="A3995" s="167" t="s">
        <v>4485</v>
      </c>
      <c r="B3995" s="100" t="s">
        <v>4705</v>
      </c>
    </row>
    <row r="3996" spans="1:2" ht="13.5">
      <c r="A3996" s="167" t="s">
        <v>4486</v>
      </c>
      <c r="B3996" s="100" t="s">
        <v>4750</v>
      </c>
    </row>
    <row r="3997" spans="1:2" ht="13.5">
      <c r="A3997" s="170" t="s">
        <v>4487</v>
      </c>
      <c r="B3997" s="100" t="s">
        <v>4751</v>
      </c>
    </row>
    <row r="3998" spans="1:2" ht="13.5">
      <c r="A3998" s="167" t="s">
        <v>4488</v>
      </c>
      <c r="B3998" s="100" t="s">
        <v>4752</v>
      </c>
    </row>
    <row r="3999" spans="1:2" ht="13.5">
      <c r="A3999" s="167" t="s">
        <v>4489</v>
      </c>
      <c r="B3999" s="100" t="s">
        <v>4753</v>
      </c>
    </row>
    <row r="4000" spans="1:2" ht="13.5">
      <c r="A4000" s="170" t="s">
        <v>4490</v>
      </c>
      <c r="B4000" s="100" t="s">
        <v>527</v>
      </c>
    </row>
    <row r="4001" spans="1:2" ht="13.5">
      <c r="A4001" s="167" t="s">
        <v>4491</v>
      </c>
      <c r="B4001" s="100" t="s">
        <v>4754</v>
      </c>
    </row>
    <row r="4002" spans="1:2" ht="13.5">
      <c r="A4002" s="170" t="s">
        <v>4755</v>
      </c>
      <c r="B4002" s="100" t="s">
        <v>96</v>
      </c>
    </row>
    <row r="4003" spans="1:2" ht="13.5">
      <c r="A4003" s="167" t="s">
        <v>4492</v>
      </c>
      <c r="B4003" s="100" t="s">
        <v>4752</v>
      </c>
    </row>
    <row r="4004" spans="1:2" ht="13.5">
      <c r="A4004" s="170" t="s">
        <v>4493</v>
      </c>
      <c r="B4004" s="100" t="s">
        <v>527</v>
      </c>
    </row>
    <row r="4005" spans="1:2" ht="13.5">
      <c r="A4005" s="167" t="s">
        <v>4494</v>
      </c>
      <c r="B4005" s="100" t="s">
        <v>4756</v>
      </c>
    </row>
    <row r="4006" spans="1:2" ht="13.5">
      <c r="A4006" s="167" t="s">
        <v>4495</v>
      </c>
      <c r="B4006" s="100" t="s">
        <v>4757</v>
      </c>
    </row>
    <row r="4007" spans="1:2" ht="13.5">
      <c r="A4007" s="170" t="s">
        <v>4758</v>
      </c>
      <c r="B4007" s="100" t="s">
        <v>147</v>
      </c>
    </row>
    <row r="4008" spans="1:2" ht="13.5">
      <c r="A4008" s="167" t="s">
        <v>4496</v>
      </c>
      <c r="B4008" s="100" t="s">
        <v>4624</v>
      </c>
    </row>
    <row r="4009" spans="1:2" ht="13.5">
      <c r="A4009" s="167" t="s">
        <v>4497</v>
      </c>
      <c r="B4009" s="100" t="s">
        <v>4759</v>
      </c>
    </row>
    <row r="4010" spans="1:2" ht="13.5">
      <c r="A4010" s="167" t="s">
        <v>4498</v>
      </c>
      <c r="B4010" s="100" t="s">
        <v>4760</v>
      </c>
    </row>
    <row r="4011" spans="1:2" ht="13.5">
      <c r="A4011" s="167" t="s">
        <v>4499</v>
      </c>
      <c r="B4011" s="100" t="s">
        <v>4552</v>
      </c>
    </row>
    <row r="4012" spans="1:2" ht="13.5">
      <c r="A4012" s="170" t="s">
        <v>4500</v>
      </c>
      <c r="B4012" s="100" t="s">
        <v>4678</v>
      </c>
    </row>
    <row r="4013" spans="1:2" ht="13.5">
      <c r="A4013" s="170" t="s">
        <v>4501</v>
      </c>
      <c r="B4013" s="100" t="s">
        <v>4643</v>
      </c>
    </row>
    <row r="4014" spans="1:2" ht="13.5">
      <c r="A4014" s="170" t="s">
        <v>4502</v>
      </c>
      <c r="B4014" s="100" t="s">
        <v>4761</v>
      </c>
    </row>
    <row r="4015" spans="1:2" ht="13.5">
      <c r="A4015" s="167" t="s">
        <v>4503</v>
      </c>
      <c r="B4015" s="100" t="s">
        <v>4552</v>
      </c>
    </row>
    <row r="4016" spans="1:2" ht="13.5">
      <c r="A4016" s="167" t="s">
        <v>4504</v>
      </c>
      <c r="B4016" s="100" t="s">
        <v>4553</v>
      </c>
    </row>
    <row r="4017" spans="1:2" ht="13.5">
      <c r="A4017" s="167" t="s">
        <v>4505</v>
      </c>
      <c r="B4017" s="100" t="s">
        <v>4762</v>
      </c>
    </row>
    <row r="4018" spans="1:2" ht="13.5">
      <c r="A4018" s="167" t="s">
        <v>4506</v>
      </c>
      <c r="B4018" s="100" t="s">
        <v>4553</v>
      </c>
    </row>
    <row r="4019" spans="1:2" ht="13.5">
      <c r="A4019" s="167" t="s">
        <v>4507</v>
      </c>
      <c r="B4019" s="100" t="s">
        <v>4746</v>
      </c>
    </row>
    <row r="4020" spans="1:2" ht="13.5">
      <c r="A4020" s="167" t="s">
        <v>4508</v>
      </c>
      <c r="B4020" s="100" t="s">
        <v>4763</v>
      </c>
    </row>
    <row r="4021" spans="1:2" ht="13.5">
      <c r="A4021" s="167" t="s">
        <v>4509</v>
      </c>
      <c r="B4021" s="100" t="s">
        <v>4764</v>
      </c>
    </row>
    <row r="4022" spans="1:2" ht="13.5">
      <c r="A4022" s="167" t="s">
        <v>4510</v>
      </c>
      <c r="B4022" s="100" t="s">
        <v>4765</v>
      </c>
    </row>
    <row r="4023" spans="1:2" ht="13.5">
      <c r="A4023" s="170" t="s">
        <v>4511</v>
      </c>
      <c r="B4023" s="100" t="s">
        <v>4766</v>
      </c>
    </row>
    <row r="4024" spans="1:2" ht="13.5">
      <c r="A4024" s="167" t="s">
        <v>4512</v>
      </c>
      <c r="B4024" s="100" t="s">
        <v>4552</v>
      </c>
    </row>
    <row r="4025" spans="1:2" ht="13.5">
      <c r="A4025" s="170" t="s">
        <v>4513</v>
      </c>
      <c r="B4025" s="100" t="s">
        <v>4706</v>
      </c>
    </row>
    <row r="4026" spans="1:2" ht="13.5">
      <c r="A4026" s="167" t="s">
        <v>4514</v>
      </c>
      <c r="B4026" s="100" t="s">
        <v>4552</v>
      </c>
    </row>
    <row r="4027" spans="1:2" ht="13.5">
      <c r="A4027" s="167" t="s">
        <v>4515</v>
      </c>
      <c r="B4027" s="100" t="s">
        <v>4608</v>
      </c>
    </row>
    <row r="4028" spans="1:2" ht="13.5">
      <c r="A4028" s="167" t="s">
        <v>4516</v>
      </c>
      <c r="B4028" s="100" t="s">
        <v>4608</v>
      </c>
    </row>
    <row r="4029" spans="1:2" ht="13.5">
      <c r="A4029" s="167" t="s">
        <v>4517</v>
      </c>
      <c r="B4029" s="100" t="s">
        <v>4552</v>
      </c>
    </row>
    <row r="4030" spans="1:2" ht="13.5">
      <c r="A4030" s="167" t="s">
        <v>4518</v>
      </c>
      <c r="B4030" s="100" t="s">
        <v>4767</v>
      </c>
    </row>
    <row r="4031" spans="1:2" ht="13.5">
      <c r="A4031" s="170" t="s">
        <v>4768</v>
      </c>
      <c r="B4031" s="100" t="s">
        <v>4558</v>
      </c>
    </row>
    <row r="4032" spans="1:2" ht="13.5">
      <c r="A4032" s="167" t="s">
        <v>4519</v>
      </c>
      <c r="B4032" s="100" t="s">
        <v>4769</v>
      </c>
    </row>
    <row r="4033" spans="1:2" ht="13.5">
      <c r="A4033" s="167" t="s">
        <v>4520</v>
      </c>
      <c r="B4033" s="100" t="s">
        <v>4552</v>
      </c>
    </row>
    <row r="4034" spans="1:2" ht="13.5">
      <c r="A4034" s="167" t="s">
        <v>4521</v>
      </c>
      <c r="B4034" s="100" t="s">
        <v>4770</v>
      </c>
    </row>
    <row r="4035" spans="1:2" ht="13.5">
      <c r="A4035" s="167" t="s">
        <v>4522</v>
      </c>
      <c r="B4035" s="100" t="s">
        <v>4771</v>
      </c>
    </row>
    <row r="4036" spans="1:2" ht="13.5">
      <c r="A4036" s="170" t="s">
        <v>4772</v>
      </c>
      <c r="B4036" s="100" t="s">
        <v>115</v>
      </c>
    </row>
    <row r="4037" spans="1:2" ht="13.5">
      <c r="A4037" s="170" t="s">
        <v>4523</v>
      </c>
      <c r="B4037" s="100" t="s">
        <v>4558</v>
      </c>
    </row>
    <row r="4038" spans="1:2" ht="13.5">
      <c r="A4038" s="170" t="s">
        <v>4524</v>
      </c>
      <c r="B4038" s="100" t="s">
        <v>4558</v>
      </c>
    </row>
    <row r="4039" spans="1:2" ht="13.5">
      <c r="A4039" s="167" t="s">
        <v>4525</v>
      </c>
      <c r="B4039" s="100" t="s">
        <v>4556</v>
      </c>
    </row>
    <row r="4040" spans="1:2" ht="13.5">
      <c r="A4040" s="167" t="s">
        <v>4526</v>
      </c>
      <c r="B4040" s="100" t="s">
        <v>4741</v>
      </c>
    </row>
    <row r="4041" spans="1:2" ht="13.5">
      <c r="A4041" s="170" t="s">
        <v>4527</v>
      </c>
      <c r="B4041" s="100" t="s">
        <v>4678</v>
      </c>
    </row>
    <row r="4042" spans="1:2" ht="13.5">
      <c r="A4042" s="170" t="s">
        <v>4528</v>
      </c>
      <c r="B4042" s="100" t="s">
        <v>4558</v>
      </c>
    </row>
    <row r="4043" spans="1:2" ht="13.5">
      <c r="A4043" s="170" t="s">
        <v>4773</v>
      </c>
      <c r="B4043" s="100" t="s">
        <v>4558</v>
      </c>
    </row>
    <row r="4044" spans="1:2" ht="13.5">
      <c r="A4044" s="170" t="s">
        <v>4529</v>
      </c>
      <c r="B4044" s="100" t="s">
        <v>4558</v>
      </c>
    </row>
    <row r="4045" spans="1:2" ht="13.5">
      <c r="A4045" s="170" t="s">
        <v>4530</v>
      </c>
      <c r="B4045" s="100" t="s">
        <v>4558</v>
      </c>
    </row>
    <row r="4046" spans="1:2" ht="13.5">
      <c r="A4046" s="167" t="s">
        <v>4531</v>
      </c>
      <c r="B4046" s="100" t="s">
        <v>4552</v>
      </c>
    </row>
    <row r="4047" spans="1:2" ht="13.5">
      <c r="A4047" s="170" t="s">
        <v>4532</v>
      </c>
      <c r="B4047" s="100" t="s">
        <v>4774</v>
      </c>
    </row>
    <row r="4048" spans="1:2" ht="13.5">
      <c r="A4048" s="170" t="s">
        <v>4533</v>
      </c>
      <c r="B4048" s="100" t="s">
        <v>4557</v>
      </c>
    </row>
    <row r="4049" spans="1:2" ht="13.5">
      <c r="A4049" s="167" t="s">
        <v>4534</v>
      </c>
      <c r="B4049" s="100" t="s">
        <v>4775</v>
      </c>
    </row>
    <row r="4050" spans="1:2" ht="13.5">
      <c r="A4050" s="170" t="s">
        <v>4535</v>
      </c>
      <c r="B4050" s="100" t="s">
        <v>4557</v>
      </c>
    </row>
    <row r="4051" spans="1:2" ht="13.5">
      <c r="A4051" s="167" t="s">
        <v>4536</v>
      </c>
      <c r="B4051" s="100" t="s">
        <v>4552</v>
      </c>
    </row>
    <row r="4052" spans="1:2" ht="13.5">
      <c r="A4052" s="167" t="s">
        <v>4537</v>
      </c>
      <c r="B4052" s="100" t="s">
        <v>4776</v>
      </c>
    </row>
    <row r="4053" spans="1:2" ht="13.5">
      <c r="A4053" s="170" t="s">
        <v>4538</v>
      </c>
      <c r="B4053" s="100" t="s">
        <v>4557</v>
      </c>
    </row>
    <row r="4054" spans="1:2" ht="13.5">
      <c r="A4054" s="167" t="s">
        <v>4539</v>
      </c>
      <c r="B4054" s="100" t="s">
        <v>4552</v>
      </c>
    </row>
    <row r="4055" spans="1:2" ht="13.5">
      <c r="A4055" s="167" t="s">
        <v>4540</v>
      </c>
      <c r="B4055" s="100" t="s">
        <v>4776</v>
      </c>
    </row>
    <row r="4056" spans="1:2" ht="13.5">
      <c r="A4056" s="167" t="s">
        <v>4541</v>
      </c>
      <c r="B4056" s="100" t="s">
        <v>4552</v>
      </c>
    </row>
    <row r="4057" spans="1:2" ht="13.5">
      <c r="A4057" s="170" t="s">
        <v>4777</v>
      </c>
      <c r="B4057" s="100" t="s">
        <v>4640</v>
      </c>
    </row>
    <row r="4058" spans="1:2" ht="13.5">
      <c r="A4058" s="167" t="s">
        <v>4542</v>
      </c>
      <c r="B4058" s="100" t="s">
        <v>4552</v>
      </c>
    </row>
    <row r="4059" spans="1:2" ht="13.5">
      <c r="A4059" s="167" t="s">
        <v>4543</v>
      </c>
      <c r="B4059" s="100" t="s">
        <v>4552</v>
      </c>
    </row>
    <row r="4060" spans="1:2" ht="13.5">
      <c r="A4060" s="167" t="s">
        <v>4544</v>
      </c>
      <c r="B4060" s="100" t="s">
        <v>4552</v>
      </c>
    </row>
    <row r="4061" spans="1:2" ht="13.5">
      <c r="A4061" s="167" t="s">
        <v>4545</v>
      </c>
      <c r="B4061" s="100" t="s">
        <v>4552</v>
      </c>
    </row>
    <row r="4062" spans="1:2" ht="13.5">
      <c r="A4062" s="167" t="s">
        <v>4546</v>
      </c>
      <c r="B4062" s="100" t="s">
        <v>4552</v>
      </c>
    </row>
    <row r="4063" spans="1:2" ht="13.5">
      <c r="A4063" s="167" t="s">
        <v>4547</v>
      </c>
      <c r="B4063" s="100" t="s">
        <v>4552</v>
      </c>
    </row>
    <row r="4064" spans="1:2" ht="13.5">
      <c r="A4064" s="170" t="s">
        <v>4548</v>
      </c>
      <c r="B4064" s="100" t="s">
        <v>79</v>
      </c>
    </row>
    <row r="4065" spans="1:2" ht="13.5">
      <c r="A4065" s="167" t="s">
        <v>4549</v>
      </c>
      <c r="B4065" s="100" t="s">
        <v>4552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8</vt:i4>
      </vt:variant>
    </vt:vector>
  </HeadingPairs>
  <TitlesOfParts>
    <vt:vector size="29" baseType="lpstr">
      <vt:lpstr>Timing0</vt:lpstr>
      <vt:lpstr>Timing</vt:lpstr>
      <vt:lpstr>Session</vt:lpstr>
      <vt:lpstr>printingDates</vt:lpstr>
      <vt:lpstr>knb0</vt:lpstr>
      <vt:lpstr>Plan0</vt:lpstr>
      <vt:lpstr>Plan</vt:lpstr>
      <vt:lpstr>knb</vt:lpstr>
      <vt:lpstr>Statistics0</vt:lpstr>
      <vt:lpstr>Statistics</vt:lpstr>
      <vt:lpstr>knb_storage</vt:lpstr>
      <vt:lpstr>knb_4390</vt:lpstr>
      <vt:lpstr>orderStatus</vt:lpstr>
      <vt:lpstr>salaryDepartment</vt:lpstr>
      <vt:lpstr>4105</vt:lpstr>
      <vt:lpstr>4082</vt:lpstr>
      <vt:lpstr>4385</vt:lpstr>
      <vt:lpstr>tasks</vt:lpstr>
      <vt:lpstr>Config</vt:lpstr>
      <vt:lpstr>Данные</vt:lpstr>
      <vt:lpstr>knb_products</vt:lpstr>
      <vt:lpstr>Timing!Заголовки_для_печати</vt:lpstr>
      <vt:lpstr>Timing0!Заголовки_для_печати</vt:lpstr>
      <vt:lpstr>Plan!Область_печати</vt:lpstr>
      <vt:lpstr>Plan0!Область_печати</vt:lpstr>
      <vt:lpstr>Statistics!Область_печати</vt:lpstr>
      <vt:lpstr>Statistics0!Область_печати</vt:lpstr>
      <vt:lpstr>Timing!Область_печати</vt:lpstr>
      <vt:lpstr>Timing0!Область_печати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Баличев Эдуард Александрович</dc:creator>
  <cp:lastModifiedBy>mai1r</cp:lastModifiedBy>
  <cp:lastPrinted>2022-03-22T11:49:22Z</cp:lastPrinted>
  <dcterms:created xsi:type="dcterms:W3CDTF">2013-02-05T15:24:53Z</dcterms:created>
  <dcterms:modified xsi:type="dcterms:W3CDTF">2022-04-16T09:09:28Z</dcterms:modified>
</cp:coreProperties>
</file>